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log" sheetId="1" r:id="rId4"/>
    <sheet state="visible" name="TodoFeedback" sheetId="2" r:id="rId5"/>
    <sheet state="visible" name="Dashboard" sheetId="3" r:id="rId6"/>
    <sheet state="visible" name="Credits" sheetId="4" r:id="rId7"/>
    <sheet state="visible" name="Quests" sheetId="5" r:id="rId8"/>
    <sheet state="visible" name="Enchanting Effects" sheetId="6" r:id="rId9"/>
    <sheet state="visible" name="Spells" sheetId="7" r:id="rId10"/>
    <sheet state="visible" name="Dragon Shouts" sheetId="8" r:id="rId11"/>
    <sheet state="visible" name="Locations" sheetId="9" r:id="rId12"/>
    <sheet state="visible" name="Merchants" sheetId="10" r:id="rId13"/>
    <sheet state="visible" name="Unique Gear" sheetId="11" r:id="rId14"/>
    <sheet state="visible" name="Books" sheetId="12" r:id="rId15"/>
    <sheet state="visible" name="Collectible Items" sheetId="13" r:id="rId16"/>
    <sheet state="visible" name="Recruitable Followers" sheetId="14" r:id="rId17"/>
    <sheet state="visible" name="Learned Alchemy Effects" sheetId="15" r:id="rId18"/>
    <sheet state="visible" name="Perks" sheetId="16" r:id="rId19"/>
  </sheets>
  <definedNames>
    <definedName hidden="1" localSheetId="5" name="_xlnm._FilterDatabase">'Enchanting Effects'!$A$2:$N$60</definedName>
    <definedName hidden="1" localSheetId="6" name="_xlnm._FilterDatabase">Spells!$A$2:$H$116</definedName>
    <definedName hidden="1" localSheetId="8" name="_xlnm._FilterDatabase">Locations!$A$5:$F$345</definedName>
    <definedName hidden="1" localSheetId="9" name="_xlnm._FilterDatabase">Merchants!$A$3:$L$132</definedName>
    <definedName hidden="1" localSheetId="10" name="_xlnm._FilterDatabase">'Unique Gear'!$A$6:$E$181</definedName>
    <definedName hidden="1" localSheetId="11" name="_xlnm._FilterDatabase">Books!$A$3:$R$499</definedName>
    <definedName hidden="1" localSheetId="13" name="_xlnm._FilterDatabase">'Recruitable Followers'!$A$2:$L$73</definedName>
    <definedName hidden="1" localSheetId="14" name="_xlnm._FilterDatabase">'Learned Alchemy Effects'!$A$2:$H$734</definedName>
    <definedName hidden="1" localSheetId="8" name="Z_23CE64D9_91C4_4E0B_BB5C_9B9017EE499D_.wvu.FilterData">Locations!$A$5:$F$366</definedName>
  </definedNames>
  <calcPr/>
  <customWorkbookViews>
    <customWorkbookView activeSheetId="0" maximized="1" windowHeight="0" windowWidth="0" guid="{23CE64D9-91C4-4E0B-BB5C-9B9017EE499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4">
      <text>
        <t xml:space="preserve">Can only be visited during the quest "The World-Eater's Eyrie". Unmarked clearable dungeon.</t>
      </text>
    </comment>
    <comment authorId="0" ref="A346">
      <text>
        <t xml:space="preserve">There can be only one camp per holding at any given time. It always will be an opposite of which faction 
supports a corresponding hold. Note that Haafingar imperial and Eastmarch stormcloak camps dont exist. Military camps will appear before city battles and dissapear right after.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0">
      <text>
        <t xml:space="preserve">Two versions exist. One is a skill book the other is not. Look at the value to tell the difference; The skill book has a greater value.</t>
      </text>
    </comment>
    <comment authorId="0" ref="A483">
      <text>
        <t xml:space="preserve">Two versions exist. One is a skill book the other is not. Look at the value to tell the difference; The skill book has a greater value.</t>
      </text>
    </comment>
    <comment authorId="0" ref="B611">
      <text>
        <t xml:space="preserve">Can be pickpocketed after quest completion</t>
      </text>
    </comment>
    <comment authorId="0" ref="A616">
      <text>
        <t xml:space="preserve">Black books don't need to be turned in but are permanent quest items that can't be dropped.</t>
      </text>
    </comment>
    <comment authorId="0" ref="B641">
      <text>
        <t xml:space="preserve">Can be pickpocketed after quest completion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7">
      <text>
        <t xml:space="preserve">There's 5 of them initially. You can cure Kodlak, Farkas, Vilkas and yourself. In the end it's possible to keep only one head.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
      <text>
        <t xml:space="preserve">Mutually exclusive with Sven</t>
      </text>
    </comment>
    <comment authorId="0" ref="A64">
      <text>
        <t xml:space="preserve">Mutually exclusive with Faendral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5">
      <text>
        <t xml:space="preserve">Should be unique item but it respawns due to a bug. See link to UESP.  Unofficial Skyrim Patch fixes this issue.</t>
      </text>
    </comment>
    <comment authorId="0" ref="B36">
      <text>
        <t xml:space="preserve">Should be unique item but it respawns due to a bug. See link to UESP.  Unofficial Skyrim Patch fixes this issue.</t>
      </text>
    </comment>
    <comment authorId="0" ref="B37">
      <text>
        <t xml:space="preserve">Should be unique item but it respawns due to a bug. See link to UESP.  Unofficial Skyrim Patch fixes this issue.</t>
      </text>
    </comment>
    <comment authorId="0" ref="B38">
      <text>
        <t xml:space="preserve">Should be unique item but it respawns due to a bug. See link to UESP.  Unofficial Skyrim Patch fixes this issue.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Potions and poisons are 20% Stronger</t>
      </text>
    </comment>
    <comment authorId="0" ref="G6">
      <text>
        <t xml:space="preserve">Increase armor rating for Light Armor by 20% (+20% per additional rank)</t>
      </text>
    </comment>
    <comment authorId="0" ref="K6">
      <text>
        <t xml:space="preserve">Novice locks are much easier to pick</t>
      </text>
    </comment>
    <comment authorId="0" ref="C7">
      <text>
        <t xml:space="preserve">Potions and poisons are 40% Stronger</t>
      </text>
    </comment>
    <comment authorId="0" ref="G7">
      <text>
        <t xml:space="preserve">Increase armor rating for Light Armor by 20% (+20% per additional rank)</t>
      </text>
    </comment>
    <comment authorId="0" ref="K7">
      <text>
        <t xml:space="preserve"> Apprentice locks are much easier to pick</t>
      </text>
    </comment>
    <comment authorId="0" ref="C8">
      <text>
        <t xml:space="preserve">Potions you mix that restore health or stamina are 25% more powerful.</t>
      </text>
    </comment>
    <comment authorId="0" ref="G8">
      <text>
        <t xml:space="preserve">25% armor bonus if wearing all Light Armor: head, chest, hands, feet</t>
      </text>
    </comment>
    <comment authorId="0" ref="K8">
      <text>
        <t xml:space="preserve">Able to pick locks without being noticed</t>
      </text>
    </comment>
    <comment authorId="0" ref="C9">
      <text>
        <t xml:space="preserve">Potions you mix with beneficial effects have an additional 25% greater magnitude.</t>
      </text>
    </comment>
    <comment authorId="0" ref="G9">
      <text>
        <t xml:space="preserve">Increase armor rating for Light Armor by 20% (+20% per additional rank)</t>
      </text>
    </comment>
    <comment authorId="0" ref="K9">
      <text>
        <t xml:space="preserve">Automatically gives you a copy of a picked lock's key if it has one</t>
      </text>
    </comment>
    <comment authorId="0" ref="C10">
      <text>
        <t xml:space="preserve">Poisons you mix are 25% more effective.
</t>
      </text>
    </comment>
    <comment authorId="0" ref="G10">
      <text>
        <t xml:space="preserve">Light Armor weighs nothing and doesn't slow you down when worn</t>
      </text>
    </comment>
    <comment authorId="0" ref="K10">
      <text>
        <t xml:space="preserve">Adept locks are much easier to pick</t>
      </text>
    </comment>
    <comment authorId="0" ref="C11">
      <text>
        <t xml:space="preserve">Potions and poisons are 60% Stronger</t>
      </text>
    </comment>
    <comment authorId="0" ref="G11">
      <text>
        <t xml:space="preserve">Increase armor rating for Light Armor by 20% (+20% per additional rank)</t>
      </text>
    </comment>
    <comment authorId="0" ref="K11">
      <text>
        <t xml:space="preserve">Find more gold in chests</t>
      </text>
    </comment>
    <comment authorId="0" ref="C12">
      <text>
        <t xml:space="preserve">Eating an ingredient reveals first two effects (+1 effect per additional rank).</t>
      </text>
    </comment>
    <comment authorId="0" ref="G12">
      <text>
        <t xml:space="preserve">Stamina regenerates 50% faster in all Light Armor: head, chest, hands, feet</t>
      </text>
    </comment>
    <comment authorId="0" ref="K12">
      <text>
        <t xml:space="preserve">50% greater chance of finding special treasure</t>
      </text>
    </comment>
    <comment authorId="0" ref="C13">
      <text>
        <t xml:space="preserve">Potions and poisons are 80% Stronger</t>
      </text>
    </comment>
    <comment authorId="0" ref="G13">
      <text>
        <t xml:space="preserve">Additional 25% Armor bonus if wearing a matched set of Light Armor.
</t>
      </text>
    </comment>
    <comment authorId="0" ref="K13">
      <text>
        <t xml:space="preserve">Expert locks are much easier to pick</t>
      </text>
    </comment>
    <comment authorId="0" ref="C14">
      <text>
        <t xml:space="preserve">Poisons applied to weapons last for twice as many hits.</t>
      </text>
    </comment>
    <comment authorId="0" ref="G14">
      <text>
        <t xml:space="preserve">Increase armor rating for Light Armor by 20% (+20% per additional rank)</t>
      </text>
    </comment>
    <comment authorId="0" ref="K14">
      <text>
        <t xml:space="preserve">Pick starts close to the lock opening position</t>
      </text>
    </comment>
    <comment authorId="0" ref="C15">
      <text>
        <t xml:space="preserve">Eating an ingredient reveals first two effects (+1 effect per additional rank).</t>
      </text>
    </comment>
    <comment authorId="0" ref="G15">
      <text>
        <t xml:space="preserve">10% chance of avoiding all damage from a melee attack while wearing all Light Armor: head, chest, hands, feet</t>
      </text>
    </comment>
    <comment authorId="0" ref="K15">
      <text>
        <t xml:space="preserve">Lockpicks don't break</t>
      </text>
    </comment>
    <comment authorId="0" ref="C16">
      <text>
        <t xml:space="preserve">Two ingredients are gathered from plants (description is misleading - two ingredients or food items are gathered from any static harvest-able object - be it plant, fungi, hanging fish or meat, egg clusters, etc.) Known exception: Nirnroot (has only 1 root).</t>
      </text>
    </comment>
    <comment authorId="0" ref="K16">
      <text>
        <t xml:space="preserve">Master locks are much easier to pick</t>
      </text>
    </comment>
    <comment authorId="0" ref="C17">
      <text>
        <t xml:space="preserve">Potions and poisons are 100% Stronger</t>
      </text>
    </comment>
    <comment authorId="0" ref="C18">
      <text>
        <t xml:space="preserve">50% resistance to all poisons.</t>
      </text>
    </comment>
    <comment authorId="0" ref="C19">
      <text>
        <t xml:space="preserve">Eating an ingredient reveals first two effects (+1 effect per additional rank).</t>
      </text>
    </comment>
    <comment authorId="0" ref="C20">
      <text>
        <t xml:space="preserve">All negative effects are removed from created potions while all positive effects are removed from created poisons.</t>
      </text>
    </comment>
    <comment authorId="0" ref="C24">
      <text>
        <t xml:space="preserve">Pickpocketing bonus of 20%</t>
      </text>
    </comment>
    <comment authorId="0" ref="G24">
      <text>
        <t xml:space="preserve">You are 20% harder to detect when sneaking (+5% per additional rank, max 40% with 5/5)</t>
      </text>
    </comment>
    <comment authorId="0" ref="K24">
      <text>
        <t xml:space="preserve">Buying and selling prices are 10% better (+5% per additional rank)</t>
      </text>
    </comment>
    <comment authorId="0" ref="C25">
      <text>
        <t xml:space="preserve">Pickpocketing bonus of 40%</t>
      </text>
    </comment>
    <comment authorId="0" ref="G25">
      <text>
        <t xml:space="preserve">You are 20% harder to detect when sneaking (+5% per additional rank, max 40% with 5/5)</t>
      </text>
    </comment>
    <comment authorId="0" ref="K25">
      <text>
        <t xml:space="preserve">Buying and selling prices are 10% better (+5% per additional rank)</t>
      </text>
    </comment>
    <comment authorId="0" ref="C26">
      <text>
        <t xml:space="preserve">+25% chance to pickpocket if the target is asleep</t>
      </text>
    </comment>
    <comment authorId="0" ref="G26">
      <text>
        <t xml:space="preserve">Sneak attacks with one-handed weapons now do six times damage.</t>
      </text>
    </comment>
    <comment authorId="0" ref="K26">
      <text>
        <t xml:space="preserve">10% better prices with the opposite sex</t>
      </text>
    </comment>
    <comment authorId="0" ref="C27">
      <text>
        <t xml:space="preserve">Pickpocketing bonus of 60%</t>
      </text>
    </comment>
    <comment authorId="0" ref="G27">
      <text>
        <t xml:space="preserve">Noise from armor is reduced by 50%</t>
      </text>
    </comment>
    <comment authorId="0" ref="K27">
      <text>
        <t xml:space="preserve">Can bribe guards to ignore crimes</t>
      </text>
    </comment>
    <comment authorId="0" ref="C28">
      <text>
        <t xml:space="preserve">Silently harm enemies by placing poisons in their pockets</t>
      </text>
    </comment>
    <comment authorId="0" ref="G28">
      <text>
        <t xml:space="preserve">You are 20% harder to detect when sneaking (+5% per additional rank, max 40% with 5/5)</t>
      </text>
    </comment>
    <comment authorId="0" ref="K28">
      <text>
        <t xml:space="preserve">Buying and selling prices are 10% better (+5% per additional rank)</t>
      </text>
    </comment>
    <comment authorId="0" ref="C29">
      <text>
        <t xml:space="preserve">Pickpocketing gold becomes 50% easier</t>
      </text>
    </comment>
    <comment authorId="0" ref="G29">
      <text>
        <t xml:space="preserve">Sneak attacks with bows now do three times damage</t>
      </text>
    </comment>
    <comment authorId="0" ref="K29">
      <text>
        <t xml:space="preserve">Can sell any type of item to any kind of merchant</t>
      </text>
    </comment>
    <comment authorId="0" ref="C30">
      <text>
        <t xml:space="preserve">Carrying capacity is increased by 100</t>
      </text>
    </comment>
    <comment authorId="0" ref="G30">
      <text>
        <t xml:space="preserve">You won't trigger pressure plates</t>
      </text>
    </comment>
    <comment authorId="0" ref="K30">
      <text>
        <t xml:space="preserve">Persuasion attempts are 30% easier</t>
      </text>
    </comment>
    <comment authorId="0" ref="C31">
      <text>
        <t xml:space="preserve">Pickpocketing bonus of 80%</t>
      </text>
    </comment>
    <comment authorId="0" ref="G31">
      <text>
        <t xml:space="preserve">Sneak attacks with daggers now do a total of fifteen times normal damage</t>
      </text>
    </comment>
    <comment authorId="0" ref="K31">
      <text>
        <t xml:space="preserve">Buying and selling prices are 10% better (+5% per additional rank)</t>
      </text>
    </comment>
    <comment authorId="0" ref="C32">
      <text>
        <t xml:space="preserve">Pickpocketing keys almost always works</t>
      </text>
    </comment>
    <comment authorId="0" ref="G32">
      <text>
        <t xml:space="preserve">Sprinting while sneaking executes a silent forward roll</t>
      </text>
    </comment>
    <comment authorId="0" ref="K32">
      <text>
        <t xml:space="preserve">Can invest 500 gold with a shopkeeper to increase their available gold permanently</t>
      </text>
    </comment>
    <comment authorId="0" ref="C33">
      <text>
        <t xml:space="preserve">Can pickpocket equipped weapons (when hidden)
</t>
      </text>
    </comment>
    <comment authorId="0" ref="G33">
      <text>
        <t xml:space="preserve">You are 20% harder to detect when sneaking (+5% per additional rank, max 40% with 5/5)</t>
      </text>
    </comment>
    <comment authorId="0" ref="K33">
      <text>
        <t xml:space="preserve">Intimidation is twice as successful</t>
      </text>
    </comment>
    <comment authorId="0" ref="C34">
      <text>
        <t xml:space="preserve">Pickpocketing bonus of 100%</t>
      </text>
    </comment>
    <comment authorId="0" ref="G34">
      <text>
        <t xml:space="preserve"> Walking and running does not affect detection</t>
      </text>
    </comment>
    <comment authorId="0" ref="K34">
      <text>
        <t xml:space="preserve">Buying and selling prices are 10% better (+5% per additional rank)</t>
      </text>
    </comment>
    <comment authorId="0" ref="C35">
      <text>
        <t xml:space="preserve">Can pickpocket equipped items, clothes and armor (when hidden)</t>
      </text>
    </comment>
    <comment authorId="0" ref="G35">
      <text>
        <t xml:space="preserve">You are 20% harder to detect when sneaking (+5% per additional rank, max 40% with 5/5)</t>
      </text>
    </comment>
    <comment authorId="0" ref="K35">
      <text>
        <t xml:space="preserve">Can barter stolen goods with any merchant the Dragonborn has invested in</t>
      </text>
    </comment>
    <comment authorId="0" ref="G36">
      <text>
        <t xml:space="preserve">Crouching stops combat for a moment and forces distant opponents to search for a target</t>
      </text>
    </comment>
    <comment authorId="0" ref="K36">
      <text>
        <t xml:space="preserve">Every merchant in the world gains 1000 gold for bartering</t>
      </text>
    </comment>
    <comment authorId="0" ref="C41">
      <text>
        <t xml:space="preserve">Bows do 20% more damage (+20% per additional rank)</t>
      </text>
    </comment>
    <comment authorId="0" ref="G41">
      <text>
        <t xml:space="preserve">Blocking is 20% more effective (+5% per additional rank)</t>
      </text>
    </comment>
    <comment authorId="0" ref="K41">
      <text>
        <t xml:space="preserve">Increases armor rating for Heavy Armor by 20% (+20% per additional rank)</t>
      </text>
    </comment>
    <comment authorId="0" ref="C42">
      <text>
        <t xml:space="preserve">Bows do 20% more damage (+20% per additional rank)</t>
      </text>
    </comment>
    <comment authorId="0" ref="G42">
      <text>
        <t xml:space="preserve">Blocking is 20% more effective (+5% per additional rank)</t>
      </text>
    </comment>
    <comment authorId="0" ref="K42">
      <text>
        <t xml:space="preserve">Porter, James A.:
Increases armor rating for Heavy Armor by 20% (+20% per additional rank)</t>
      </text>
    </comment>
    <comment authorId="0" ref="C43">
      <text>
        <t xml:space="preserve">10% chance of a critical hit that does extra damage (+5% chance and +25% critical damage per additional rank)</t>
      </text>
    </comment>
    <comment authorId="0" ref="G43">
      <text>
        <t xml:space="preserve">Time slows down if you are blocking during an enemy's power attack</t>
      </text>
    </comment>
    <comment authorId="0" ref="K43">
      <text>
        <t xml:space="preserve">Unarmed attacks with Heavy Armor gauntlets do their base armor rating in extra damage. Sneak attack bonus is two times the damage.</t>
      </text>
    </comment>
    <comment authorId="0" ref="C44">
      <text>
        <t xml:space="preserve">Pressing Block while aiming will zoom in your view</t>
      </text>
    </comment>
    <comment authorId="0" ref="G44">
      <text>
        <t xml:space="preserve">Arrows that hit the shield do no damage</t>
      </text>
    </comment>
    <comment authorId="0" ref="K44">
      <text>
        <t xml:space="preserve">25% armor bonus if wearing all Heavy Armor: head, chest, hands, feet</t>
      </text>
    </comment>
    <comment authorId="0" ref="C45">
      <text>
        <t xml:space="preserve">Bows do 20% more damage (+20% per additional rank)</t>
      </text>
    </comment>
    <comment authorId="0" ref="G45">
      <text>
        <t xml:space="preserve">Able to do a power bash</t>
      </text>
    </comment>
    <comment authorId="0" ref="K45">
      <text>
        <t xml:space="preserve">Increases armor rating for Heavy Armor by 20% (+20% per additional rank)</t>
      </text>
    </comment>
    <comment authorId="0" ref="C46">
      <text>
        <t xml:space="preserve">Zooming in with a bow slows time by 25% (50% for second rank)</t>
      </text>
    </comment>
    <comment authorId="0" ref="G46">
      <text>
        <t xml:space="preserve">Blocking is 20% more effective (+5% per additional rank)</t>
      </text>
    </comment>
    <comment authorId="0" ref="K46">
      <text>
        <t xml:space="preserve">Half damage from falling if wearing all Heavy Armor: head, chest, hands, feet</t>
      </text>
    </comment>
    <comment authorId="0" ref="C47">
      <text>
        <t xml:space="preserve">Arrows stagger all but the largest opponents 50% of the time</t>
      </text>
    </comment>
    <comment authorId="0" ref="G47">
      <text>
        <t xml:space="preserve"> Bashing does five times more damage</t>
      </text>
    </comment>
    <comment authorId="0" ref="K47">
      <text>
        <t xml:space="preserve">50% less stagger when wearing only Heavy Armor</t>
      </text>
    </comment>
    <comment authorId="0" ref="C48">
      <text>
        <t xml:space="preserve">Recover twice as many arrows from dead bodies</t>
      </text>
    </comment>
    <comment authorId="0" ref="G48">
      <text>
        <t xml:space="preserve"> Blocking with a shield reduces incoming fire, frost and shock damage by 50%</t>
      </text>
    </comment>
    <comment authorId="0" ref="K48">
      <text>
        <t xml:space="preserve">Increases armor rating for Heavy Armor by 20% (+20% per additional rank)</t>
      </text>
    </comment>
    <comment authorId="0" ref="C49">
      <text>
        <t xml:space="preserve">10% chance of a critical hit that does extra damage (+5% chance and +25% critical damage per additional rank)
</t>
      </text>
    </comment>
    <comment authorId="0" ref="G49">
      <text>
        <t xml:space="preserve">Blocking is 20% more effective (+5% per additional rank)</t>
      </text>
    </comment>
    <comment authorId="0" ref="K49">
      <text>
        <t xml:space="preserve">Wearing Heavy armor no longer affects how much stamina is used when sprinting. Any heavy armor worn no longer counts towards the carry weight.</t>
      </text>
    </comment>
    <comment authorId="0" ref="C50">
      <text>
        <t xml:space="preserve">Bows do 20% more damage (+20% per additional rank)</t>
      </text>
    </comment>
    <comment authorId="0" ref="G50">
      <text>
        <t xml:space="preserve">Able to move faster with a shield or weapon raised</t>
      </text>
    </comment>
    <comment authorId="0" ref="K50">
      <text>
        <t xml:space="preserve">Additional 25% armor bonus if wearing a matched set of Heavy Armor</t>
      </text>
    </comment>
    <comment authorId="0" ref="C51">
      <text>
        <t xml:space="preserve">Able to move faster with a drawn bow</t>
      </text>
    </comment>
    <comment authorId="0" ref="G51">
      <text>
        <t xml:space="preserve">Chance to disarm when power bashing</t>
      </text>
    </comment>
    <comment authorId="0" ref="K51">
      <text>
        <t xml:space="preserve">Increases armor rating for Heavy Armor by 20% (+20% per additional rank)</t>
      </text>
    </comment>
    <comment authorId="0" ref="C52">
      <text>
        <t xml:space="preserve">Zooming in with a bow slows time by 25% (50% for second rank)
</t>
      </text>
    </comment>
    <comment authorId="0" ref="G52">
      <text>
        <t xml:space="preserve">Blocking is 20% more effective (+5% per additional rank)</t>
      </text>
    </comment>
    <comment authorId="0" ref="K52">
      <text>
        <t xml:space="preserve">10% chance to reflect melee damage back to the enemy while wearing all Heavy Armor: head, chest, hands, feet</t>
      </text>
    </comment>
    <comment authorId="0" ref="C53">
      <text>
        <t xml:space="preserve">Can draw a bow 30% faster</t>
      </text>
    </comment>
    <comment authorId="0" ref="G53">
      <text>
        <t xml:space="preserve">Sprinting with a shield raised knocks down most targets</t>
      </text>
    </comment>
    <comment authorId="0" ref="C54">
      <text>
        <t xml:space="preserve">Bows do 20% more damage (+20% per additional rank)</t>
      </text>
    </comment>
    <comment authorId="0" ref="C55">
      <text>
        <t xml:space="preserve">10% chance of a critical hit that does extra damage (+5% chance and +25% critical damage per additional rank)
</t>
      </text>
    </comment>
    <comment authorId="0" ref="C56">
      <text>
        <t xml:space="preserve">15% chance of paralyzing the target for a few seconds</t>
      </text>
    </comment>
    <comment authorId="0" ref="C60">
      <text>
        <t xml:space="preserve">One-handed weapons do 20% more damage (+20% per additional rank)</t>
      </text>
    </comment>
    <comment authorId="0" ref="G60">
      <text>
        <t xml:space="preserve">Can create Steel armor and weapons at forges, and improve them twice as much.</t>
      </text>
    </comment>
    <comment authorId="0" ref="K60">
      <text>
        <t xml:space="preserve"> Two-Handed weapons do 20% more damage (+20% per additional rank)</t>
      </text>
    </comment>
    <comment authorId="0" ref="C61">
      <text>
        <t xml:space="preserve">One-handed weapons do 20% more damage (+20% per additional rank)</t>
      </text>
    </comment>
    <comment authorId="0" ref="G61">
      <text>
        <t xml:space="preserve">Can create Elven armor and weapons at forges, and improve them twice as much.</t>
      </text>
    </comment>
    <comment authorId="0" ref="K61">
      <text>
        <t xml:space="preserve"> Two-Handed weapons do 20% more damage (+20% per additional rank)</t>
      </text>
    </comment>
    <comment authorId="0" ref="C62">
      <text>
        <t xml:space="preserve">Power attacks with one-handed weapons cost 25% less stamina</t>
      </text>
    </comment>
    <comment authorId="0" ref="G62">
      <text>
        <t xml:space="preserve">Can create Dwarven armor and weapons at forges, and improve them twice as much.
</t>
      </text>
    </comment>
    <comment authorId="0" ref="K62">
      <text>
        <t xml:space="preserve">Power attacks with two-handed weapons cost 25% less stamina</t>
      </text>
    </comment>
    <comment authorId="0" ref="C63">
      <text>
        <t xml:space="preserve">Dual wielding attacks are 20% faster (35% for second rank)</t>
      </text>
    </comment>
    <comment authorId="0" ref="G63">
      <text>
        <t xml:space="preserve">Can create Orcish armor and weapons at forges, and improve them twice as much.</t>
      </text>
    </comment>
    <comment authorId="0" ref="K63">
      <text>
        <t xml:space="preserve">Attacks with battle axes cause extra bleeding damage (Additional ranks raise the bleeding damage)</t>
      </text>
    </comment>
    <comment authorId="0" ref="C64">
      <text>
        <t xml:space="preserve">Attacks with swords have a 10% chance of doing critical damage (+5% per additional rank, does not apply to daggers)</t>
      </text>
    </comment>
    <comment authorId="0" ref="G64">
      <text>
        <t xml:space="preserve">Can create Scaled and Plate armor at forges, and improve them twice as much.</t>
      </text>
    </comment>
    <comment authorId="0" ref="K64">
      <text>
        <t xml:space="preserve">Attacks with warhammers ignore 25% of armor (+25% per additional rank)</t>
      </text>
    </comment>
    <comment authorId="0" ref="C65">
      <text>
        <t xml:space="preserve">Attacks with war axes cause extra bleeding damage (additional ranks raise the bleeding damage)</t>
      </text>
    </comment>
    <comment authorId="0" ref="G65">
      <text>
        <t xml:space="preserve">You can improve magical weapons and armor.</t>
      </text>
    </comment>
    <comment authorId="0" ref="K65">
      <text>
        <t xml:space="preserve">Attacks with greatswords have a 10% chance of doing critical damage (+5% per additional rank)</t>
      </text>
    </comment>
    <comment authorId="0" ref="C66">
      <text>
        <t xml:space="preserve"> Attacks with maces ignore 25% of armor (+25% per additional rank), this includes the armor provided by flesh spells and wards.</t>
      </text>
    </comment>
    <comment authorId="0" ref="G66">
      <text>
        <t xml:space="preserve">Can create Glass armor and weapons at forges, and improve them twice as much.</t>
      </text>
    </comment>
    <comment authorId="0" ref="K66">
      <text>
        <t xml:space="preserve"> Two-Handed weapons do 20% more damage (+20% per additional rank)</t>
      </text>
    </comment>
    <comment authorId="0" ref="C67">
      <text>
        <t xml:space="preserve">One-handed weapons do 20% more damage (+20% per additional rank)</t>
      </text>
    </comment>
    <comment authorId="0" ref="G67">
      <text>
        <t xml:space="preserve">Can create Ebony armor and weapons at forges, and improve them twice as much.</t>
      </text>
    </comment>
    <comment authorId="0" ref="K67">
      <text>
        <t xml:space="preserve">Standing power attacks do 25% bonus damage with a chance to decapitate your enemies</t>
      </text>
    </comment>
    <comment authorId="0" ref="C68">
      <text>
        <t xml:space="preserve">Dual wielding attacks are 20% faster (35% for second rank)</t>
      </text>
    </comment>
    <comment authorId="0" ref="G68">
      <text>
        <t xml:space="preserve">Can create Daedric armor and weapons at forges, and improve them twice as much.</t>
      </text>
    </comment>
    <comment authorId="0" ref="K68">
      <text>
        <t xml:space="preserve">Can do a two-handed power attack while sprinting that does double critical damage</t>
      </text>
    </comment>
    <comment authorId="0" ref="C69">
      <text>
        <t xml:space="preserve">Standing power attacks do 25% bonus damage with a chance to decapitate your enemies</t>
      </text>
    </comment>
    <comment authorId="0" ref="G69">
      <text>
        <t xml:space="preserve">Can create Dragon armor at forges, and improve them twice as much.</t>
      </text>
    </comment>
    <comment authorId="0" ref="K69">
      <text>
        <t xml:space="preserve"> Two-Handed weapons do 20% more damage (+20% per additional rank)</t>
      </text>
    </comment>
    <comment authorId="0" ref="C70">
      <text>
        <t xml:space="preserve">Can do a one-handed power attack while sprinting that does double critical damage</t>
      </text>
    </comment>
    <comment authorId="0" ref="K70">
      <text>
        <t xml:space="preserve">Attacks with battle axes cause extra bleeding damage (Additional ranks raise the bleeding damage)</t>
      </text>
    </comment>
    <comment authorId="0" ref="C71">
      <text>
        <t xml:space="preserve">One-handed weapons do 20% more damage (+20% per additional rank)</t>
      </text>
    </comment>
    <comment authorId="0" ref="K71">
      <text>
        <t xml:space="preserve">Attacks with warhammers ignore 25% of armor (+25% per additional rank)</t>
      </text>
    </comment>
    <comment authorId="0" ref="C72">
      <text>
        <t xml:space="preserve">Attacks with swords have a 10% chance of doing critical damage (+5% per additional rank, does not apply to daggers)</t>
      </text>
    </comment>
    <comment authorId="0" ref="K72">
      <text>
        <t xml:space="preserve">Attacks with greatswords have a 10% chance of doing critical damage (+5% per additional rank)</t>
      </text>
    </comment>
    <comment authorId="0" ref="C73">
      <text>
        <t xml:space="preserve">Attacks with war axes cause extra bleeding damage (additional ranks raise the bleeding damage)</t>
      </text>
    </comment>
    <comment authorId="0" ref="K73">
      <text>
        <t xml:space="preserve">Sideways power attacks with two-handed weapons hit all targets in front of you</t>
      </text>
    </comment>
    <comment authorId="0" ref="C74">
      <text>
        <t xml:space="preserve"> Attacks with maces ignore 25% of armor (+25% per additional rank), this includes the armor provided by flesh spells and wards.</t>
      </text>
    </comment>
    <comment authorId="0" ref="K74">
      <text>
        <t xml:space="preserve"> Two-Handed weapons do 20% more damage (+20% per additional rank)</t>
      </text>
    </comment>
    <comment authorId="0" ref="C75">
      <text>
        <t xml:space="preserve">Dual wielding power attacks do 50% bonus damage</t>
      </text>
    </comment>
    <comment authorId="0" ref="K75">
      <text>
        <t xml:space="preserve">Attacks with battle axes cause extra bleeding damage (Additional ranks raise the bleeding damage)</t>
      </text>
    </comment>
    <comment authorId="0" ref="C76">
      <text>
        <t xml:space="preserve">One-handed weapons do 20% more damage (+20% per additional rank)</t>
      </text>
    </comment>
    <comment authorId="0" ref="K76">
      <text>
        <t xml:space="preserve">Attacks with warhammers ignore 25% of armor (+25% per additional rank)</t>
      </text>
    </comment>
    <comment authorId="0" ref="C77">
      <text>
        <t xml:space="preserve">Attacks with swords have a 10% chance of doing critical damage (+5% per additional rank, does not apply to daggers)</t>
      </text>
    </comment>
    <comment authorId="0" ref="K77">
      <text>
        <t xml:space="preserve">Attacks with greatswords have a 10% chance of doing critical damage (+5% per additional rank)</t>
      </text>
    </comment>
    <comment authorId="0" ref="C78">
      <text>
        <t xml:space="preserve">Attacks with war axes cause extra bleeding damage (additional ranks raise the bleeding damage)</t>
      </text>
    </comment>
    <comment authorId="0" ref="K78">
      <text>
        <t xml:space="preserve">Backwards power attack has a 25% chance to paralyze the target</t>
      </text>
    </comment>
    <comment authorId="0" ref="C79">
      <text>
        <t xml:space="preserve">Attacks with maces ignore 25% of armor (+25% per additional rank), this includes the armor provided by flesh spells and wards.</t>
      </text>
    </comment>
    <comment authorId="0" ref="C80">
      <text>
        <t xml:space="preserve">Backwards power attack has a 25% chance to paralyze the target</t>
      </text>
    </comment>
    <comment authorId="0" ref="C85">
      <text>
        <t xml:space="preserve">Cast Novice level Alteration spells for half magicka</t>
      </text>
    </comment>
    <comment authorId="0" ref="G85">
      <text>
        <t xml:space="preserve">Cast Novice level Conjuration spells for half magicka</t>
      </text>
    </comment>
    <comment authorId="0" ref="K85">
      <text>
        <t xml:space="preserve">Cast Novice level Destruction spells for half magicka
</t>
      </text>
    </comment>
    <comment authorId="0" ref="C86">
      <text>
        <t xml:space="preserve">Dual casting an Alteration spell overcharges the effects into an even more powerful version</t>
      </text>
    </comment>
    <comment authorId="0" ref="G86">
      <text>
        <t xml:space="preserve">Dual casting a Conjuration spell overcharges the effects into a longer lasting version</t>
      </text>
    </comment>
    <comment authorId="0" ref="K86">
      <text>
        <t xml:space="preserve">Dual casting a Destruction spell overcharges the effects into an even more powerful version</t>
      </text>
    </comment>
    <comment authorId="0" ref="C87">
      <text>
        <t xml:space="preserve">Cast Apprentice level Alteration spells for half magicka</t>
      </text>
    </comment>
    <comment authorId="0" ref="G87">
      <text>
        <t xml:space="preserve">Bound weapons do more damage</t>
      </text>
    </comment>
    <comment authorId="0" ref="K87">
      <text>
        <t xml:space="preserve">Cast Apprentice level Destruction spells for half magicka
</t>
      </text>
    </comment>
    <comment authorId="0" ref="C88">
      <text>
        <t xml:space="preserve">Protection spells like Stoneflesh are twice as strong if not wearing armor (+0.5 per additional rank)</t>
      </text>
    </comment>
    <comment authorId="0" ref="G88">
      <text>
        <t xml:space="preserve"> Cast Apprentice level Conjuration spells for half magicka</t>
      </text>
    </comment>
    <comment authorId="0" ref="K88">
      <text>
        <t xml:space="preserve">Fire spells do 25% more damage (50% for second rank)</t>
      </text>
    </comment>
    <comment authorId="0" ref="C89">
      <text>
        <t xml:space="preserve">Blocks 10% of a spells effect. +10% per additional levels.</t>
      </text>
    </comment>
    <comment authorId="0" ref="G89">
      <text>
        <t xml:space="preserve">Can summon Atronachs, raise undead or Dremora lords twice as far away (three times as far for second rank at Conjuration 70)</t>
      </text>
    </comment>
    <comment authorId="0" ref="K89">
      <text>
        <t xml:space="preserve">Frost spells do 25% more damage (50% for second rank) 
</t>
      </text>
    </comment>
    <comment authorId="0" ref="C90">
      <text>
        <t xml:space="preserve">Cast Adept level Alteration spells for half magicka</t>
      </text>
    </comment>
    <comment authorId="0" ref="G90">
      <text>
        <t xml:space="preserve">Bound weapons cast Soul Trap on targets</t>
      </text>
    </comment>
    <comment authorId="0" ref="K90">
      <text>
        <t xml:space="preserve">Shock spells do 25% more damage (50% for second rank) 
</t>
      </text>
    </comment>
    <comment authorId="0" ref="C91">
      <text>
        <t xml:space="preserve">Protection spells like Stoneflesh are twice as strong if not wearing armor (+0.5 per additional rank)</t>
      </text>
    </comment>
    <comment authorId="0" ref="G91">
      <text>
        <t xml:space="preserve">Double duration for conjured Atronachs and Dremora Lords</t>
      </text>
    </comment>
    <comment authorId="0" ref="K91">
      <text>
        <t xml:space="preserve">Most destruction spells will stagger an opponent when dual cast
</t>
      </text>
    </comment>
    <comment authorId="0" ref="C92">
      <text>
        <t xml:space="preserve">Blocks 10% of a spells effect. +10% per additional levels.</t>
      </text>
    </comment>
    <comment authorId="0" ref="G92">
      <text>
        <t xml:space="preserve">Greater duration for reanimated undead</t>
      </text>
    </comment>
    <comment authorId="0" ref="K92">
      <text>
        <t xml:space="preserve">Can place runes five times farther away
</t>
      </text>
    </comment>
    <comment authorId="0" ref="C93">
      <text>
        <t xml:space="preserve">Alteration spells have greater duration (+50%)</t>
      </text>
    </comment>
    <comment authorId="0" ref="G93">
      <text>
        <t xml:space="preserve">Cast Adept level Conjuration spells for half magicka</t>
      </text>
    </comment>
    <comment authorId="0" ref="K93">
      <text>
        <t xml:space="preserve">Cast Adept level Destruction spells for half magicka
</t>
      </text>
    </comment>
    <comment authorId="0" ref="C94">
      <text>
        <t xml:space="preserve">Cast Expert level Alteration spells for half magicka</t>
      </text>
    </comment>
    <comment authorId="0" ref="G94">
      <text>
        <t xml:space="preserve">Can summon Atronachs, raise undead or Dremora lords twice as far away (three times as far for second rank at Conjuration 70)</t>
      </text>
    </comment>
    <comment authorId="0" ref="K94">
      <text>
        <t xml:space="preserve">Fire spells do 25% more damage (50% for second rank)
</t>
      </text>
    </comment>
    <comment authorId="0" ref="C95">
      <text>
        <t xml:space="preserve">Protection spells like Stoneflesh are twice as strong if not wearing armor (+0.5 per additional rank)</t>
      </text>
    </comment>
    <comment authorId="0" ref="G95">
      <text>
        <t xml:space="preserve"> Bound weapons will banish summoned creatures and turn raised ones</t>
      </text>
    </comment>
    <comment authorId="0" ref="K95">
      <text>
        <t xml:space="preserve">Fire damage causes targets to flee if their health is low
</t>
      </text>
    </comment>
    <comment authorId="0" ref="C96">
      <text>
        <t xml:space="preserve">Blocks 10% of a spells effect. +10% per additional levels.</t>
      </text>
    </comment>
    <comment authorId="0" ref="G96">
      <text>
        <t xml:space="preserve">Reanimated undead have 100 points more health</t>
      </text>
    </comment>
    <comment authorId="0" ref="K96">
      <text>
        <t xml:space="preserve">Frost spells do 25% more damage (50% for second rank) 
</t>
      </text>
    </comment>
    <comment authorId="0" ref="C97">
      <text>
        <t xml:space="preserve">Cast Master level Alteration spells for half magicka
</t>
      </text>
    </comment>
    <comment authorId="0" ref="G97">
      <text>
        <t xml:space="preserve">Cast Expert level Conjuration spells for half magicka</t>
      </text>
    </comment>
    <comment authorId="0" ref="K97">
      <text>
        <t xml:space="preserve">Shock spells do 25% more damage (50% for second rank) 
</t>
      </text>
    </comment>
    <comment authorId="0" ref="C98">
      <text>
        <t xml:space="preserve">Grants 30% Spell Absorption
</t>
      </text>
    </comment>
    <comment authorId="0" ref="G98">
      <text>
        <t xml:space="preserve">Conjured Atronachs are 50% more powerful</t>
      </text>
    </comment>
    <comment authorId="0" ref="K98">
      <text>
        <t xml:space="preserve">Frost damage paralyzes targets if their health is low
</t>
      </text>
    </comment>
    <comment authorId="0" ref="G99">
      <text>
        <t xml:space="preserve">Cast Master level Conjuration spells for half magicka</t>
      </text>
    </comment>
    <comment authorId="0" ref="K99">
      <text>
        <t xml:space="preserve">Shock damage disintegrates targets if their health is low
</t>
      </text>
    </comment>
    <comment authorId="0" ref="G100">
      <text>
        <t xml:space="preserve">The player can have two Atronachs, reanimated zombies or Dremora Lords</t>
      </text>
    </comment>
    <comment authorId="0" ref="K100">
      <text>
        <t xml:space="preserve">Cast Expert level Destruction spells for half magicka
</t>
      </text>
    </comment>
    <comment authorId="0" ref="K101">
      <text>
        <t xml:space="preserve">Cast Master level Destruction spells for half magicka</t>
      </text>
    </comment>
    <comment authorId="0" ref="C105">
      <text>
        <t xml:space="preserve">New enchantments are  (+20% per rank)</t>
      </text>
    </comment>
    <comment authorId="0" ref="G105">
      <text>
        <t xml:space="preserve"> Cast Novice level Illusion spells for half magicka.</t>
      </text>
    </comment>
    <comment authorId="0" ref="K105">
      <text>
        <t xml:space="preserve">Cast Novice level Restoration spells for half magicka</t>
      </text>
    </comment>
    <comment authorId="0" ref="C106">
      <text>
        <t xml:space="preserve">New enchantments are  (+20% per rank)</t>
      </text>
    </comment>
    <comment authorId="0" ref="G106">
      <text>
        <t xml:space="preserve">Dual casting an Illusion spell overcharges the effects into an even more powerful version.</t>
      </text>
    </comment>
    <comment authorId="0" ref="K106">
      <text>
        <t xml:space="preserve">Dual casting a Restoration spell overcharges the effects into an even more powerful version
</t>
      </text>
    </comment>
    <comment authorId="0" ref="C107">
      <text>
        <t xml:space="preserve">Soul gems provide extra magicka for recharging</t>
      </text>
    </comment>
    <comment authorId="0" ref="G107">
      <text>
        <t xml:space="preserve"> Illusion spells now work on higher level animals (+8 levels).</t>
      </text>
    </comment>
    <comment authorId="0" ref="K107">
      <text>
        <t xml:space="preserve">Healing spells cure 50% more</t>
      </text>
    </comment>
    <comment authorId="0" ref="C108">
      <text>
        <t xml:space="preserve">Fire enchantments on weapons and armor are 25% stronger</t>
      </text>
    </comment>
    <comment authorId="0" ref="G108">
      <text>
        <t xml:space="preserve">Cast Apprentice level Illusion spells for half magicka.</t>
      </text>
    </comment>
    <comment authorId="0" ref="K108">
      <text>
        <t xml:space="preserve">Cast Apprentice level Restoration spells for half magicka</t>
      </text>
    </comment>
    <comment authorId="0" ref="C109">
      <text>
        <t xml:space="preserve">New enchantments are  (+20% per rank)</t>
      </text>
    </comment>
    <comment authorId="0" ref="G109">
      <text>
        <t xml:space="preserve">Calm spells now work on higher level opponents (+8 levels).</t>
      </text>
    </comment>
    <comment authorId="0" ref="K109">
      <text>
        <t xml:space="preserve">Magicka regenerates 25% faster (50% for second rank)</t>
      </text>
    </comment>
    <comment authorId="0" ref="C110">
      <text>
        <t xml:space="preserve">Death blows to creatures, but not people, trap 5% of the victim's soul, recharging the weapon</t>
      </text>
    </comment>
    <comment authorId="0" ref="G110">
      <text>
        <t xml:space="preserve">All Illusion spells work on higher level people (+10 levels).</t>
      </text>
    </comment>
    <comment authorId="0" ref="K110">
      <text>
        <t xml:space="preserve">Healing spells also restore stamina</t>
      </text>
    </comment>
    <comment authorId="0" ref="C111">
      <text>
        <t xml:space="preserve">Frost enchantments on weapons and armor are 25% stronger</t>
      </text>
    </comment>
    <comment authorId="0" ref="G111">
      <text>
        <t xml:space="preserve">Cast Adept level Illusion spells for half magicka.
</t>
      </text>
    </comment>
    <comment authorId="0" ref="K111">
      <text>
        <t xml:space="preserve">Cast Adept level Restoration spells for half magicka</t>
      </text>
    </comment>
    <comment authorId="0" ref="C112">
      <text>
        <t xml:space="preserve">Shock enchantments on weapons and armor are 25% stronger</t>
      </text>
    </comment>
    <comment authorId="0" ref="G112">
      <text>
        <t xml:space="preserve">Fear spells work on higher level opponents (+10 levels).</t>
      </text>
    </comment>
    <comment authorId="0" ref="K112">
      <text>
        <t xml:space="preserve">Magicka regenerates 25% faster (50% for second rank)</t>
      </text>
    </comment>
    <comment authorId="0" ref="C113">
      <text>
        <t xml:space="preserve">Skill enchantments on armor are 25% stronger
</t>
      </text>
    </comment>
    <comment authorId="0" ref="G113">
      <text>
        <t xml:space="preserve">All spells cast from any school of magic are silent to others.</t>
      </text>
    </comment>
    <comment authorId="0" ref="K113">
      <text>
        <t xml:space="preserve">Wards that are cast absorb 25% of magicka that hits them.
</t>
      </text>
    </comment>
    <comment authorId="0" ref="C114">
      <text>
        <t xml:space="preserve">New enchantments are  (+20% per rank)</t>
      </text>
    </comment>
    <comment authorId="0" ref="G114">
      <text>
        <t xml:space="preserve">Frenzy spells work on higher level opponents (+12 levels).</t>
      </text>
    </comment>
    <comment authorId="0" ref="K114">
      <text>
        <t xml:space="preserve">All spells are more effective against undead
</t>
      </text>
    </comment>
    <comment authorId="0" ref="C115">
      <text>
        <t xml:space="preserve">Health, magicka and stamina enchantments on armor are 25% stronger</t>
      </text>
    </comment>
    <comment authorId="0" ref="G115">
      <text>
        <t xml:space="preserve">Cast Expert level Illusion spells for half magicka.
</t>
      </text>
    </comment>
    <comment authorId="0" ref="K115">
      <text>
        <t xml:space="preserve">Cast Expert level Restoration spells for half magicka</t>
      </text>
    </comment>
    <comment authorId="0" ref="C116">
      <text>
        <t xml:space="preserve">New enchantments are  (+20% per rank)</t>
      </text>
    </comment>
    <comment authorId="0" ref="G116">
      <text>
        <t xml:space="preserve"> Illusion spells work on undead, daedra and automatons.</t>
      </text>
    </comment>
    <comment authorId="0" ref="K116">
      <text>
        <t xml:space="preserve">Once a day, heals 250 points automatically if the caster falls below 10% health </t>
      </text>
    </comment>
    <comment authorId="0" ref="C117">
      <text>
        <t xml:space="preserve">Can put two enchantments on the same item</t>
      </text>
    </comment>
    <comment authorId="0" ref="G117">
      <text>
        <t xml:space="preserve">Cast Master level Illusion spells for half magicka.</t>
      </text>
    </comment>
    <comment authorId="0" ref="K117">
      <text>
        <t xml:space="preserve">Cast Master level Restoration spells for half magicka</t>
      </text>
    </comment>
    <comment authorId="0" ref="C122">
      <text>
        <t xml:space="preserve">50 point bonus to health, magicka and stamina as a Vampire Lord.</t>
      </text>
    </comment>
    <comment authorId="0" ref="G122">
      <text>
        <t xml:space="preserve">Do 25% more damage as a werewolf.</t>
      </text>
    </comment>
    <comment authorId="0" ref="K122">
      <text>
        <t xml:space="preserve">There is a 25% chance of creating a duplicate potion when using your alchemy skill.</t>
      </text>
    </comment>
    <comment authorId="0" ref="C123">
      <text>
        <t xml:space="preserve">Night Power: Detect all creatures, even dwarven automatons.</t>
      </text>
    </comment>
    <comment authorId="0" ref="G123">
      <text>
        <t xml:space="preserve">Do 50% more damage as a werewolf.</t>
      </text>
    </comment>
    <comment authorId="0" ref="K123">
      <text>
        <t xml:space="preserve">Healing spells cure 10% more.</t>
      </text>
    </comment>
    <comment authorId="0" ref="C124">
      <text>
        <t xml:space="preserve">Night Power: Turn into an invulnerable mist, while health, magicka, and stamina regenerate.</t>
      </text>
    </comment>
    <comment authorId="0" ref="G124">
      <text>
        <t xml:space="preserve">Do 75% more damage as a werewolf.</t>
      </text>
    </comment>
    <comment authorId="0" ref="K124">
      <text>
        <t xml:space="preserve">Grants a greater chance of finding additional gems in chests.</t>
      </text>
    </comment>
    <comment authorId="0" ref="C125">
      <text>
        <t xml:space="preserve">Night Power: Everything slows down while you move faster.</t>
      </text>
    </comment>
    <comment authorId="0" ref="G125">
      <text>
        <t xml:space="preserve">Do 100% more damage as a werewolf.</t>
      </text>
    </comment>
    <comment authorId="0" ref="K125">
      <text>
        <t xml:space="preserve">15% Resist Magic.</t>
      </text>
    </comment>
    <comment authorId="0" ref="C126">
      <text>
        <t xml:space="preserve">Killing a person with a power attack bite restores all your health.</t>
      </text>
    </comment>
    <comment authorId="0" ref="G126">
      <text>
        <t xml:space="preserve">Werewolf Totem of Brotherhood howl calls Ice Wolves.</t>
      </text>
    </comment>
    <comment authorId="0" ref="K126">
      <text>
        <t xml:space="preserve">You do more combat damage to the opposite sex. 10% more melee damage</t>
      </text>
    </comment>
    <comment authorId="0" ref="C127">
      <text>
        <t xml:space="preserve">Night Powers and Blood Magic cost 33% less.</t>
      </text>
    </comment>
    <comment authorId="0" ref="G127">
      <text>
        <t xml:space="preserve">Werewolf Totem of Brotherhood howl calls werewolves.</t>
      </text>
    </comment>
    <comment authorId="0" ref="K127">
      <text>
        <t xml:space="preserve">Increases Armor Rating by 25 points. Only effective if wearing all Nightingale Armor.</t>
      </text>
    </comment>
    <comment authorId="0" ref="C128">
      <text>
        <t xml:space="preserve">Melee attacks do 20 points of poison damage.</t>
      </text>
    </comment>
    <comment authorId="0" ref="G128">
      <text>
        <t xml:space="preserve">Werewolf Totem of Hunt howl has extended range, and shows whether the targets are not in combat, searching or actively in combat.</t>
      </text>
    </comment>
    <comment authorId="0" ref="K128">
      <text>
        <t xml:space="preserve">Knowledge gained from the Lexicon gives you a 25% bonus when wearing Dwarven Armor and Blacksmithing increases 15% faster.
Due to a bug Ancient Knowledge 
actually gives a 25% armor bonus while wearing any type of armor except Dwarven</t>
      </text>
    </comment>
    <comment authorId="0" ref="C129">
      <text>
        <t xml:space="preserve">In combat, you are surrounded by a cloud of bats that feed on enemies within melee range.</t>
      </text>
    </comment>
    <comment authorId="0" ref="G129">
      <text>
        <t xml:space="preserve">Werewolf Howl of Terror affects even higher level creatures.</t>
      </text>
    </comment>
    <comment authorId="0" ref="K129">
      <text>
        <t xml:space="preserve">Dragons do 25% less melee damage.</t>
      </text>
    </comment>
    <comment authorId="0" ref="C130">
      <text>
        <t xml:space="preserve">Blood Magic: Can pull a creature to you from a distance, and do choking damage once it's close.</t>
      </text>
    </comment>
    <comment authorId="0" ref="G130">
      <text>
        <t xml:space="preserve">100 point bonus to health and stamina in beast form.</t>
      </text>
    </comment>
    <comment authorId="0" ref="K130">
      <text>
        <t xml:space="preserve">Barter prices are 10% better when raining. With a full set of Light Armor equipped, stamina regenerates 5% faster in clear or clement weather. 10% chance of a critical hit that does 10% more critical damage with bows when overcast. With a full set of Heavy Armor equipped, armor rating increased by 10% when snowing.</t>
      </text>
    </comment>
    <comment authorId="0" ref="C131">
      <text>
        <t xml:space="preserve">Blood Magic: Can conjure a gargoyle to fight for you.</t>
      </text>
    </comment>
    <comment authorId="0" ref="G131">
      <text>
        <t xml:space="preserve">Feeding heals twice as much health.</t>
      </text>
    </comment>
    <comment authorId="0" ref="C132">
      <text>
        <t xml:space="preserve">Blood Magic: Target is paralyzed.</t>
      </text>
    </comment>
    <comment authorId="0" ref="G132">
      <text>
        <t xml:space="preserve">Able to feed off most dead creatures. Feeding off creatures instead of people only provides half the extended time.</t>
      </text>
    </comment>
  </commentList>
</comments>
</file>

<file path=xl/sharedStrings.xml><?xml version="1.0" encoding="utf-8"?>
<sst xmlns="http://schemas.openxmlformats.org/spreadsheetml/2006/main" count="16318" uniqueCount="4177">
  <si>
    <t>Version</t>
  </si>
  <si>
    <t>Date</t>
  </si>
  <si>
    <t>Notes</t>
  </si>
  <si>
    <t>Links</t>
  </si>
  <si>
    <t>Remember you need to download or copy the document before using it! 
Toolbar -&gt; File -&gt; Make a copy/Download
This way you'll be able to change cell values in your own copy.
Please DO NOT use cell comments to mark your progress by writing something like Y/N/Done/Yes/No, those are for feedback.</t>
  </si>
  <si>
    <t>Comments are open to everyone feel free to make suggestions or suggest fixes. Check the feedback and todo page first.</t>
  </si>
  <si>
    <t>Added perks gained from quests.
Minor formatting changes and corrections</t>
  </si>
  <si>
    <t>1.0 (finally)</t>
  </si>
  <si>
    <t>Added Anniversary Edition (CC) Quests. Added the percentages to track quests progession.  
Added Aniversary Edition  (CC) Spells, Enchanting Effects, Alchemy ingrediants and Locations
Alchemy Tab has been reorganized and list ingrediants effect duration and value multipliers if they have one. Also lists  if the ingrediant is growable and how many are harvested this way
Redid the formulas a bit so thay should be fine if you delete any Aniversary Edition content. I probably made some mistakes let me know if you see any.</t>
  </si>
  <si>
    <t xml:space="preserve">Added some quest items that can be pickpocketed back after completion. </t>
  </si>
  <si>
    <t>Unique horses added to Followers tab
Fjola's Wedding Band added to Vanilla uniques
Filters for sorting added</t>
  </si>
  <si>
    <t>Minor fixes to books tab. Added notes to a couple books with two versions 
Added notes to quest books that can be pickpocketed back
Changed name of the book "The "Madmen" of the Reach to contain quotes
Smithing perks notes fixed
Fixed a lot of misprints on the Enchantments tab</t>
  </si>
  <si>
    <t>Added perk trees for Werewolf and Vampire Lord
Bone hawk ring and amulet are removed from unique gear - craftable
Enchanted ring added again to vanilla Uniques since its optional to turn it in for a quest.
Layout of Perks tab changed to be more convenient.
Conditional formatting fixed across the whole spreadsheet.
Y/N changed to checkboxes on every tab except Quest because it needs to be redone anyway.
Books type column fixed, skill books and spell tomes style changed for better sorting
About 25 empty descriptions filled in in Books tab.
Multiple link errors fixed and all of them are verified plus consistent now on all tabs except quests</t>
  </si>
  <si>
    <r>
      <rPr>
        <rFont val="Calibri"/>
      </rPr>
      <t xml:space="preserve">Removed Enchanted ring from vanilla Uniques - quest item
Removed Chrysamere from vanilla Uniques - CC content
Removed Tandil's Staff from vanilla Uniques - quest item
Zephyr and Talor Dreth's robes are moved to Dawnguard Uniques
Mutually exclusive items are now marked
Added following list of vanilla uniques:
     </t>
    </r>
    <r>
      <rPr>
        <rFont val="Calibri"/>
        <color rgb="FF1155CC"/>
        <u/>
      </rPr>
      <t>https://pastebin.com/PZKAsnFa</t>
    </r>
    <r>
      <rPr>
        <rFont val="Calibri"/>
      </rPr>
      <t xml:space="preserve">
Added following Dawnguard uniques:
     Akaviri Sword
     Staff of Ruunvald
     Vampire Royal Armor
     Bone Hawk Ring
     Bone Hawk Amulet
Added following Dragonborn uniques:
     Ancient Nordic Pickaxe
Unique Gear tab added to Dashboard</t>
    </r>
  </si>
  <si>
    <r>
      <rPr>
        <rFont val="Calibri"/>
      </rPr>
      <t xml:space="preserve">Added 5 paragons to Collectables tab
Added following list of misc collectables :
       </t>
    </r>
    <r>
      <rPr>
        <rFont val="Calibri"/>
        <color rgb="FF000000"/>
      </rPr>
      <t xml:space="preserve"> </t>
    </r>
    <r>
      <rPr>
        <rFont val="Calibri"/>
        <color rgb="FF1155CC"/>
        <u/>
      </rPr>
      <t xml:space="preserve">https://pastebin.com/WPE38dbh
</t>
    </r>
    <r>
      <rPr>
        <rFont val="Calibri"/>
      </rPr>
      <t>Collectables tab added to Dashboard</t>
    </r>
  </si>
  <si>
    <t>Fixed some minor formatting issues
Fixed spell location column
Added missing tome ids for DLC spells</t>
  </si>
  <si>
    <t>Civil war locations are separated from the main list
All fast travel markers verified
Location added: 
         The Chill
         Skuldafn
Minor style and error fixes
Formulas for locations tab replaced.
Locations and Merchants tabs added to dashboard.
Added "List" column to the Books tab with link to an explanation</t>
  </si>
  <si>
    <r>
      <rPr>
        <rFont val="Calibri"/>
      </rPr>
      <t xml:space="preserve">Removed duplicate book:  
        Diary of Faire Agarwen
Removed unobtainable books:
        Gallus's Journal
        The Secrets of Ragnvald
        Tolfdir's Book
        Unsent Afflicted Letter
Added 3 Elder Scrolls as quest books
Following list of books moved to quest books:
      </t>
    </r>
    <r>
      <rPr>
        <rFont val="Calibri"/>
        <i/>
      </rPr>
      <t xml:space="preserve">  </t>
    </r>
    <r>
      <rPr>
        <rFont val="Calibri"/>
        <i/>
        <color rgb="FF1155CC"/>
        <u/>
      </rPr>
      <t>https://pastebin.com/RwnZMCNK</t>
    </r>
    <r>
      <rPr>
        <rFont val="Calibri"/>
      </rPr>
      <t xml:space="preserve">
Fixed links to DG spell tomes
Fixed style on books tab
Removed Jarrin root from alchemy ingridients due to it being unique quest item.
Added following spells:
        Summon Unbound Dremora
        Arniel Convection 
        Summon Arniel's Shade
Added prototype of the Dashboard tab with optional tracking. 
Requires testing and fixing other tabs to be fully complete</t>
    </r>
  </si>
  <si>
    <t>Fixed incorrect spell levels
Added missing spell Vision of the Tenth eye
Added missing location East Empire company Warehouse
Added  7 missing unique items. Theres probably more I didn't catch
Added missing book Children of the All Maker
Removed duplicate book The "Madmen" of the Reach
Added a hidden quest Archery Practice given by Angi in outside Falkreath</t>
  </si>
  <si>
    <t>Added missing Dragonborn and Dawngaurd books
Marked some book which must be turned in for quests</t>
  </si>
  <si>
    <t>Added numbering to spell levels to make sorting easier
Marked spells that all races start with as already collected
Added missing location quest for Lair's retreat
Fixed a few typos and some cleanup on quest tab
Moved a couple quests to the correct location</t>
  </si>
  <si>
    <t>Fixed some typos, errors in book count formulas, and 1 missing book, slight formatting changes</t>
  </si>
  <si>
    <t>Finished adding all missing DLC spells and spell tomes</t>
  </si>
  <si>
    <t>Finished adding links to Quest tab</t>
  </si>
  <si>
    <t>Corrected two locations which are not on the map
Added Hunter's rest and Raven Rock Mine to locations</t>
  </si>
  <si>
    <t>Added missing Nightingale armor pieces to Unique Gear</t>
  </si>
  <si>
    <t>Added missing unique item Staff of Jerik Gaudurson
Added some items to gather to the lists in quest tab
Fixed conditional formatting on quests tab</t>
  </si>
  <si>
    <t>Added links to: spells tab, followers tab, shouts tab, alchemy ingrediants tab, merchants tab
Removed two duplicate Unique items</t>
  </si>
  <si>
    <t>Added spell tomes and links to Books sheet
Fixed error in read books formula
More edits for consistancy
Added formula and conditional formatting for total thieves guild jobs.</t>
  </si>
  <si>
    <t>Added two missing Inns to the list of locations
Fixed some slight errors in formulas</t>
  </si>
  <si>
    <t>Made a few modifications for consistancy
Added Merchants tab</t>
  </si>
  <si>
    <t>First Release</t>
  </si>
  <si>
    <t>Completion Percentage</t>
  </si>
  <si>
    <t>Task Name</t>
  </si>
  <si>
    <t>Key (rough estmates): 0-10% = Not started/outlined only   11-90%= In progress  91-99%= Almost done; Needs final checks   100%= Complete</t>
  </si>
  <si>
    <t>Comments are open to everyone please suggest changes! 
Please put comments in the appropriate spot. On the specific item in the to do list if it relates to the page as a whole or the spot in the page itself that has a problem. I can only have one active comment thread per cell If one already exists just add to the thread.</t>
  </si>
  <si>
    <t>DO NOT close or open a comment that is not your own. I need those to fix issues and I will close them as needed.</t>
  </si>
  <si>
    <t>Comment on this cell with any NEW suggestions for features or fixes</t>
  </si>
  <si>
    <t>Comment on this cell for general discussion, feedback, questions on checklist</t>
  </si>
  <si>
    <t>Add Dawnguard and Dragonborn Spells and Spell tomes</t>
  </si>
  <si>
    <t>Add Dawnguard and Dragonborn Books</t>
  </si>
  <si>
    <t>Add Dawnguard and Dragonborn ingredients and effects</t>
  </si>
  <si>
    <t>Add a column for which leveled list each book is in to aid in finding them</t>
  </si>
  <si>
    <t>Verify all fast-travel locations and check for duplicates</t>
  </si>
  <si>
    <t>Verify that all recruitable followers are in the list and that they are properly marked</t>
  </si>
  <si>
    <t>Find quest-related books which must be turned in and remove them from Books list</t>
  </si>
  <si>
    <t>Add more data to the recruitable followers list (gender, race, etc.)</t>
  </si>
  <si>
    <t>Fix spell locations column. I didn't make it I have no idea what all those letters mean.</t>
  </si>
  <si>
    <t>Add more collectables to collectables tab. Only unique items that are not equippable should go here.</t>
  </si>
  <si>
    <t xml:space="preserve">Verify all unique gear is in the list and remove any quest-specific items that must be turned in to complete the quest </t>
  </si>
  <si>
    <t>Add werewolf and vampire perks to Perks tab</t>
  </si>
  <si>
    <t>Add UESP links to followers</t>
  </si>
  <si>
    <t>Add UESP links to Alchemy ingredients</t>
  </si>
  <si>
    <t>Fix Information on the books tab</t>
  </si>
  <si>
    <t>Add UESP links to collectables</t>
  </si>
  <si>
    <t>Add UESP links to Merchants</t>
  </si>
  <si>
    <t>Add UESP links in the shouts tab.</t>
  </si>
  <si>
    <t>Add UESP links to spells</t>
  </si>
  <si>
    <t>Create filters for two-click sorting wherever its possible</t>
  </si>
  <si>
    <t>Add Effect strength, Value and Duration modifiers to Alchemy tab</t>
  </si>
  <si>
    <t>Add Creation Club items to unique gear, Alchemy ingredients, Quests, Books, Spells etc. Clearly mark and separate them.</t>
  </si>
  <si>
    <t>Manually verify that all quests are accounted for on the Tab.</t>
  </si>
  <si>
    <t>Add UESP links to quests</t>
  </si>
  <si>
    <t xml:space="preserve">Finish items to store for quests list </t>
  </si>
  <si>
    <t>Create a dashboard tab that tracks how close you are to completion</t>
  </si>
  <si>
    <t>Reorganize the quests tab so that it clearly outlines conflicting quests and is easily read and totaled up.</t>
  </si>
  <si>
    <t>Make formatting consistant on all tabs</t>
  </si>
  <si>
    <t>Unify color scheme on all tabs</t>
  </si>
  <si>
    <t>Add a list of notes (probably not happening)</t>
  </si>
  <si>
    <t>Tab name</t>
  </si>
  <si>
    <t>Track</t>
  </si>
  <si>
    <t>Progress bar</t>
  </si>
  <si>
    <t>Completed %</t>
  </si>
  <si>
    <t>Left %</t>
  </si>
  <si>
    <t>Multiplier</t>
  </si>
  <si>
    <t>Total progression</t>
  </si>
  <si>
    <t>Y</t>
  </si>
  <si>
    <t>Quests</t>
  </si>
  <si>
    <t>Enchanting Effects</t>
  </si>
  <si>
    <t>Spells</t>
  </si>
  <si>
    <t>Dragon Shouts</t>
  </si>
  <si>
    <t>Locations</t>
  </si>
  <si>
    <t>Merchants Invested</t>
  </si>
  <si>
    <t>Unique Gear</t>
  </si>
  <si>
    <t>Collectible Items</t>
  </si>
  <si>
    <t>Books</t>
  </si>
  <si>
    <t>Recruitable Followers</t>
  </si>
  <si>
    <t>Learned Alchemy Effects</t>
  </si>
  <si>
    <t>Perks</t>
  </si>
  <si>
    <t>Name</t>
  </si>
  <si>
    <t>Author</t>
  </si>
  <si>
    <t>Contributions</t>
  </si>
  <si>
    <t>Current Document</t>
  </si>
  <si>
    <t>Xboxiscrunchy</t>
  </si>
  <si>
    <t>Main author. Mostly formatting work honestly.</t>
  </si>
  <si>
    <t>Mezotaken</t>
  </si>
  <si>
    <t xml:space="preserve">Reformatting and many additions </t>
  </si>
  <si>
    <t>Skyrim 100% Completion Checklist v0.6</t>
  </si>
  <si>
    <t xml:space="preserve">TheDJjams
</t>
  </si>
  <si>
    <t>Quests tab formulas and creation club content</t>
  </si>
  <si>
    <t>Skyrim AE 100% Completion Checklist (v0.5) - AleHitti Version</t>
  </si>
  <si>
    <t xml:space="preserve">Alejandro Hitti </t>
  </si>
  <si>
    <t>Most of the creation club additions except the quests tab, Redoing Alchemy Tab</t>
  </si>
  <si>
    <t>IP - Skyrim AE 100% Completion Checklist (v0.5) - AshCamo Personal Edit</t>
  </si>
  <si>
    <t>Ashley Motter</t>
  </si>
  <si>
    <t>Most of the creation club additions except the quests tab</t>
  </si>
  <si>
    <t>Chasingcalliope</t>
  </si>
  <si>
    <t>Reformatted the books tab.</t>
  </si>
  <si>
    <t>Skyrim 100% Checklist (v0.01)</t>
  </si>
  <si>
    <t>bastionf***s</t>
  </si>
  <si>
    <t>Everything below was compiled here by bastionfucks</t>
  </si>
  <si>
    <t>roachy1</t>
  </si>
  <si>
    <t>The Books tab is based off of roachy1's work and the UESP wiki.</t>
  </si>
  <si>
    <t>porter2613</t>
  </si>
  <si>
    <t>The Perks tab is based off of porter2613's work.</t>
  </si>
  <si>
    <t>alanchavez</t>
  </si>
  <si>
    <t>The spells tab is a copy of alanchavez's work</t>
  </si>
  <si>
    <t>Sakr3d</t>
  </si>
  <si>
    <t xml:space="preserve"> The Quests, Collectible Items, and Dragon Shout tabs are based off of Sakr3d's work. </t>
  </si>
  <si>
    <t>u/Guysmiley777</t>
  </si>
  <si>
    <t>The Alchemy tabis based of off Guysmiley777's wor.</t>
  </si>
  <si>
    <t>All Authors</t>
  </si>
  <si>
    <t>The UESP wiki was the best resource and I am forever in your debt.</t>
  </si>
  <si>
    <t>Bastionfucks built the orininal spreadsheet based on the work of the spreadsheets that other people made.
I have added to his work by refining the spreadsheet and adding edits for consistency and some missing info</t>
  </si>
  <si>
    <t>Anniversary Edition?</t>
  </si>
  <si>
    <t>S K Y R I M    Q U E S T    C H E C K L I S T</t>
  </si>
  <si>
    <t>Side quests highlighted in orange. Level dependent quests highlighted in green.</t>
  </si>
  <si>
    <t>last updated: 2023.07.14</t>
  </si>
  <si>
    <t>Quest</t>
  </si>
  <si>
    <t>Description</t>
  </si>
  <si>
    <t>Giver</t>
  </si>
  <si>
    <t>Main Quest</t>
  </si>
  <si>
    <t>N</t>
  </si>
  <si>
    <t>Escape Imperial custody and a dragon raid.</t>
  </si>
  <si>
    <t>N/A</t>
  </si>
  <si>
    <t>Inform the Jarl of Whiterun about the dragon attack on Helgen.</t>
  </si>
  <si>
    <t>Hadvar or Ralof</t>
  </si>
  <si>
    <t>Retrieve the Dragonstone.</t>
  </si>
  <si>
    <t>Jarl Balgruuf</t>
  </si>
  <si>
    <t>Investigate a Dragon sighting near Whiterun.</t>
  </si>
  <si>
    <t>Meet the Greybeards.</t>
  </si>
  <si>
    <t>Retrieve a Greybeard artifact from Ustengrav.</t>
  </si>
  <si>
    <t>Arngeir</t>
  </si>
  <si>
    <t>Prove you are Dragonborn to Delphine by slaying the dragon Sahloknir.</t>
  </si>
  <si>
    <t>A Mysterious Note</t>
  </si>
  <si>
    <t>Infiltrate a party at the Thalmor Embassy.</t>
  </si>
  <si>
    <t>Delphine</t>
  </si>
  <si>
    <t>Locate Esbern.</t>
  </si>
  <si>
    <t>Locate the prophecy within Sky Haven Temple.</t>
  </si>
  <si>
    <t>Esbern</t>
  </si>
  <si>
    <t>Receive a lesson from Paarthurnax.</t>
  </si>
  <si>
    <t>Locate an Elder Scroll.</t>
  </si>
  <si>
    <t>Paarthurnax</t>
  </si>
  <si>
    <t>Exploit the Time Wound to learn Dragonrend.</t>
  </si>
  <si>
    <t>Capture and interrogate one of Alduin's allies.</t>
  </si>
  <si>
    <t>Paarthurnax
Arngeir
Esbern</t>
  </si>
  <si>
    <t>Deal with a potential threat.</t>
  </si>
  <si>
    <t>Enforce a ceasefire to secure Dragonsreach.</t>
  </si>
  <si>
    <t>Battle through Skuldafn Temple to reach Alduin's portal to Sovngarde.</t>
  </si>
  <si>
    <t>Seek out Alduin within Sovngarde.</t>
  </si>
  <si>
    <t>Put an end to the World Eater.</t>
  </si>
  <si>
    <t>Faction Quests</t>
  </si>
  <si>
    <t>College of Winterhold</t>
  </si>
  <si>
    <t>Main Quests</t>
  </si>
  <si>
    <t>Radiant Quests</t>
  </si>
  <si>
    <t>Visit the College of Winterhold.</t>
  </si>
  <si>
    <t>Sergius wants you to pick-up an item from a client for enchanting.</t>
  </si>
  <si>
    <t>Sergius Turrianus</t>
  </si>
  <si>
    <t>Join the College of Winterhold.</t>
  </si>
  <si>
    <t>Help Sergius Turrianus to fill his stock with soul gems.</t>
  </si>
  <si>
    <t>Uncover the mysteries beneath this ancient ruin.</t>
  </si>
  <si>
    <t>Tolfdir</t>
  </si>
  <si>
    <t>Help Tolfdir find his missing alembic.</t>
  </si>
  <si>
    <t>Find the books needed to identify the artifact found in Saarthal.</t>
  </si>
  <si>
    <t>Savos Aren</t>
  </si>
  <si>
    <t>Put an end to the rupture caused by the Eye of Magnus.</t>
  </si>
  <si>
    <t>Find and consult the Augur of Dunlain.</t>
  </si>
  <si>
    <t>Fetch a book for Urag gro-Shub.</t>
  </si>
  <si>
    <t>Urag
gro-Shub</t>
  </si>
  <si>
    <t>Discover the location of Magnus' staff.</t>
  </si>
  <si>
    <t>Mirabelle Ervine</t>
  </si>
  <si>
    <t>Discover the writings of Shalidor and benefit from his wisdom.</t>
  </si>
  <si>
    <t>Urag 
gro-Shub</t>
  </si>
  <si>
    <t>Deal with the aftermath of the Eye's power surge.</t>
  </si>
  <si>
    <t>Master Skill Quests</t>
  </si>
  <si>
    <t>Retrieve the Staff of Magnus.</t>
  </si>
  <si>
    <t>Find the Fang and use it to get Heartscales from a dragon.</t>
  </si>
  <si>
    <t>Reclaim the College and contain the Eye.</t>
  </si>
  <si>
    <t>Find a Sigil Stone by summoning a Daedra.</t>
  </si>
  <si>
    <t>Phinis Gestor</t>
  </si>
  <si>
    <t>Optional Quests</t>
  </si>
  <si>
    <t>Learn the most powerful Destruction spells in Skyrim.</t>
  </si>
  <si>
    <t>Faralda</t>
  </si>
  <si>
    <t>Uncover an ancient Dwemer secret.</t>
  </si>
  <si>
    <t>Arniel Gane</t>
  </si>
  <si>
    <t>Find some books about Illusion Magic to learn Master Spells.</t>
  </si>
  <si>
    <t>Drevis Neloren</t>
  </si>
  <si>
    <t>Help Brelyna Maryon test spells.</t>
  </si>
  <si>
    <t>Brelyna Maryon</t>
  </si>
  <si>
    <t>Find the Augur of Dunlain and learn more about Restoration Magic.</t>
  </si>
  <si>
    <t>Colette Marence</t>
  </si>
  <si>
    <t>Help J'zargo test out a fiery new spell.</t>
  </si>
  <si>
    <t>J'zargo</t>
  </si>
  <si>
    <t>Help Onmund negotiate the return of a family amulet.</t>
  </si>
  <si>
    <t>Onmund</t>
  </si>
  <si>
    <t>Purify the focus points for magical energy around the College.</t>
  </si>
  <si>
    <t>Make amends for breaking the College of Winterhold rules.</t>
  </si>
  <si>
    <t>Kill a member of the college</t>
  </si>
  <si>
    <r>
      <rPr>
        <rFont val="Calibri"/>
        <color rgb="FFFFFFFF"/>
        <sz val="14.0"/>
      </rPr>
      <t xml:space="preserve">Bards College </t>
    </r>
    <r>
      <rPr>
        <rFont val="Calibri"/>
        <color rgb="FFFFFFFF"/>
        <sz val="8.0"/>
      </rPr>
      <t>(Solitude)</t>
    </r>
  </si>
  <si>
    <r>
      <rPr>
        <rFont val="Calibri"/>
        <color rgb="FFFFFFFF"/>
        <sz val="14.0"/>
      </rPr>
      <t xml:space="preserve">Companions </t>
    </r>
    <r>
      <rPr>
        <rFont val="Calibri"/>
        <color rgb="FFFFFFFF"/>
        <sz val="8.0"/>
      </rPr>
      <t>(Whiterun)</t>
    </r>
  </si>
  <si>
    <t>Side Quests</t>
  </si>
  <si>
    <t>Quest Line</t>
  </si>
  <si>
    <t>Unveil the truth about a King; become a member of Bards College.</t>
  </si>
  <si>
    <t>Viarmo</t>
  </si>
  <si>
    <t>Take Up Arms</t>
  </si>
  <si>
    <t>Prove you are worthy to join the Companions.</t>
  </si>
  <si>
    <t xml:space="preserve"> </t>
  </si>
  <si>
    <t>Miscellaneous Quests</t>
  </si>
  <si>
    <t>Complete one radiant quest.</t>
  </si>
  <si>
    <t>Investigate the Bards College.</t>
  </si>
  <si>
    <t>Any Bard</t>
  </si>
  <si>
    <t>Claim a Fragment of Wuuthrad from Dustman's Cairn.</t>
  </si>
  <si>
    <t>Skjor</t>
  </si>
  <si>
    <t>Return an invaluable lute to Inge Six Fingers.</t>
  </si>
  <si>
    <t>Inge Six Fingers</t>
  </si>
  <si>
    <t>Find a missing flute for Pantea.</t>
  </si>
  <si>
    <t>Pantea Ateia</t>
  </si>
  <si>
    <t>Join the Circle and clear Gallows Rock of werewolf hunters.</t>
  </si>
  <si>
    <t>Retrieve a drum for Giraud Gemane.</t>
  </si>
  <si>
    <t>Giraud Gemane</t>
  </si>
  <si>
    <t>Complete two radiant quests. At least one from Aela.</t>
  </si>
  <si>
    <t>Blades</t>
  </si>
  <si>
    <t>Claim the head of a Glenmoril Witch for Kodlak Whitemane.</t>
  </si>
  <si>
    <t>Kodlak Whitemane</t>
  </si>
  <si>
    <t>Retrieve the Fragments of Wuuthrad.</t>
  </si>
  <si>
    <t>Vilkas</t>
  </si>
  <si>
    <t>Recruit new members for the Blades.</t>
  </si>
  <si>
    <t>Cure Kodlak's spirit and prove yourself as a true Companion.</t>
  </si>
  <si>
    <t>Kill a dragon at its lair.</t>
  </si>
  <si>
    <t>Help Esbern complete his research on dragons.</t>
  </si>
  <si>
    <t>Aela the Huntress Radiant Quests</t>
  </si>
  <si>
    <t>Fulfill a Companion contract to kill an invading beast.</t>
  </si>
  <si>
    <t>Aela</t>
  </si>
  <si>
    <t>Fulfill a Companion contract to clear out a beast den.</t>
  </si>
  <si>
    <t>Assassinate a Silver Hand leader.</t>
  </si>
  <si>
    <t>Search a Silver Hand hideout for information on their headquarters.</t>
  </si>
  <si>
    <t>Retrieve a fragment of Wuuthrad. Unavailable after Glory of the Dead.</t>
  </si>
  <si>
    <t>Find a Totem of Hircine. Only available if you are a werewolf.</t>
  </si>
  <si>
    <t>Farkas Radiant Quests</t>
  </si>
  <si>
    <t>Fulfill a Companion contract bring a citizen back in line.</t>
  </si>
  <si>
    <t>Farkas</t>
  </si>
  <si>
    <t>Fulfill a Companion contract to clear out a troublesome area.</t>
  </si>
  <si>
    <t>Skjor / Vilkas Radiant Quests</t>
  </si>
  <si>
    <t>Fulfill a Companion contract to retrieve a stolen family heirloom.</t>
  </si>
  <si>
    <t>Skjor or Vilkas</t>
  </si>
  <si>
    <t>Fulfill a Companion contract to hunt down an escaped criminal.</t>
  </si>
  <si>
    <t>Fulfill a Companion contract to rescue a kidnapped citizen.</t>
  </si>
  <si>
    <t>Help a member of the Circle give up their beast hood.</t>
  </si>
  <si>
    <t>Farkas or Vilkas</t>
  </si>
  <si>
    <t>Go to a dragon lair with Farkas or Vilkas and kill the dragon.</t>
  </si>
  <si>
    <t>The Dark Brotherhood</t>
  </si>
  <si>
    <t>Contract Quests</t>
  </si>
  <si>
    <t>Convince farmer to help a stranded jester outside of Whiterun.</t>
  </si>
  <si>
    <t>Cicero</t>
  </si>
  <si>
    <t>Kill a hapless beggar in Ivarstead.</t>
  </si>
  <si>
    <t>Nazir</t>
  </si>
  <si>
    <t>Help an orphaned child avoid being returned to a caretaker.</t>
  </si>
  <si>
    <t>Aventus Aretino</t>
  </si>
  <si>
    <t>Resolve a feud in Dawnstar.</t>
  </si>
  <si>
    <t>Show you are willing to kill on command.</t>
  </si>
  <si>
    <t>Kill Ennodius Papius.</t>
  </si>
  <si>
    <t>Pick up your first contracts as a Brotherhood member.</t>
  </si>
  <si>
    <t>Astrid</t>
  </si>
  <si>
    <t>Kill Hern, a reclusive vampire.</t>
  </si>
  <si>
    <t>Help Muiri get her revenge.</t>
  </si>
  <si>
    <t>Silence a terrible bard, permanently.</t>
  </si>
  <si>
    <t>Spy on the Night Mother's keeper.</t>
  </si>
  <si>
    <t>Slay an Argonian looting a shipwreck.</t>
  </si>
  <si>
    <t>Meet Amaund Motierre inside Volunruud.</t>
  </si>
  <si>
    <t>Fulfill a Dark Brotherhood contract assassinate Ma'randru-jo.</t>
  </si>
  <si>
    <t>Assassinate Vittoria Vici at her own wedding.</t>
  </si>
  <si>
    <t>Fulfill a Dark Brotherhood contract assassinate Anoriath.</t>
  </si>
  <si>
    <t>Kill and frame the son of a high-ranking Imperial guard.</t>
  </si>
  <si>
    <t>Fulfill a Dark Brotherhood contract assassinate Agnis.</t>
  </si>
  <si>
    <t>Confront the traitor among the Dark Brotherhood.</t>
  </si>
  <si>
    <t>Gabriella</t>
  </si>
  <si>
    <t>Kill Maluril in Mzinchaleft.</t>
  </si>
  <si>
    <t>Assume the identity of the famous Gourmet.</t>
  </si>
  <si>
    <t>Fulfill a Dark Brotherhood contract assassinate Helvard.</t>
  </si>
  <si>
    <t>Attempt to assassinate the Emperor.</t>
  </si>
  <si>
    <t>Kill a pirate captain on her own ship.</t>
  </si>
  <si>
    <t>Assist Brotherhood members in the fight against assault.</t>
  </si>
  <si>
    <t>Fulfill the biggest contract in Brotherhood history.</t>
  </si>
  <si>
    <t>Night Mother</t>
  </si>
  <si>
    <t>Find Dark Brotherhood Assassin. 
(Quest activates if you successfully completed Breaching Security and received a bonus from Gabriella.)</t>
  </si>
  <si>
    <t>Olava the Feeble</t>
  </si>
  <si>
    <t>Other Quests</t>
  </si>
  <si>
    <t>Destroy the Dark Brotherhood!</t>
  </si>
  <si>
    <t>Finish the Dark Brotherhood and rid Skyrim of their kind.</t>
  </si>
  <si>
    <t>After killing Astrid</t>
  </si>
  <si>
    <t>Where You Hang Your Enemy's Head…</t>
  </si>
  <si>
    <t>Restore the Dark Brotherhood's sanctuary.</t>
  </si>
  <si>
    <t>Torture the Brotherhood's prisoners for treasure.
(This quest activates after purchasing the torture room for the Dawnstar Sanctuary.)</t>
  </si>
  <si>
    <t>Torture Victims</t>
  </si>
  <si>
    <t>Honor Thy Family</t>
  </si>
  <si>
    <t>Regain the trust of your fellow Assassins.</t>
  </si>
  <si>
    <t>The Dark Brotherhood Forever</t>
  </si>
  <si>
    <t>Yet another child has prayed to their mother.</t>
  </si>
  <si>
    <r>
      <rPr>
        <rFont val="Calibri"/>
        <color rgb="FFFFFFFF"/>
        <sz val="14.0"/>
      </rPr>
      <t xml:space="preserve">Thieves Guild </t>
    </r>
    <r>
      <rPr>
        <rFont val="Calibri"/>
        <color rgb="FFFFFFFF"/>
        <sz val="8.0"/>
      </rPr>
      <t>(Riften)</t>
    </r>
  </si>
  <si>
    <t>Special Job Quests</t>
  </si>
  <si>
    <t>Help teach a merchant to mind his own business.</t>
  </si>
  <si>
    <t>Brynjolf</t>
  </si>
  <si>
    <t>Delvin's and Vex's quests become available once you join the guild, and can be repeated indefinitely. In addition to the monetary reward for completing these quests, they also count towards restoring the guild's status in Skyrim. In order to start the final Thieves Guild quest, Under New Management, you must complete five of these jobs in each of the other four main cities in Skyrim (Markarth, Solitude, Whiterun, and Windhelm), at which point Delvin will give you a special "reputation" job in that city. Completing these jobs also contributes to improving the guild.</t>
  </si>
  <si>
    <t>Help Brynjolf collect some debts for the Thieves Guild.</t>
  </si>
  <si>
    <t>Send a message to a former Thieves Guild client.</t>
  </si>
  <si>
    <t>Put Maven Black-Briar's competition out of business.</t>
  </si>
  <si>
    <t>Brynjolf or 
Maven</t>
  </si>
  <si>
    <t>Squeeze a reluctant informer for information.</t>
  </si>
  <si>
    <t>Mercer Frey</t>
  </si>
  <si>
    <t>Shadowmarks:          Guild           Safe           Danger       Escape      Protected
Shadowmarks:         Fence        Cache          Loot           Empty</t>
  </si>
  <si>
    <t>Track down the Dunmer behind the Guild's misfortunes.</t>
  </si>
  <si>
    <t>Help translate Gallus' journal.</t>
  </si>
  <si>
    <t>Enthir</t>
  </si>
  <si>
    <t>Break into Mercer Frey's house and search for clues.</t>
  </si>
  <si>
    <t>Become one of the Nightingales, Nocturnal's guardians.</t>
  </si>
  <si>
    <t>Karliah</t>
  </si>
  <si>
    <t xml:space="preserve">Complete 125 total special jobs to unlock all Thieves Guild upgrades.  Tracks the higher of either total jobs done in every city or total jobs of each type </t>
  </si>
  <si>
    <t>Stop Mercer Frey.</t>
  </si>
  <si>
    <t>Total Jobs completed</t>
  </si>
  <si>
    <t>Return the Skeleton Key to its rightful place. (Daedric Quest)</t>
  </si>
  <si>
    <t>Delvin Special Jobs. Use the below section to track jobs completed.</t>
  </si>
  <si>
    <t>Become the Guild master of the Thieves Guild.</t>
  </si>
  <si>
    <t>The Bedlam Job: Steal items worth a set amount of gold.</t>
  </si>
  <si>
    <t>The Fishing Job: Pickpocket an item.</t>
  </si>
  <si>
    <t>Speak with guild members and pick up your gear.</t>
  </si>
  <si>
    <t>The Numbers Job: Alter a stores business ledger.</t>
  </si>
  <si>
    <t>Find the 24 gems to restore the Crown of Barenziah.</t>
  </si>
  <si>
    <t>Vex Special Jobs. Use the below section to track jobs completed.</t>
  </si>
  <si>
    <t>Make reparations for breaking the Thieves Guild rules.</t>
  </si>
  <si>
    <t>Breaking guild rules</t>
  </si>
  <si>
    <t>The Burglary Job: Steal a special item from a wealthy home.</t>
  </si>
  <si>
    <t>Deliver Moon Sugar to Ri'saad.</t>
  </si>
  <si>
    <t>Tonilia</t>
  </si>
  <si>
    <t>The Shill Job: Place an item as evidence inside a wealthy home.</t>
  </si>
  <si>
    <t>Retrieve a necromancer's journals for an interested buyer.</t>
  </si>
  <si>
    <t>Vekel the Man</t>
  </si>
  <si>
    <t>The Sweep Job: Steal three specific valuable items from a wealthy house.</t>
  </si>
  <si>
    <t>Find all seven Larceny Targets and sell them to Delvin. (Listed Below)</t>
  </si>
  <si>
    <t>Delvin</t>
  </si>
  <si>
    <t>The Heist Job: Steal a particular item from a store.</t>
  </si>
  <si>
    <t>Riften: Riftweald Manor</t>
  </si>
  <si>
    <t>Use the below section to track the special jobs done in each city. After completing 5 in each city, Delvin will give you a reputation quest.</t>
  </si>
  <si>
    <t>Markarth: Understone Keep</t>
  </si>
  <si>
    <t>Jobs completed</t>
  </si>
  <si>
    <t>City</t>
  </si>
  <si>
    <t>Solitude: East Empire Company Warehouse</t>
  </si>
  <si>
    <t>Markarth special jobs completed.</t>
  </si>
  <si>
    <t>Whiterun: Honningbrew Meadery</t>
  </si>
  <si>
    <t>Solitude special jobs completed.</t>
  </si>
  <si>
    <t>West of Windhelm: Irkngthand</t>
  </si>
  <si>
    <t>Whiterun special jobs completed.</t>
  </si>
  <si>
    <t>North of Windhelm: Snow Veil Sanctum</t>
  </si>
  <si>
    <t>Windhelm special jobs completed.</t>
  </si>
  <si>
    <t>Riften: Goldenglow Estate</t>
  </si>
  <si>
    <t>Other special jobs completed</t>
  </si>
  <si>
    <t>Reputation Quests</t>
  </si>
  <si>
    <t>Recover a stolen silver mold for a silversmith in Markarth.</t>
  </si>
  <si>
    <t>Frame a ship's captain for a jilted merchant in Solitude.</t>
  </si>
  <si>
    <t>Help get a convicted prisoner released from jail in Whiterun.</t>
  </si>
  <si>
    <t>Remove a rival guild from the picture in Windhelm.</t>
  </si>
  <si>
    <t>Faction Civil War Quests</t>
  </si>
  <si>
    <t>Imperial Legion</t>
  </si>
  <si>
    <t>Stormcloaks</t>
  </si>
  <si>
    <t>Prove yourself worthy to join the Imperial Legion.</t>
  </si>
  <si>
    <t>Legate Rikke</t>
  </si>
  <si>
    <t>Prove yourself worthy of being a Stormcloak rebel.</t>
  </si>
  <si>
    <t>Ulfric Stormcloak</t>
  </si>
  <si>
    <t>Find the Jagged Crown for the Imperials.</t>
  </si>
  <si>
    <t>General Tullius</t>
  </si>
  <si>
    <t>Find this crown for Ulfric Stormcloak.</t>
  </si>
  <si>
    <t>Galmar
Stone-Fist</t>
  </si>
  <si>
    <t>Deliver the message that will decide Whiterun's allegiance.</t>
  </si>
  <si>
    <t>Deliver an axe to the Jarl of Whiterun.</t>
  </si>
  <si>
    <t>Protect Whiterun from the Stormcloak invasion.</t>
  </si>
  <si>
    <t>Take Whiterun in the name of the Stormcloaks.</t>
  </si>
  <si>
    <t>Re-unite Skyrim under the leadership of the Empire.</t>
  </si>
  <si>
    <t>Overarching quest governing the individual battles of the war.</t>
  </si>
  <si>
    <t>Note: A number of factors related to the optional main quest Season Unending can influence which of these quests are initiated.</t>
  </si>
  <si>
    <t>Find and deliver some forged documents to the Stormcloaks.</t>
  </si>
  <si>
    <t>Rescue Stormcloak soldiers from the Imperials and capture the fort.</t>
  </si>
  <si>
    <t>Regain the Pale for the Imperials.</t>
  </si>
  <si>
    <t>Blackmail a Talos worshipper into helping the Stormcloaks.</t>
  </si>
  <si>
    <t>Use a corrupt steward to gain intelligence on the Stormcloaks.</t>
  </si>
  <si>
    <t>Take this fort in the name of the Stormcloaks.</t>
  </si>
  <si>
    <t>Take Fort Greenwall for the Imperials.</t>
  </si>
  <si>
    <t>Find and deliver some forged documents to the Imperials.</t>
  </si>
  <si>
    <t>Take Fort Sungard for the Imperials.</t>
  </si>
  <si>
    <t>Take this fort for the Stormcloaks.</t>
  </si>
  <si>
    <t>Rescue the prisoners and regain Winterhold Hold for the Imperials.</t>
  </si>
  <si>
    <t>Take Fort Snowhawk for the Imperials.</t>
  </si>
  <si>
    <t>Prepare for the final assault on Windhelm.</t>
  </si>
  <si>
    <t>Conquer the Stormcloak capital and bring Ulfric to justice.</t>
  </si>
  <si>
    <t>The final push to free Skyrim of the Imperials.</t>
  </si>
  <si>
    <t>Daedric Quests</t>
  </si>
  <si>
    <t>Azura</t>
  </si>
  <si>
    <t>Meridia</t>
  </si>
  <si>
    <r>
      <rPr>
        <rFont val="Calibri"/>
        <b/>
        <color rgb="FF000000"/>
        <sz val="8.0"/>
      </rPr>
      <t xml:space="preserve">Level Required: </t>
    </r>
    <r>
      <rPr>
        <rFont val="Calibri"/>
        <color rgb="FF000000"/>
        <sz val="8.0"/>
      </rPr>
      <t xml:space="preserve"> 12</t>
    </r>
  </si>
  <si>
    <t>Visit the Shrine of Azura.</t>
  </si>
  <si>
    <t>Aranea Lenith</t>
  </si>
  <si>
    <t>Find Meridia's Beacon and cleanse her temple of undead.</t>
  </si>
  <si>
    <t>Help find and repair Azura's Star.</t>
  </si>
  <si>
    <t>Molag Bal</t>
  </si>
  <si>
    <t>Boethia</t>
  </si>
  <si>
    <r>
      <rPr>
        <rFont val="Calibri"/>
        <b/>
        <color rgb="FF000000"/>
        <sz val="8.0"/>
      </rPr>
      <t>Level Required:</t>
    </r>
    <r>
      <rPr>
        <rFont val="Calibri"/>
        <color rgb="FF000000"/>
        <sz val="8.0"/>
      </rPr>
      <t xml:space="preserve">  30</t>
    </r>
  </si>
  <si>
    <t>Speak to the witchhunter about the abandoned house.</t>
  </si>
  <si>
    <t>Vigilant Tyranus</t>
  </si>
  <si>
    <t>Investigate the Boethiah cultist.</t>
  </si>
  <si>
    <t>Boethiah's Proving</t>
  </si>
  <si>
    <t>Help Molag Bal take revenge upon a servant of Boethiah.</t>
  </si>
  <si>
    <t>Become Boethiah's new champion.</t>
  </si>
  <si>
    <t>Namira</t>
  </si>
  <si>
    <r>
      <rPr>
        <rFont val="Calibri"/>
        <color rgb="FF000000"/>
        <sz val="8.0"/>
      </rPr>
      <t>Clavicus Vile</t>
    </r>
  </si>
  <si>
    <r>
      <rPr>
        <rFont val="Calibri"/>
        <b/>
        <color rgb="FF000000"/>
        <sz val="8.0"/>
      </rPr>
      <t xml:space="preserve">Level Required: </t>
    </r>
    <r>
      <rPr>
        <rFont val="Calibri"/>
        <color rgb="FF000000"/>
        <sz val="8.0"/>
      </rPr>
      <t xml:space="preserve"> 10</t>
    </r>
  </si>
  <si>
    <t>Investigate the Hall of the Dead in Markarth.</t>
  </si>
  <si>
    <t>Kleppr, Verulus, Eola</t>
  </si>
  <si>
    <t>Speak to Lod in Falkreath.</t>
  </si>
  <si>
    <t>Barbas</t>
  </si>
  <si>
    <t>Prepare a Feast for the Lady of Decay.</t>
  </si>
  <si>
    <t>Help Barbas reunite with his master.</t>
  </si>
  <si>
    <t>Nocturnal</t>
  </si>
  <si>
    <t>Hermaeus Mora</t>
  </si>
  <si>
    <r>
      <rPr>
        <rFont val="Calibri"/>
        <b/>
        <color rgb="FF000000"/>
        <sz val="8.0"/>
      </rPr>
      <t xml:space="preserve">Level Required: </t>
    </r>
    <r>
      <rPr>
        <rFont val="Calibri"/>
        <color rgb="FF000000"/>
        <sz val="8.0"/>
      </rPr>
      <t xml:space="preserve"> 15</t>
    </r>
  </si>
  <si>
    <t>Return the Skeleton Key to its rightful place.</t>
  </si>
  <si>
    <t>Uncover the secrets of the mysterious Dwemer lockbox.</t>
  </si>
  <si>
    <t>Septimus Signus</t>
  </si>
  <si>
    <t>Peryite</t>
  </si>
  <si>
    <r>
      <rPr>
        <rFont val="Calibri"/>
        <b/>
        <color rgb="FF000000"/>
        <sz val="8.0"/>
      </rPr>
      <t xml:space="preserve">Level Required: </t>
    </r>
    <r>
      <rPr>
        <rFont val="Calibri"/>
        <color rgb="FF000000"/>
        <sz val="8.0"/>
      </rPr>
      <t xml:space="preserve"> 12</t>
    </r>
  </si>
  <si>
    <t>Hircine</t>
  </si>
  <si>
    <t>Find Kesh at the Peryite Shrine.</t>
  </si>
  <si>
    <t>Kesh the Clean</t>
  </si>
  <si>
    <t>Hunt in Hircine's name.</t>
  </si>
  <si>
    <t>Mathies or Sinding</t>
  </si>
  <si>
    <t>Slay an apostate worshipper for the Daedra Lord Peryite.</t>
  </si>
  <si>
    <t>Malacath</t>
  </si>
  <si>
    <t>Sanguine</t>
  </si>
  <si>
    <r>
      <rPr>
        <rFont val="Calibri"/>
        <b/>
        <color rgb="FF000000"/>
        <sz val="8.0"/>
      </rPr>
      <t xml:space="preserve">Level Required: </t>
    </r>
    <r>
      <rPr>
        <rFont val="Calibri"/>
        <color rgb="FF000000"/>
        <sz val="8.0"/>
      </rPr>
      <t xml:space="preserve"> 14</t>
    </r>
  </si>
  <si>
    <t>Help lift the curse placed on the Orcs of Largashbur by Malacath.</t>
  </si>
  <si>
    <t>Atub</t>
  </si>
  <si>
    <t>Participate in a drinking contest with Sam Guevenne.</t>
  </si>
  <si>
    <t>Sam Guevenne</t>
  </si>
  <si>
    <t>Mehrunes Dagon</t>
  </si>
  <si>
    <r>
      <rPr>
        <rFont val="Calibri"/>
        <b/>
        <color rgb="FF000000"/>
        <sz val="8.0"/>
      </rPr>
      <t xml:space="preserve">Level Required: </t>
    </r>
    <r>
      <rPr>
        <rFont val="Calibri"/>
        <color rgb="FF000000"/>
        <sz val="8.0"/>
      </rPr>
      <t xml:space="preserve"> 20</t>
    </r>
  </si>
  <si>
    <t>Find your lost friend, Sam, as you recover from a bad hangover.</t>
  </si>
  <si>
    <t>Visit the museum in Dawnstar.</t>
  </si>
  <si>
    <t>Silus Vesuius</t>
  </si>
  <si>
    <t>Sheogorath</t>
  </si>
  <si>
    <t>Retrieve and reforge the scattered pieces of Mehrunes' Razor.</t>
  </si>
  <si>
    <t>Investigate the man wandering the streets near the Bards College.</t>
  </si>
  <si>
    <t>Dervenin</t>
  </si>
  <si>
    <t>Mephala</t>
  </si>
  <si>
    <r>
      <rPr>
        <rFont val="Calibri"/>
        <b/>
        <color rgb="FF000000"/>
        <sz val="8.0"/>
      </rPr>
      <t xml:space="preserve">Level Required: </t>
    </r>
    <r>
      <rPr>
        <rFont val="Calibri"/>
        <color rgb="FF000000"/>
        <sz val="8.0"/>
      </rPr>
      <t xml:space="preserve"> 20</t>
    </r>
  </si>
  <si>
    <t>Gain access to and solve the mystery of the Pelagius Wing.</t>
  </si>
  <si>
    <t>Ask about Balgruuf's strange children.</t>
  </si>
  <si>
    <t>Vaermina</t>
  </si>
  <si>
    <t>Investigate Nelkir's story of a Whispering Lady.</t>
  </si>
  <si>
    <t>Relieve the people of Dawnstar from Vaermina's curse.</t>
  </si>
  <si>
    <t>Erandur</t>
  </si>
  <si>
    <t>Divine Quests</t>
  </si>
  <si>
    <t>Participate in the trials by hunting the guardian beasts of Skyrim.</t>
  </si>
  <si>
    <t>Whetted-Blade</t>
  </si>
  <si>
    <t>Help the Temple of Mara of Riften spread the cause of love.</t>
  </si>
  <si>
    <t>Dinya Balu</t>
  </si>
  <si>
    <t>Restore the Gildergreen for Danica Pure-Spring in Whiterun.</t>
  </si>
  <si>
    <t>Danica Pure-Spring</t>
  </si>
  <si>
    <t>Find a new Sybil for the Temple of Dibella in Markarth.</t>
  </si>
  <si>
    <t>Hamal</t>
  </si>
  <si>
    <t>Dungeon Quests</t>
  </si>
  <si>
    <t>Angarvunde - A Nordic tomb at the foot of the mountains directly west of Riften and slightly northwest of Avanchnzel.</t>
  </si>
  <si>
    <t>Nilheim - A tower east-northeast of Ivarstead containing disguised bandits.</t>
  </si>
  <si>
    <t>Angarvunde</t>
  </si>
  <si>
    <t>Discover the treasure of Angarvunde.</t>
  </si>
  <si>
    <t>Telrav's Request</t>
  </si>
  <si>
    <t>Escort Telrav back to his camp in Nilheim.</t>
  </si>
  <si>
    <t>Telrav</t>
  </si>
  <si>
    <t>Ansilvund Excavation - A Nordic ruin situated northeast of Shor's Stone.</t>
  </si>
  <si>
    <t>Ragnvald - A Nordic ruin north of Markarth containing draugr.</t>
  </si>
  <si>
    <t>Ansilvund</t>
  </si>
  <si>
    <t>Kill Lu'ah Al-Skaven in Ansilvund.</t>
  </si>
  <si>
    <t>Ragnvald</t>
  </si>
  <si>
    <t>Discover the secrets of Ragnvald.</t>
  </si>
  <si>
    <t>Blind Cliff Bastion - A cave southwest of Karthwasten along the banks of the Karth River containing Forsworn.</t>
  </si>
  <si>
    <t>Rebel's Cairn - A cave located in The Reach between the Sundered Towers and Bleakwind Bluff.</t>
  </si>
  <si>
    <t>The Affairs of Hagravens</t>
  </si>
  <si>
    <t>Help an imprisoned hagraven reclaim her lost tower.</t>
  </si>
  <si>
    <t>Melka</t>
  </si>
  <si>
    <t>Rebel's Cairn</t>
  </si>
  <si>
    <t>Find Red Eagle's sword.</t>
  </si>
  <si>
    <t>Legend of Red Eagle</t>
  </si>
  <si>
    <t>Darklight Tower - A tower southwest of Riften that is nested by hagravens and their ilk.</t>
  </si>
  <si>
    <t>Robber's Gorge - A bandit camp spanning the road from Rorikstead to Dragon Bridge.</t>
  </si>
  <si>
    <t>Repentance</t>
  </si>
  <si>
    <t>Help Illia prevent her mother Silvia from transforming into a hagraven.</t>
  </si>
  <si>
    <t>Illia</t>
  </si>
  <si>
    <t>Robber's Gorge</t>
  </si>
  <si>
    <t>Find the treasure of Robber's Gorge.</t>
  </si>
  <si>
    <t>Folgunthur - A Nordic ruin located southeast of Solitude.</t>
  </si>
  <si>
    <t>Sleeping Tree Cave</t>
  </si>
  <si>
    <t>Forbidden Legend</t>
  </si>
  <si>
    <t>Investigate the forgotten Gauldur Legend.</t>
  </si>
  <si>
    <t>Lifting the Shroud</t>
  </si>
  <si>
    <t>Investigate the barrow outside of Ivarstead.</t>
  </si>
  <si>
    <t>Wilhelm</t>
  </si>
  <si>
    <t>Forelhost Crypt - A ruined fortress on a peak southeast of Riften which contains a word wall for the Storm Call shout.</t>
  </si>
  <si>
    <t>Southfringe Sanctum - A remote snowy cave that is home to the conjurer Bashnag and his coven.</t>
  </si>
  <si>
    <t>Siege on the Dragon Cult</t>
  </si>
  <si>
    <t>Enter the ruins of Forelhost and recover Rahgot's mask.</t>
  </si>
  <si>
    <t>Captain Valmir</t>
  </si>
  <si>
    <t>The Savior of Selveni Nethri</t>
  </si>
  <si>
    <t>Help a necromancer escape from Southfringe Sanctum.</t>
  </si>
  <si>
    <t>Selveni Nethri</t>
  </si>
  <si>
    <t>Frostflow Abyss - A lighthouse located west of Winterhold in the north of Skyrim.</t>
  </si>
  <si>
    <t>Sleeping Tree Cave - A giant camp where the Sleeping Tree is located. It is situated almost due west of Western Watchtower.</t>
  </si>
  <si>
    <t>Frostflow Abyss</t>
  </si>
  <si>
    <t>Uncover the tragic events inside Frostflow Lighthouse.</t>
  </si>
  <si>
    <t>Question Ysolda about a note found on a dead Orc.</t>
  </si>
  <si>
    <t>Note on Ulags corpse.</t>
  </si>
  <si>
    <t>Frostmere Crypt - A Nordic ruin south-southwest of Dawnstar and just northeast of the Lord Stone.</t>
  </si>
  <si>
    <t>Soljund's Sinkhole - A moonstone ore mine east of Sky Haven Temple.</t>
  </si>
  <si>
    <t>The Pale Lady</t>
  </si>
  <si>
    <t>Find out what happened in Frostmere Crypt.</t>
  </si>
  <si>
    <t>Soljund's Sinkhole</t>
  </si>
  <si>
    <t>Defeat the draugr in Soljund's Sinkhole.</t>
  </si>
  <si>
    <t>Perth</t>
  </si>
  <si>
    <t>High Gate Ruins - A Nordic ruin directly west of Dawnstar, and a short distance east of the Wreck of the Icerunner.</t>
  </si>
  <si>
    <t>The Midden - A dungeon underneath the College of Winterhold.</t>
  </si>
  <si>
    <t>A Scroll For Anska</t>
  </si>
  <si>
    <t>Help Anska trace her roots in High Gate Ruins.</t>
  </si>
  <si>
    <t>Anska</t>
  </si>
  <si>
    <t>Forgotten Names</t>
  </si>
  <si>
    <t>Summon the Dremora pirate, Velehk Sain.</t>
  </si>
  <si>
    <t>Hillgrund's Tomb - A Nordic barrow where the Hillgrund family dead are interred.</t>
  </si>
  <si>
    <t>Treva's Watch - A fort situated to the southeast of Ivarstead and to the west of Riften.</t>
  </si>
  <si>
    <t>Ancestral Worship</t>
  </si>
  <si>
    <t>Stop a necromancer from defiling Golldir's ancestral barrow.</t>
  </si>
  <si>
    <t>Golldir</t>
  </si>
  <si>
    <t>Infiltration</t>
  </si>
  <si>
    <t>Help Stalleo take back Treva's Watch.</t>
  </si>
  <si>
    <t>Stalleo</t>
  </si>
  <si>
    <t>Ironbind Barrow - A Nordic ruin which contains a word wall for the Become Ethereal shout, and the tomb of a long dead warlord.</t>
  </si>
  <si>
    <t>Valthume - An ancient barrow where ancient knowledge awaits and restless dead still battle. It is located southeast of Markarth.</t>
  </si>
  <si>
    <t>Coming of Age</t>
  </si>
  <si>
    <t>Help a daring adventurer and her companion retrieve their riches.</t>
  </si>
  <si>
    <t>Salma</t>
  </si>
  <si>
    <t>Evil in Waiting</t>
  </si>
  <si>
    <t>Seal away an ancient evil.</t>
  </si>
  <si>
    <t>Valthume</t>
  </si>
  <si>
    <t>Mistwatch - A fort located at the northern base of the mountains on the border of the Rift and Eastmarch.</t>
  </si>
  <si>
    <t>Volunruud - A tomb containing a word wall, as well as the treasure and dead body of the Tongue Chieftain Kvenel.</t>
  </si>
  <si>
    <t>Mistwatch</t>
  </si>
  <si>
    <t>Help Christer locate his kidnapped wife Fjola.</t>
  </si>
  <si>
    <t>Christer</t>
  </si>
  <si>
    <t>Silenced Tongues</t>
  </si>
  <si>
    <t>Unlock the burial chamber of the Tongue Chieftain Kvenel.</t>
  </si>
  <si>
    <t>Moss Mother Cavern - A small, open-ceiling, cavernous grove lush with flora, located northwest of Half-Moon Mill.</t>
  </si>
  <si>
    <t>Yngol Barrow - A barrow northeast of Windhelm on the south bank of the White River. Due to a glitch this quest will never appear in your journal</t>
  </si>
  <si>
    <t>Moss Mother Cavern</t>
  </si>
  <si>
    <t>Help an injured hunter avenge his fallen companions.</t>
  </si>
  <si>
    <t>Valdr</t>
  </si>
  <si>
    <t>Yngol's Barrow</t>
  </si>
  <si>
    <t>Find the treasure unlocked by the Coral Dragon Claw.</t>
  </si>
  <si>
    <t>Liar's Retreat  - A small underground cellar which is located northwest of Broken Tower Redoubt and northeast of Karthwasten.</t>
  </si>
  <si>
    <t>Lair's Retreat</t>
  </si>
  <si>
    <t>Retrieve the Longhammer from a fallen bandit.</t>
  </si>
  <si>
    <t>Region: Eastmarch Quests</t>
  </si>
  <si>
    <t>Windhelm</t>
  </si>
  <si>
    <t>Regional Sites</t>
  </si>
  <si>
    <t>House in the City</t>
  </si>
  <si>
    <t>Purchase Hjerim.</t>
  </si>
  <si>
    <t>Darkwater Crossing</t>
  </si>
  <si>
    <t>Deliver Sondas's Note to Quintus.</t>
  </si>
  <si>
    <t>Sondas Drenim</t>
  </si>
  <si>
    <t>Windhelm is plagued by a shadowy killer.</t>
  </si>
  <si>
    <t>Windhelm Guard</t>
  </si>
  <si>
    <t>Rescue Derkeethus.</t>
  </si>
  <si>
    <t>Dungeon Delving</t>
  </si>
  <si>
    <t>Retrieve a legendary artifact to fulfill an old alchemist's wish.</t>
  </si>
  <si>
    <t>Nurelion</t>
  </si>
  <si>
    <t>Do a favor by slaying a bandit leader.</t>
  </si>
  <si>
    <t>Annekke Crag-Jumper</t>
  </si>
  <si>
    <t>Acquire the materials necessary to repair the White Phial.</t>
  </si>
  <si>
    <t>Quintus Navale</t>
  </si>
  <si>
    <t>Get paid to mine corundum ore.</t>
  </si>
  <si>
    <t>Verner Rock-Chucker</t>
  </si>
  <si>
    <t>Help the East Empire Company take care of some pirates.</t>
  </si>
  <si>
    <t>Orthus Endario</t>
  </si>
  <si>
    <t>Kynesgrove</t>
  </si>
  <si>
    <t>Do a favor by talking to someone about a problem.</t>
  </si>
  <si>
    <t>Iddra</t>
  </si>
  <si>
    <t>Scouts-Many-Marshes</t>
  </si>
  <si>
    <t>Get paid to chop firewood.</t>
  </si>
  <si>
    <t>Ganna Uriel</t>
  </si>
  <si>
    <t>Deliver Adonato's Book to Giraud.</t>
  </si>
  <si>
    <t>Adonato Leotelli</t>
  </si>
  <si>
    <t>Find some frost salts for Dravynea the Stoneweaver.</t>
  </si>
  <si>
    <t>Dravynea the Stoneweaver</t>
  </si>
  <si>
    <t>Delivery</t>
  </si>
  <si>
    <t>Deliver a bottle of Nightshade Extract to Wuunferth the Unliving.</t>
  </si>
  <si>
    <t>Hillevi Cruel-Sea</t>
  </si>
  <si>
    <t>Recover Roggi's Ancestral Shield.</t>
  </si>
  <si>
    <t>Roggi Knot-Beard</t>
  </si>
  <si>
    <t>Recover Queen Freydis's Sword.</t>
  </si>
  <si>
    <t>Oengul War-Anvil</t>
  </si>
  <si>
    <t>Get paid to mine malachite ore.</t>
  </si>
  <si>
    <t>Kjeld</t>
  </si>
  <si>
    <t>Recover Shahvee's Amulet of Zenithar.</t>
  </si>
  <si>
    <t>Shahvee</t>
  </si>
  <si>
    <t>Mixwater Mill</t>
  </si>
  <si>
    <t>Prove your strength by wagering on a fist fight with another.</t>
  </si>
  <si>
    <t>Rolff Stone-Fist</t>
  </si>
  <si>
    <t>Gilfre</t>
  </si>
  <si>
    <t>The Thalmor are after Malborn. Help him get to safety.</t>
  </si>
  <si>
    <t>Malborn</t>
  </si>
  <si>
    <t>Narzulbur</t>
  </si>
  <si>
    <t>Get paid to gather wheat crops for Hlaalu Farm.</t>
  </si>
  <si>
    <t>Belyn Hlaalu</t>
  </si>
  <si>
    <t>Chief Mauhulakh</t>
  </si>
  <si>
    <t>Take care of a runaway crew member.</t>
  </si>
  <si>
    <t>Kjar</t>
  </si>
  <si>
    <t>Get paid to mine ebony ore.</t>
  </si>
  <si>
    <t>Dushnamub</t>
  </si>
  <si>
    <t>Brunwulf Free-Winter</t>
  </si>
  <si>
    <t>Outside of Windhelm</t>
  </si>
  <si>
    <t>Take pity on a beggar.</t>
  </si>
  <si>
    <t>Angrenor Once-Honored</t>
  </si>
  <si>
    <t>Get paid to gather wheat crops for Brandy-Mug Farm.</t>
  </si>
  <si>
    <t>Bolfrida Brandy-Mug</t>
  </si>
  <si>
    <t>Silda the Unseen</t>
  </si>
  <si>
    <t>Get paid to gather wheat crops for Hollyfrost Farm.</t>
  </si>
  <si>
    <t>Tulvur</t>
  </si>
  <si>
    <t>Make a drunk dance for joy.</t>
  </si>
  <si>
    <t>Torbjorn Shatter-Shield</t>
  </si>
  <si>
    <t>Bring one Amulet of Arkay to Torbjorn</t>
  </si>
  <si>
    <t>Steal the Double-Distilled Skooma for Stands-In-Shallows</t>
  </si>
  <si>
    <t>Stands-In-Shallows</t>
  </si>
  <si>
    <t>Gain the title of Thane of Eastmarch.</t>
  </si>
  <si>
    <t>Return a ring to its rightful owner.</t>
  </si>
  <si>
    <t>Revyn Sadri</t>
  </si>
  <si>
    <t>Region: Falkreath Hold Quests</t>
  </si>
  <si>
    <t>Falkreath</t>
  </si>
  <si>
    <t>Develop Land Outside the City</t>
  </si>
  <si>
    <t>Purchase land to build Lakeview Manor.</t>
  </si>
  <si>
    <t>Outside of Falkreath</t>
  </si>
  <si>
    <t>Learn the basics of potion making.</t>
  </si>
  <si>
    <t>Zaria</t>
  </si>
  <si>
    <t>Get paid to chop firewood for Half-Moon Mill.</t>
  </si>
  <si>
    <t>Hert</t>
  </si>
  <si>
    <t>Learn the basics of smithing.</t>
  </si>
  <si>
    <t>Lod</t>
  </si>
  <si>
    <t>Angi can provide you with several Archery practice sessions</t>
  </si>
  <si>
    <t>Angi</t>
  </si>
  <si>
    <t>Destroy Dengeir's risen ancestor, the vampire Vighar.</t>
  </si>
  <si>
    <t>Dengeir
of Stuhn</t>
  </si>
  <si>
    <t>Deliver Berit's Ashes to Runil.</t>
  </si>
  <si>
    <t>Thadgeir</t>
  </si>
  <si>
    <t>Recover Runil's Journal.</t>
  </si>
  <si>
    <t>Runil</t>
  </si>
  <si>
    <t>Get paid to gather cabbage, gourd, potato crops for Corpselight Farm.</t>
  </si>
  <si>
    <t>Mathies</t>
  </si>
  <si>
    <t>Slay a bandit leader for Siddgeir, the Jarl of Falkreath.</t>
  </si>
  <si>
    <t>Siddgeir</t>
  </si>
  <si>
    <t>Bring one Black-Briar Mead to Siddgeir.</t>
  </si>
  <si>
    <t>Do a favor by stealing an item.</t>
  </si>
  <si>
    <t>Gain the title Thane by assisting the people of Falkreath Hold.</t>
  </si>
  <si>
    <t>Region: Hjaalmarch Quests</t>
  </si>
  <si>
    <t>Morthal</t>
  </si>
  <si>
    <t>Purchase land to build Windstad Manor.</t>
  </si>
  <si>
    <t>Stonehills</t>
  </si>
  <si>
    <t>Get paid to mine iron ore.</t>
  </si>
  <si>
    <t>Gestur Rockbreaker</t>
  </si>
  <si>
    <t>Investigate a house fire.</t>
  </si>
  <si>
    <t>Jonna</t>
  </si>
  <si>
    <t>Update Thane Bryling about a late shipment from Rockwallow Mine.</t>
  </si>
  <si>
    <t>Pactur</t>
  </si>
  <si>
    <t>Track down Falion to rid yourself of vampirism.</t>
  </si>
  <si>
    <t>Innkeepers</t>
  </si>
  <si>
    <t>Hroggar</t>
  </si>
  <si>
    <t>Jorgen</t>
  </si>
  <si>
    <t>Deliver Idgrod's Note to Danica.</t>
  </si>
  <si>
    <t>Idgrod the Younger</t>
  </si>
  <si>
    <t>Investigate Falion's curious activities.</t>
  </si>
  <si>
    <t>Falion</t>
  </si>
  <si>
    <t>Benor</t>
  </si>
  <si>
    <t>Deliver Gorm's letter to Captain Aldis in Solitude.</t>
  </si>
  <si>
    <t>Gorm</t>
  </si>
  <si>
    <t>Bring one Song of the Alchemists to Lami.</t>
  </si>
  <si>
    <t>Lami</t>
  </si>
  <si>
    <t>Gain the title of Thane of Hjaalmarch.</t>
  </si>
  <si>
    <t>Idgrod Ravencrone</t>
  </si>
  <si>
    <t>Region: Haafingar Quests</t>
  </si>
  <si>
    <t>Solitude</t>
  </si>
  <si>
    <t>Purchase Proudspire Manor.</t>
  </si>
  <si>
    <t>Dragon Bridge</t>
  </si>
  <si>
    <t>Horgeir</t>
  </si>
  <si>
    <t>Investigate reports of strange happenings in Wolfskull Cave.</t>
  </si>
  <si>
    <t>Falk Firebeard</t>
  </si>
  <si>
    <t>Retrieve the Dragon's Breath Mead and give it to either Olda or Horgeir.</t>
  </si>
  <si>
    <t>Olda or Horgeir</t>
  </si>
  <si>
    <r>
      <rPr>
        <rFont val="Calibri"/>
        <color rgb="FF000000"/>
        <sz val="8.0"/>
      </rPr>
      <t xml:space="preserve">Potema must be stopped.
</t>
    </r>
    <r>
      <rPr>
        <rFont val="Calibri"/>
        <b/>
        <color rgb="FF000000"/>
        <sz val="8.0"/>
      </rPr>
      <t>Level Required:</t>
    </r>
    <r>
      <rPr>
        <rFont val="Calibri"/>
        <color rgb="FF000000"/>
        <sz val="8.0"/>
      </rPr>
      <t xml:space="preserve">  10</t>
    </r>
  </si>
  <si>
    <t>Courier</t>
  </si>
  <si>
    <t>Get paid to gather cabbage, gourd, potato crops.</t>
  </si>
  <si>
    <t>Azzada Lylvieve</t>
  </si>
  <si>
    <t>Help run a cargo ship aground.</t>
  </si>
  <si>
    <t>Jaree-Ra</t>
  </si>
  <si>
    <t>Outside of Solitude</t>
  </si>
  <si>
    <t>Get paid to chop firewood for Solitude Sawmill.</t>
  </si>
  <si>
    <t>Hjorunn</t>
  </si>
  <si>
    <t>Octieve San</t>
  </si>
  <si>
    <t>Get paid to gather leek, potato, wheat crops for Katla's Farm.</t>
  </si>
  <si>
    <t>Katla</t>
  </si>
  <si>
    <t>Deliver the Stros M'Kai Rum to Falk Firebeard</t>
  </si>
  <si>
    <t>Sorex Vinius</t>
  </si>
  <si>
    <t>Gissur</t>
  </si>
  <si>
    <t>Recover Noster's Helmet from a cave.</t>
  </si>
  <si>
    <t>Noster
Eagle-Eye</t>
  </si>
  <si>
    <t>Razelan</t>
  </si>
  <si>
    <t>Take Torygg's war horn to the Shrine of Talos.</t>
  </si>
  <si>
    <t>Elisif the Fair</t>
  </si>
  <si>
    <t>Model some clothes.</t>
  </si>
  <si>
    <t>Taarie</t>
  </si>
  <si>
    <t>Get a free set of Imperial armor.</t>
  </si>
  <si>
    <t>Beirand</t>
  </si>
  <si>
    <t>Ahtar</t>
  </si>
  <si>
    <t>Do menial work for Sybille Stentor by assaulting a vampire lair.</t>
  </si>
  <si>
    <t>Sybille Stentor</t>
  </si>
  <si>
    <t>Discover the fate of Angeline Morrard's daughter.</t>
  </si>
  <si>
    <t>Angeline Morrard</t>
  </si>
  <si>
    <t>Svari</t>
  </si>
  <si>
    <t>Bring book The Mirror to Aldis.</t>
  </si>
  <si>
    <t>Captain Aldis</t>
  </si>
  <si>
    <t>Convince a mourning mother to go to the local temple.</t>
  </si>
  <si>
    <t>Convince Vittoria Vici to hand over some spices.</t>
  </si>
  <si>
    <t>Evette San</t>
  </si>
  <si>
    <t>Gain the title of Thane of Haafingar.</t>
  </si>
  <si>
    <t>Region: The Reach Quests</t>
  </si>
  <si>
    <t>Markarth</t>
  </si>
  <si>
    <t>Purchase Vlindrel Hall.</t>
  </si>
  <si>
    <t>Karthwasten</t>
  </si>
  <si>
    <t>End the dispute over Sanuarach Mine.</t>
  </si>
  <si>
    <t>Ainethach
or Atar</t>
  </si>
  <si>
    <t>Escape from Cidhna Mine!</t>
  </si>
  <si>
    <t>Dushnikh Yal</t>
  </si>
  <si>
    <t>Investigate a murder in Markarth.</t>
  </si>
  <si>
    <t>Eltrys</t>
  </si>
  <si>
    <t>Chief Burguk</t>
  </si>
  <si>
    <t>Recover the journals from the expedition in Nchuand-Zel.</t>
  </si>
  <si>
    <t>Alethius</t>
  </si>
  <si>
    <t>Deliver Gharol's sword to Lash.</t>
  </si>
  <si>
    <t>Gharol</t>
  </si>
  <si>
    <t>Get paid to mine orichalcum ore.</t>
  </si>
  <si>
    <t>Omluag</t>
  </si>
  <si>
    <t>Mor Khazgur</t>
  </si>
  <si>
    <t>Deliver the Stallion's Potion to Raerek.</t>
  </si>
  <si>
    <t>Bothela</t>
  </si>
  <si>
    <t>Chief Larak</t>
  </si>
  <si>
    <t>Bring Dwarven artifact to Calcelmo in Markarth.</t>
  </si>
  <si>
    <t>Calcelmo</t>
  </si>
  <si>
    <t>Shuftharz</t>
  </si>
  <si>
    <t>Bring a Daedra heart to Moth gro-Bagol.</t>
  </si>
  <si>
    <t>Moth
gro-Bagol</t>
  </si>
  <si>
    <t>Old Hroldan Inn</t>
  </si>
  <si>
    <t>Deliver Spiced Beef to Voada.</t>
  </si>
  <si>
    <t>Banning</t>
  </si>
  <si>
    <t>Put an ancient ghost to rest.</t>
  </si>
  <si>
    <t>Eydis</t>
  </si>
  <si>
    <t>Deliver a ring to Calcelmo.</t>
  </si>
  <si>
    <t>Kerah</t>
  </si>
  <si>
    <t>Outside of Markarth</t>
  </si>
  <si>
    <t>Recover Hrolfdir's Shield for Igmund.</t>
  </si>
  <si>
    <t>Igmund</t>
  </si>
  <si>
    <t>Get paid to gather potato crops for Salvius Farmhouse.</t>
  </si>
  <si>
    <t>Vigdis Salvius</t>
  </si>
  <si>
    <t>Cosnach</t>
  </si>
  <si>
    <t>Clear the Forsworn from Kolskeggr Mine.</t>
  </si>
  <si>
    <t>Pavo Attius</t>
  </si>
  <si>
    <t>Do a favor for Jarl Igmund by killing a Forsworn leader.</t>
  </si>
  <si>
    <t>Get paid to mine gold ore.</t>
  </si>
  <si>
    <t>Retrieve a missing Dibella Statue for a struggling store.</t>
  </si>
  <si>
    <t>Lisbet</t>
  </si>
  <si>
    <t>Get paid to mine iron ore near Left Hand Mine.</t>
  </si>
  <si>
    <t>Skaggi
Scar-Face</t>
  </si>
  <si>
    <t>Kill the giant frostbite spider blocking access to Nchuand-Zel.</t>
  </si>
  <si>
    <t>Deliver a letter to a farmer's son.</t>
  </si>
  <si>
    <t>Rogatus Salvius</t>
  </si>
  <si>
    <t>Degaine</t>
  </si>
  <si>
    <t>Get paid to mine moonstone ore.</t>
  </si>
  <si>
    <t>See what Eltrys wants.</t>
  </si>
  <si>
    <t>Find evidence of a Talos worshipper for the Thalmor.</t>
  </si>
  <si>
    <t>Ondolemar</t>
  </si>
  <si>
    <t>Bring The Last Scabbard of Akrash to Ghorza.</t>
  </si>
  <si>
    <t>Ghorza
gra-Bagol</t>
  </si>
  <si>
    <t>Steal the statue in the Temple of Dibella.</t>
  </si>
  <si>
    <t>Gain the title of Thane of the Reach.</t>
  </si>
  <si>
    <t>Region: The Rift Quests</t>
  </si>
  <si>
    <t>Riften</t>
  </si>
  <si>
    <t>Riften Side Quests</t>
  </si>
  <si>
    <t>Purchase Honeyside.</t>
  </si>
  <si>
    <t>Help Louis Letrush get Frost from Sibbi Black-Briar.</t>
  </si>
  <si>
    <t>Louis Letrush</t>
  </si>
  <si>
    <r>
      <rPr>
        <rFont val="Calibri"/>
        <color rgb="FF000000"/>
        <sz val="8.0"/>
      </rPr>
      <t xml:space="preserve">Uncover the memories of the Dwemer. </t>
    </r>
    <r>
      <rPr>
        <rFont val="Calibri"/>
        <b/>
        <color rgb="FF000000"/>
        <sz val="8.0"/>
      </rPr>
      <t>Level Required:</t>
    </r>
    <r>
      <rPr>
        <rFont val="Calibri"/>
        <color rgb="FF000000"/>
        <sz val="8.0"/>
      </rPr>
      <t xml:space="preserve">  14</t>
    </r>
  </si>
  <si>
    <t>Deepest-Fathoms</t>
  </si>
  <si>
    <t>Defeat Hofgrir Horse-Crusher in a brawl.</t>
  </si>
  <si>
    <t>Hofgrir Horse-Crusher</t>
  </si>
  <si>
    <t>Deliver Harrald's sword. Pick up Harrald's Sword from Balimund.</t>
  </si>
  <si>
    <t>Harrald</t>
  </si>
  <si>
    <t>Ivarstead</t>
  </si>
  <si>
    <t>Gather three marks of Dibella.</t>
  </si>
  <si>
    <t>Svana Far-Shield</t>
  </si>
  <si>
    <t>Temba
Wide-Arm</t>
  </si>
  <si>
    <t>Help Brand-Shei uncover his past.</t>
  </si>
  <si>
    <t>Brand-Shei</t>
  </si>
  <si>
    <t>Deliver a load of goods up to High Hrothgar for Klimmek.</t>
  </si>
  <si>
    <t>Klimmek</t>
  </si>
  <si>
    <t>Restock Elgrim's with 20 nirnroot, nightshade, &amp; deathbell.</t>
  </si>
  <si>
    <t>Ingun Black-Briar</t>
  </si>
  <si>
    <t>Get paid to gather cabbage, leek, potato, wheat for Fellstar Farm.</t>
  </si>
  <si>
    <t>Boti</t>
  </si>
  <si>
    <t>Recover Mjoll's beloved sword, Grimsever, from Mzinchaleft.</t>
  </si>
  <si>
    <t>Mjoll the Lioness</t>
  </si>
  <si>
    <t>Give ten bear pelts to Temba Wide-Arm.</t>
  </si>
  <si>
    <t>Help Wujeeta cure her skooma addiction.</t>
  </si>
  <si>
    <t>Wujeeta</t>
  </si>
  <si>
    <t>Nafri</t>
  </si>
  <si>
    <t>Retrieve Wylandriah's spoon, ingot, and soul gem.</t>
  </si>
  <si>
    <t>Wylandriah</t>
  </si>
  <si>
    <t>Discover what is plaguing Narfi's mind.</t>
  </si>
  <si>
    <t>Find five ice wraith teeth for Marise Aravel.</t>
  </si>
  <si>
    <t>Marise Aravel</t>
  </si>
  <si>
    <t>Outside of Riften</t>
  </si>
  <si>
    <t>Help Alessandra make peace with her dead father.</t>
  </si>
  <si>
    <t>Alessandra</t>
  </si>
  <si>
    <t>Retrieve a farmer's stolen bow.</t>
  </si>
  <si>
    <t>Dravin</t>
  </si>
  <si>
    <t>Edda</t>
  </si>
  <si>
    <t>Get paid to chop firewood for Heartwood Mill.</t>
  </si>
  <si>
    <t>Grosta</t>
  </si>
  <si>
    <t>Snilf</t>
  </si>
  <si>
    <t>Help Grosta at Heartwood Mill locate her missing husband.</t>
  </si>
  <si>
    <t>Supply 2 flawless sapphires, gold ore, and a mammoth tusk.</t>
  </si>
  <si>
    <t>Madesi</t>
  </si>
  <si>
    <t>Get paid to gather leek, potato, wheat crops for Snow-Shod Farm.</t>
  </si>
  <si>
    <t>Addvild</t>
  </si>
  <si>
    <t>Find three flawless amethysts for Talen-Jei's engagement ring.</t>
  </si>
  <si>
    <t>Talen-Jei</t>
  </si>
  <si>
    <t>Get paid to gather gourd, nirnroot, potato, wheat for Sarethi Farm.</t>
  </si>
  <si>
    <t>Avrusa Sarethi</t>
  </si>
  <si>
    <t>Deliver a purchase agreement to Kleppr in Markarth.</t>
  </si>
  <si>
    <t>Bolli</t>
  </si>
  <si>
    <t>Get paid to gather potato, gourd, wheat crops for Merryfair Farm.</t>
  </si>
  <si>
    <t>Synda Llanith</t>
  </si>
  <si>
    <t>Distribute religious literature to the citizens of Riften.</t>
  </si>
  <si>
    <t>Collect 20 jazbay grapes for Avrusa Sarethi.</t>
  </si>
  <si>
    <t>Help Shadr clear his debt with Sapphire.</t>
  </si>
  <si>
    <t>Shadr</t>
  </si>
  <si>
    <t>Shor's Stone</t>
  </si>
  <si>
    <t>Find 10 fire salts to restore Balimund's forge.</t>
  </si>
  <si>
    <t>Balimund</t>
  </si>
  <si>
    <t>Grogmar
gro-Burzag</t>
  </si>
  <si>
    <t>Clear Cragslane Cavern for the Jarl of Riften.</t>
  </si>
  <si>
    <t>Laila or Maven</t>
  </si>
  <si>
    <t>Rid the Redbelly Mine of frostbite spiders.</t>
  </si>
  <si>
    <t>Filnjar</t>
  </si>
  <si>
    <t>Find someone in Skyrim to marry.</t>
  </si>
  <si>
    <t>Maramal</t>
  </si>
  <si>
    <t>Make a delivery for Sylgja to Darkwater Crossing.</t>
  </si>
  <si>
    <t>Sylgja</t>
  </si>
  <si>
    <t>Help Sibbi Black-Briar locate his former fiancée.</t>
  </si>
  <si>
    <t>Sibbi Black-Briar</t>
  </si>
  <si>
    <t>Help the Jarl of Riften to uncover and stop the illegal skooma trade.</t>
  </si>
  <si>
    <t>Retrieve an ore sample from Filnjar.</t>
  </si>
  <si>
    <t>Hafjorg</t>
  </si>
  <si>
    <t>Deliver a Black-Briar Mead keg to the inn at Ivarstead.</t>
  </si>
  <si>
    <t>Romlyn Dreth</t>
  </si>
  <si>
    <t>Find the Quill of Gemination to clear Vald's debt.</t>
  </si>
  <si>
    <t>Maven Black-Briar</t>
  </si>
  <si>
    <t>Region: Whiterun Hold Quests</t>
  </si>
  <si>
    <t>Whiterun</t>
  </si>
  <si>
    <t>Purchase Breezehome.</t>
  </si>
  <si>
    <t>High Hrothgar</t>
  </si>
  <si>
    <t>Follow the Greybeards' advice to learn a Word of Power.</t>
  </si>
  <si>
    <t>Find the Redguard, Saadia, who is on the run from Hammerfell.</t>
  </si>
  <si>
    <t>Alik'r Warriors</t>
  </si>
  <si>
    <t>Riverwood</t>
  </si>
  <si>
    <t>Rescue a missing Stormcloak supporter from the Thalmor.</t>
  </si>
  <si>
    <t>Several Gray-Manes</t>
  </si>
  <si>
    <t>Use a forged letter to resolve a love triangle.</t>
  </si>
  <si>
    <t>Faendal or Sven</t>
  </si>
  <si>
    <t>Orgnar</t>
  </si>
  <si>
    <t>Carlotta Valentia</t>
  </si>
  <si>
    <t>Alvor</t>
  </si>
  <si>
    <t>Arcadia</t>
  </si>
  <si>
    <t>Hod</t>
  </si>
  <si>
    <t>Brenuin longs for the taste of Argonian Ale.</t>
  </si>
  <si>
    <t>Brenuin</t>
  </si>
  <si>
    <t>Embry</t>
  </si>
  <si>
    <t>Adrianne Avenicci</t>
  </si>
  <si>
    <t>Retrieve a family heirloom from a bandit.</t>
  </si>
  <si>
    <t>Lucan Valerius</t>
  </si>
  <si>
    <t>Convince Braith to stop bullying Lars.</t>
  </si>
  <si>
    <t>Lars Battle-Born</t>
  </si>
  <si>
    <t>Rorikstead</t>
  </si>
  <si>
    <t>Hulda</t>
  </si>
  <si>
    <t>Help Erik become an adventurer.</t>
  </si>
  <si>
    <t>Erik</t>
  </si>
  <si>
    <t>Recover Amren's Family Sword.</t>
  </si>
  <si>
    <t>Amren</t>
  </si>
  <si>
    <t>Get paid to gather cabbage, leek, potato for Lemkil's Farmhouse.</t>
  </si>
  <si>
    <t>Lemkil</t>
  </si>
  <si>
    <t>Use an Arcane Enchanter.</t>
  </si>
  <si>
    <t>Farengar Secret-Fire</t>
  </si>
  <si>
    <t>Get paid to gather cabbage, potato, wheat for Cowflop Farm.</t>
  </si>
  <si>
    <t>Reldith</t>
  </si>
  <si>
    <t>Uthgerd the Unbroken</t>
  </si>
  <si>
    <t>Get paid to gather gourd, leek, wheat crops for Battle-Born Farm.</t>
  </si>
  <si>
    <t>Alfhild Battle-Born</t>
  </si>
  <si>
    <t>Get paid to gather cabbage, potato crops Pelagia Farm.</t>
  </si>
  <si>
    <t>Severio Pelagia</t>
  </si>
  <si>
    <t>Adrianne asks you to deliver a sword to Proventus Avenicci, her father.</t>
  </si>
  <si>
    <t>Bring one Mammoth Tusk to Ysolda.</t>
  </si>
  <si>
    <t>Ysolda</t>
  </si>
  <si>
    <t>Retrieve Andurs' Amulet of Arkay from the catacombs.</t>
  </si>
  <si>
    <t>Andurs</t>
  </si>
  <si>
    <t>Farengar asks you to deliver some frost salts to Arcadia.</t>
  </si>
  <si>
    <t>Gain the title of Thane of Whiterun.</t>
  </si>
  <si>
    <t>Vignar Gray-Mane</t>
  </si>
  <si>
    <t>Region: The Pale Quests</t>
  </si>
  <si>
    <t>Dawnstar</t>
  </si>
  <si>
    <t>Purchase land to build Heljarchen Hall.</t>
  </si>
  <si>
    <t>Anga's Mill</t>
  </si>
  <si>
    <t>Aeri</t>
  </si>
  <si>
    <t>Recover Ring of Pure Mixtures.</t>
  </si>
  <si>
    <t>Frida</t>
  </si>
  <si>
    <t>Deliver Aeri's Note to Skald.</t>
  </si>
  <si>
    <t>Do a favor for the Jarl of Dawnstar by killing a giant.</t>
  </si>
  <si>
    <t>Skald</t>
  </si>
  <si>
    <t>Beitild</t>
  </si>
  <si>
    <t>Get paid to mine quicksilver ore.</t>
  </si>
  <si>
    <t>Leigelf</t>
  </si>
  <si>
    <t>Karl</t>
  </si>
  <si>
    <t>Bring Night Falls on Sentinel book to Rustleif.</t>
  </si>
  <si>
    <t>Rustleif</t>
  </si>
  <si>
    <t>Find some void salts for an inexperienced sea captain.</t>
  </si>
  <si>
    <t>Captain Wayfinder</t>
  </si>
  <si>
    <t>Become Thane of the Pale.</t>
  </si>
  <si>
    <t>Region: Winterhold Quests</t>
  </si>
  <si>
    <t>Winterhold</t>
  </si>
  <si>
    <t>Haran</t>
  </si>
  <si>
    <t>Outside of Winterhold</t>
  </si>
  <si>
    <t>Find Isabelle, Ranmir's lost love.</t>
  </si>
  <si>
    <t>Dagur</t>
  </si>
  <si>
    <t>Thorgar at Whistling Mine</t>
  </si>
  <si>
    <t>Recover Helm of Winterhold.</t>
  </si>
  <si>
    <t>Korir</t>
  </si>
  <si>
    <t>Ranmir</t>
  </si>
  <si>
    <t>Steal the Staff of Arcane Authority.</t>
  </si>
  <si>
    <t>Malur Seloth</t>
  </si>
  <si>
    <t>Gain the title of Thane of Winterhold.</t>
  </si>
  <si>
    <t>Global Quests</t>
  </si>
  <si>
    <t>A Return To Your Roots</t>
  </si>
  <si>
    <t>Aid in research in Blackreach.</t>
  </si>
  <si>
    <t>Sinderion's Journal</t>
  </si>
  <si>
    <t>Eastmarch
N of Riften</t>
  </si>
  <si>
    <t>Eastmarch
S of  Windhelm</t>
  </si>
  <si>
    <t>Find amulet for a caravan guard outside of Dawnstar or Riften.</t>
  </si>
  <si>
    <t>Kharjo</t>
  </si>
  <si>
    <t>Falkreath Hold
NNW of Falkreath</t>
  </si>
  <si>
    <r>
      <rPr>
        <rFont val="Calibri"/>
        <color rgb="FF000000"/>
        <sz val="8.0"/>
      </rPr>
      <t xml:space="preserve">Find The Forgemaster's Fingers to gain favor with the Orcs.
This quest is only available if you are not an orc and have not completed any of the following quests:
</t>
    </r>
    <r>
      <rPr>
        <rFont val="Calibri"/>
        <b/>
        <color rgb="FF000000"/>
        <sz val="8.0"/>
      </rPr>
      <t>Coated in Blood</t>
    </r>
    <r>
      <rPr>
        <rFont val="Calibri"/>
        <color rgb="FF000000"/>
        <sz val="8.0"/>
      </rPr>
      <t xml:space="preserve"> - Markarth
</t>
    </r>
    <r>
      <rPr>
        <rFont val="Calibri"/>
        <b/>
        <color rgb="FF000000"/>
        <sz val="8.0"/>
      </rPr>
      <t>The Cursed Tribe</t>
    </r>
    <r>
      <rPr>
        <rFont val="Calibri"/>
        <color rgb="FF000000"/>
        <sz val="8.0"/>
      </rPr>
      <t xml:space="preserve"> - Largashbur
</t>
    </r>
    <r>
      <rPr>
        <rFont val="Calibri"/>
        <b/>
        <color rgb="FF000000"/>
        <sz val="8.0"/>
      </rPr>
      <t>Fetch Book!</t>
    </r>
    <r>
      <rPr>
        <rFont val="Calibri"/>
        <color rgb="FF000000"/>
        <sz val="8.0"/>
      </rPr>
      <t xml:space="preserve"> - College of Winterhold
</t>
    </r>
    <r>
      <rPr>
        <rFont val="Calibri"/>
        <b/>
        <color rgb="FF000000"/>
        <sz val="8.0"/>
      </rPr>
      <t>Kolskeggr Mine</t>
    </r>
    <r>
      <rPr>
        <rFont val="Calibri"/>
        <color rgb="FF000000"/>
        <sz val="8.0"/>
      </rPr>
      <t xml:space="preserve"> - Left Hand Mine
</t>
    </r>
    <r>
      <rPr>
        <rFont val="Calibri"/>
        <b/>
        <color rgb="FF000000"/>
        <sz val="8.0"/>
      </rPr>
      <t>Sanuarach Mine</t>
    </r>
    <r>
      <rPr>
        <rFont val="Calibri"/>
        <color rgb="FF000000"/>
        <sz val="8.0"/>
      </rPr>
      <t xml:space="preserve"> - Karthwasten
</t>
    </r>
    <r>
      <rPr>
        <rFont val="Calibri"/>
        <b/>
        <color rgb="FF000000"/>
        <sz val="8.0"/>
      </rPr>
      <t>Skilled Apprenticeship</t>
    </r>
    <r>
      <rPr>
        <rFont val="Calibri"/>
        <color rgb="FF000000"/>
        <sz val="8.0"/>
      </rPr>
      <t xml:space="preserve"> - Markarth
</t>
    </r>
    <r>
      <rPr>
        <rFont val="Calibri"/>
        <b/>
        <color rgb="FF000000"/>
        <sz val="8.0"/>
      </rPr>
      <t>Mine Ore</t>
    </r>
    <r>
      <rPr>
        <rFont val="Calibri"/>
        <color rgb="FF000000"/>
        <sz val="8.0"/>
      </rPr>
      <t xml:space="preserve"> - Shor's Stone
</t>
    </r>
    <r>
      <rPr>
        <rFont val="Calibri"/>
        <b/>
        <color rgb="FF000000"/>
        <sz val="8.0"/>
      </rPr>
      <t>Kindred Judgment</t>
    </r>
    <r>
      <rPr>
        <rFont val="Calibri"/>
        <color rgb="FF000000"/>
        <sz val="8.0"/>
      </rPr>
      <t xml:space="preserve"> - Dawnguard
</t>
    </r>
  </si>
  <si>
    <t>Any orc at any  orc stronghold</t>
  </si>
  <si>
    <t>Falkreath Hold
W of Falkreath</t>
  </si>
  <si>
    <t>Falkreath Hold
W of Helgen</t>
  </si>
  <si>
    <t>Haafingar
N of Solitude</t>
  </si>
  <si>
    <t>Haafingar
W of Solitude</t>
  </si>
  <si>
    <t>Assault a target.</t>
  </si>
  <si>
    <t>Radient</t>
  </si>
  <si>
    <t>Player Level Dependent Quests (Not apart of %)</t>
  </si>
  <si>
    <t>The Reach
SSW of Markarth</t>
  </si>
  <si>
    <t>Level required</t>
  </si>
  <si>
    <t>Quest, Type, Location</t>
  </si>
  <si>
    <t>Auto Selected When Checked Above</t>
  </si>
  <si>
    <t>The Rift of Riften</t>
  </si>
  <si>
    <t>The Cursed Tribe
Type: Daedric     Site: Largashbur</t>
  </si>
  <si>
    <t>A Daedra's Best Friend
Type: Daedric     Site: Falkreath</t>
  </si>
  <si>
    <t>The Wolf Queen Awakened
Type: Side     Site: Solitude</t>
  </si>
  <si>
    <t>The Break of Dawn
Type: Daedric     Site: Solitude</t>
  </si>
  <si>
    <t>Whiterun Hold</t>
  </si>
  <si>
    <t>The Only Cure
Type: Daedric     Site: Markarth</t>
  </si>
  <si>
    <t>Unfathomable Depths
Type: Side     Site: Riften</t>
  </si>
  <si>
    <t>A Night To Remember
Type: Daedric     Site: Any Tavern</t>
  </si>
  <si>
    <t>Pieces of the Past
Type: Daedric     Site: Dawnstar</t>
  </si>
  <si>
    <t>The Whispering Door
Type: Daedric     Site: Whiterun</t>
  </si>
  <si>
    <t>Winterhold
E of Dawnstar</t>
  </si>
  <si>
    <t>Boethiah's Calling
Type: Daedric     Site: Windhelm</t>
  </si>
  <si>
    <t>Winterhold
ENE of Dawnstar</t>
  </si>
  <si>
    <t>D A W N G U A R D    Q U E S T    C H E C K L I S T</t>
  </si>
  <si>
    <t>Faction Side Quests</t>
  </si>
  <si>
    <t>Join the Dawnguard.</t>
  </si>
  <si>
    <t>Durak or Agmaer</t>
  </si>
  <si>
    <t>Dawnguard</t>
  </si>
  <si>
    <t>Find out what the vampires are looking for.</t>
  </si>
  <si>
    <t>Isran</t>
  </si>
  <si>
    <t>Retrieve Dwemer schematics to improve technology.</t>
  </si>
  <si>
    <t>Sorine Jurard</t>
  </si>
  <si>
    <t>Choose your side!</t>
  </si>
  <si>
    <t>Serana</t>
  </si>
  <si>
    <t>Find Florentius Baenius and recruit him into the Dawnguard.</t>
  </si>
  <si>
    <t>Quests when you join the Dawnguard.</t>
  </si>
  <si>
    <t>Kill the boss of a vampire lair.</t>
  </si>
  <si>
    <t>Gunmar</t>
  </si>
  <si>
    <t>Recruit Isran's old allies.</t>
  </si>
  <si>
    <t>Kill a vampire masquerading as a citizen.</t>
  </si>
  <si>
    <t>Find and rescue a Moth Priest.</t>
  </si>
  <si>
    <t>Destroy the vampire target.</t>
  </si>
  <si>
    <t>Quests when you join the Vampires.</t>
  </si>
  <si>
    <t>Kill a vampire masquerading as a visiting advisor.</t>
  </si>
  <si>
    <t>Fill the Bloodstone Chalice from the Bloodspring at Redwater Den.</t>
  </si>
  <si>
    <t>Garan Marethi</t>
  </si>
  <si>
    <t>Retrieve a relic of the original Dawnguard.</t>
  </si>
  <si>
    <t>Florentius Baenius</t>
  </si>
  <si>
    <t>Locate a Moth Priest.</t>
  </si>
  <si>
    <t>Lord Harkon</t>
  </si>
  <si>
    <t>Destroy the vampire before it turns its allies.</t>
  </si>
  <si>
    <t>Return to the main quest line</t>
  </si>
  <si>
    <t>Rescue a victim from vampires.</t>
  </si>
  <si>
    <t>Explore Castle Volkihar.</t>
  </si>
  <si>
    <t>Vampire</t>
  </si>
  <si>
    <t>Obtain all three Elder Scrolls.</t>
  </si>
  <si>
    <t>Dexion Evicus</t>
  </si>
  <si>
    <t>Retrieve the Amulets of Night Power.</t>
  </si>
  <si>
    <t>Feran Sadri</t>
  </si>
  <si>
    <t>Search for Valerica in the Soul Cairn.</t>
  </si>
  <si>
    <t>Retrieve vampire parts.</t>
  </si>
  <si>
    <t>Bring the Elder Scrolls to Dexion.</t>
  </si>
  <si>
    <t>Harkon or Isran</t>
  </si>
  <si>
    <t>Kill the thin-blooded vampires.</t>
  </si>
  <si>
    <t>Fura or Garan</t>
  </si>
  <si>
    <t>Perform a ceremony to read the Elder Scroll.</t>
  </si>
  <si>
    <t>Frame the Dawnguard for murder.</t>
  </si>
  <si>
    <t>Find and retrieve Auriel's Bow.</t>
  </si>
  <si>
    <t>Kill the Dawnguard leaders.</t>
  </si>
  <si>
    <t>Confront Lord Harkon.</t>
  </si>
  <si>
    <t>Turn your spouse into a creature of the night.</t>
  </si>
  <si>
    <t>Vingalmo</t>
  </si>
  <si>
    <t>Kill the Dawnguard spy.</t>
  </si>
  <si>
    <t>Learn a dragon shout from Durnehviir.</t>
  </si>
  <si>
    <t>Durnehviir</t>
  </si>
  <si>
    <t>Turn the target into a vampire.</t>
  </si>
  <si>
    <t>Find the Ancient Falmer Tome.</t>
  </si>
  <si>
    <t>Destroy a vampire before it turns its allies.</t>
  </si>
  <si>
    <t>Collect the ten missing pages of Saint Jiub's Opus.</t>
  </si>
  <si>
    <t>Soul of Jiub</t>
  </si>
  <si>
    <t>Retrieve the Ring of the Erudite and the Ring of the Beast.</t>
  </si>
  <si>
    <t>Search for the Dwemer's Aetherium Forge.</t>
  </si>
  <si>
    <t>Enter Arkngthamz</t>
  </si>
  <si>
    <t>Find Arvak's skull.</t>
  </si>
  <si>
    <t>Soul</t>
  </si>
  <si>
    <t>Change your appearance.</t>
  </si>
  <si>
    <t>Rumors</t>
  </si>
  <si>
    <t>D R A G O N B O R N    Q U E S T    C H E C K L I S T</t>
  </si>
  <si>
    <t>Raven Rock Quests</t>
  </si>
  <si>
    <t>Travel to the island of Solstheim.</t>
  </si>
  <si>
    <t>Retrieve an ancient Nordic pickaxe.</t>
  </si>
  <si>
    <t>Glover Mallory</t>
  </si>
  <si>
    <t>Uncover the source of Miraak's power in the Temple of Miraak.</t>
  </si>
  <si>
    <t>Frea</t>
  </si>
  <si>
    <t>Clear the Temple Ancestral Tomb of ash spawn.</t>
  </si>
  <si>
    <t>Elder Othreloth</t>
  </si>
  <si>
    <t>Find a way to free the citizens of Skaal Village.</t>
  </si>
  <si>
    <t>Convince an innkeeper to let a drunken miner get back to the bar.</t>
  </si>
  <si>
    <t>Bralsa Drel</t>
  </si>
  <si>
    <t>Use the Bend Will shout to cleanse the remaining All-Maker Stones.</t>
  </si>
  <si>
    <t>Storn
Crag-Strider</t>
  </si>
  <si>
    <t>Obtain five samples of netch jelly.</t>
  </si>
  <si>
    <t>Milore Lenth</t>
  </si>
  <si>
    <t>Discover the locations of the Black Books.</t>
  </si>
  <si>
    <t>Locate an important folio.</t>
  </si>
  <si>
    <t>Cindiri Arano</t>
  </si>
  <si>
    <t>Travel to the realm of Hermaeus Mora to learn the rest of Bend Will.</t>
  </si>
  <si>
    <t>Distribute Sadri's Sujamma to the citizens of Raven Rock.</t>
  </si>
  <si>
    <t>Geldis Sadri</t>
  </si>
  <si>
    <t>Confront Miraak at the summit of Apocrypha.</t>
  </si>
  <si>
    <t>Stop the ash spawn attacks.</t>
  </si>
  <si>
    <t>Captain Veleth</t>
  </si>
  <si>
    <t>Recover bonemold formula.</t>
  </si>
  <si>
    <t>Black Book: Filament &amp; Filigree</t>
  </si>
  <si>
    <t>Learn the Black Book's knowledge.</t>
  </si>
  <si>
    <t>Read book</t>
  </si>
  <si>
    <t>Find East Empire pendants.</t>
  </si>
  <si>
    <t>Fethis Alor‎</t>
  </si>
  <si>
    <t>Black Book: The Hidden Twilight</t>
  </si>
  <si>
    <t>Locate a hidden stash of Emberbrand Wine.</t>
  </si>
  <si>
    <t>Black Book: The Sallow Regent</t>
  </si>
  <si>
    <t>Save Councilor Morvayn from an assassination plot.</t>
  </si>
  <si>
    <t>Black Book: The Winds of Change</t>
  </si>
  <si>
    <t>Find out what happened to the great-grandfather of Crescius Caerellius.</t>
  </si>
  <si>
    <t>Crescius Caerellius</t>
  </si>
  <si>
    <t>Black Book: Untold Legends</t>
  </si>
  <si>
    <t>Skaal Village Quests</t>
  </si>
  <si>
    <t>Find a missing blacksmith.</t>
  </si>
  <si>
    <t>Deor Woodcutter</t>
  </si>
  <si>
    <t>Retrieve a Black Book.</t>
  </si>
  <si>
    <t>Madman</t>
  </si>
  <si>
    <t>Counsel a young Skaal on life as an adventurer.</t>
  </si>
  <si>
    <t>Edla</t>
  </si>
  <si>
    <t>Find the treasure of Haknir Death-Brand.</t>
  </si>
  <si>
    <t>Read Deathbrand</t>
  </si>
  <si>
    <t>Find Wulf Wild-Blood's brother.</t>
  </si>
  <si>
    <t>Wulf Wild-Blood</t>
  </si>
  <si>
    <t>Uncover the secret of Hrodulf's House.</t>
  </si>
  <si>
    <t>Travel to Vahlok's Tomb.</t>
  </si>
  <si>
    <t>Tharstan</t>
  </si>
  <si>
    <t>Kolbjorn Barrow Misc Objectives</t>
  </si>
  <si>
    <t>Search for the relics of Ahzidal in Kolbjorn Barrow.</t>
  </si>
  <si>
    <t>Ralis Sedarys</t>
  </si>
  <si>
    <t>Take Bera's necklace to Runil in Falkreath.</t>
  </si>
  <si>
    <t>Morwen</t>
  </si>
  <si>
    <t>Sell stalhrim equipment to Ancarion at Northshore Landing.</t>
  </si>
  <si>
    <t>Ancarion</t>
  </si>
  <si>
    <t>Thirsk Quests</t>
  </si>
  <si>
    <t>Summon and defeat Karstaag.</t>
  </si>
  <si>
    <t>Investigate Thirsk Mead Hall.</t>
  </si>
  <si>
    <t>Locate and defeat the Ebony Warrior.</t>
  </si>
  <si>
    <t>Ebony Warrior</t>
  </si>
  <si>
    <t>Retrieve one bottle of Ashfire Mead for Elmus.</t>
  </si>
  <si>
    <t>Elmus (Before taking sides)</t>
  </si>
  <si>
    <t>Survive the Kagrumez trials to claim a unique prize.</t>
  </si>
  <si>
    <t>Side with Rieklings. Help a Riekling Chief.</t>
  </si>
  <si>
    <t>Riekling Chief</t>
  </si>
  <si>
    <t>Side with Nords. Help retake the Thirsk Mead Hall.</t>
  </si>
  <si>
    <t>Bujold the Unworthy</t>
  </si>
  <si>
    <t>Talk to the hunters at Frostmoon Crag.</t>
  </si>
  <si>
    <t>Find 50 Riekling spears for Hilund.</t>
  </si>
  <si>
    <t>Hilund (After Retaking Thirsk)</t>
  </si>
  <si>
    <t>Retrieve one sample of juniper berries.</t>
  </si>
  <si>
    <t>Elmus (After Retaking Thirsk)</t>
  </si>
  <si>
    <t>Find 10 stalhrim samples and 
15 ebony ingots.</t>
  </si>
  <si>
    <t>Halbarn Iron-Fur (After Retaking Thirsk)</t>
  </si>
  <si>
    <t>Tel Mithryn Quests</t>
  </si>
  <si>
    <t>Help Drovas Relvi with his debt to Mogrul.</t>
  </si>
  <si>
    <t>Mogrul</t>
  </si>
  <si>
    <t>Retrieve a staff made by Azra Nightwielder.</t>
  </si>
  <si>
    <t>Neloth</t>
  </si>
  <si>
    <t>Examine a Briarheart.</t>
  </si>
  <si>
    <t>Be a test subject in an experiment.</t>
  </si>
  <si>
    <t>Help Talvas Fathryon by killing an ash guardian.</t>
  </si>
  <si>
    <t>Talvas Fathryon</t>
  </si>
  <si>
    <t>Help Elynea Mothren repair the tower of Tel Mithryn.</t>
  </si>
  <si>
    <t>Elynea Mothren</t>
  </si>
  <si>
    <t>Find a heart stone for Neloth.</t>
  </si>
  <si>
    <t>Collect a rare alchemy ingredient.</t>
  </si>
  <si>
    <t>Retrieve the Black Books for Neloth.</t>
  </si>
  <si>
    <t>Find the source of attacks on Tel Mithryn.</t>
  </si>
  <si>
    <t>Find a new steward in Raven Rock.</t>
  </si>
  <si>
    <t>Extract a sample from an ash spawn for Neloth's research.</t>
  </si>
  <si>
    <t>Retrieve a copy of Wind and Sand.</t>
  </si>
  <si>
    <t>Anniversary Edition CC   Q U E S T    C H E C K L I S T</t>
  </si>
  <si>
    <t>Survival Mode</t>
  </si>
  <si>
    <t>Alternative Armors - Daedric Plate</t>
  </si>
  <si>
    <t>No quests Added</t>
  </si>
  <si>
    <t>Beyond the Grave</t>
  </si>
  <si>
    <t>Follow the trail of a set of valuable Daedric Plate armor.</t>
  </si>
  <si>
    <t>Death of a Crimson Dirk in Dragonsreach Dungeon</t>
  </si>
  <si>
    <t>Arcane Acessories</t>
  </si>
  <si>
    <t>Alternative Armors - Dragon Plate</t>
  </si>
  <si>
    <t>The Lost Library</t>
  </si>
  <si>
    <t>Locate a huge collection of powerful spell tomes</t>
  </si>
  <si>
    <t>Hobs Fall Cave</t>
  </si>
  <si>
    <t>Bones for a Crow</t>
  </si>
  <si>
    <t>Hunt down the Forsworn Crowstooth.</t>
  </si>
  <si>
    <t>Bounty for Crowstooth from any innkeeper.</t>
  </si>
  <si>
    <t>Arcane Archer Pack</t>
  </si>
  <si>
    <t>Alternative Armors - Dwarven Plate</t>
  </si>
  <si>
    <t>Stealer of Souls</t>
  </si>
  <si>
    <t>Learn how to craft Soul Stealer Arrows.</t>
  </si>
  <si>
    <t>Letter from Calcemo</t>
  </si>
  <si>
    <t>Mightier than the Sword</t>
  </si>
  <si>
    <t>Track down some Dwarven loot and beat the competion.</t>
  </si>
  <si>
    <t>Looter's Note in Silver-Blood Inn</t>
  </si>
  <si>
    <t>Swift as an Arrow</t>
  </si>
  <si>
    <t>Learn how to craft and use Telekinesis Arrows.</t>
  </si>
  <si>
    <t>Note in Arcanaeum at College of Winterhold</t>
  </si>
  <si>
    <t>Alternative Armors - Iron</t>
  </si>
  <si>
    <t>Chrysamere</t>
  </si>
  <si>
    <t>Brothers in Irons</t>
  </si>
  <si>
    <t>Investigate a wanted criminal</t>
  </si>
  <si>
    <t>Patron's Note in Nightgate Inn</t>
  </si>
  <si>
    <t>The Lost Paladin</t>
  </si>
  <si>
    <t>Find and claim the Sword of Heroes.</t>
  </si>
  <si>
    <t>Forelhost</t>
  </si>
  <si>
    <t>Alternative Armors - Leather</t>
  </si>
  <si>
    <t>Divine Crusader</t>
  </si>
  <si>
    <t>Double-Edged</t>
  </si>
  <si>
    <t>Determine the fate of a Thalmor agent.</t>
  </si>
  <si>
    <t>Dossier at Cliffside Retreat</t>
  </si>
  <si>
    <t>The Pilgrim's Path</t>
  </si>
  <si>
    <t>Repent your sins by going on a pilgrimage.</t>
  </si>
  <si>
    <t>Four Skull Lookout</t>
  </si>
  <si>
    <t>Alternative Armors - Orcish Plate</t>
  </si>
  <si>
    <t>Relics of the Crusader</t>
  </si>
  <si>
    <t>Reclaim the holy relics of Pelinal Whitestrake.</t>
  </si>
  <si>
    <t>Smith 'N Slash</t>
  </si>
  <si>
    <t>Defeat an Orc blacksmith and her bandits to obtain an enchanted set of armor.</t>
  </si>
  <si>
    <t>Dossier in Guard Barracks of Whiterun</t>
  </si>
  <si>
    <t>Plauge of the Dead</t>
  </si>
  <si>
    <t>Alternateive Armors - Orcish Scaled</t>
  </si>
  <si>
    <t>The Rising Dead</t>
  </si>
  <si>
    <t>A group of Necromancers plan to summon an army of zombies.</t>
  </si>
  <si>
    <t>Courier after Level 5</t>
  </si>
  <si>
    <t>Gambler's Edge</t>
  </si>
  <si>
    <t>Search for an ill-fated gambler at the pit fights in Gragslane Cavern.</t>
  </si>
  <si>
    <t>Dossier in Mistveil Keep Barracks in Riften</t>
  </si>
  <si>
    <t>Ruin's Edge</t>
  </si>
  <si>
    <t>Alternative Armors - Silver</t>
  </si>
  <si>
    <t>The Edge of Ruin</t>
  </si>
  <si>
    <t>Find a madwoman's legendary bow.</t>
  </si>
  <si>
    <t>Stony Creek Cave</t>
  </si>
  <si>
    <t>When the Cat's Away</t>
  </si>
  <si>
    <t>Find a stash of silver armor.</t>
  </si>
  <si>
    <t>M'Sharra's Diary in The Bannered Mare</t>
  </si>
  <si>
    <t>Staff of Sheogorath</t>
  </si>
  <si>
    <t>Bittercup</t>
  </si>
  <si>
    <t>Put a Fork In It</t>
  </si>
  <si>
    <t>Pass Sheograth's trial to earn his staff.</t>
  </si>
  <si>
    <t>Note in The Retching Netch at Solstheim</t>
  </si>
  <si>
    <t>A Dying Wish</t>
  </si>
  <si>
    <t>Make a bitter choice.</t>
  </si>
  <si>
    <t>Note in Dead Man's Drink</t>
  </si>
  <si>
    <t>Stendarr's Hammer</t>
  </si>
  <si>
    <t>Fortunate Son</t>
  </si>
  <si>
    <t>Claim a fortune.</t>
  </si>
  <si>
    <t>Choose Fortune in A Dying Wish</t>
  </si>
  <si>
    <t>If I had a Hammer</t>
  </si>
  <si>
    <t>Steal a legendary ham;mer of the gods.</t>
  </si>
  <si>
    <t>Dwemer Musem in Markarth</t>
  </si>
  <si>
    <t>The Pit</t>
  </si>
  <si>
    <t>Survive a pit battle.</t>
  </si>
  <si>
    <t>Choose Power in A Dysing Wish</t>
  </si>
  <si>
    <t>Dwarven Armored Mudcrab</t>
  </si>
  <si>
    <t>Bloodchill Manor</t>
  </si>
  <si>
    <t>My Pet Mudcrab</t>
  </si>
  <si>
    <t>Buy a Dwarven Mudcrab</t>
  </si>
  <si>
    <t>Guests for Dinner</t>
  </si>
  <si>
    <t>Attend a feast.</t>
  </si>
  <si>
    <t>Dinner Invitation by courier</t>
  </si>
  <si>
    <t>Lord's Mail</t>
  </si>
  <si>
    <t>Bow of Shadows</t>
  </si>
  <si>
    <t>Gift of Kynareth</t>
  </si>
  <si>
    <t>Recover a legendary Legion artifact and obtain the blessing of Kynareth.</t>
  </si>
  <si>
    <t>Letter in Castle Dour at Solitude</t>
  </si>
  <si>
    <t>In the Shadows</t>
  </si>
  <si>
    <t>Save the Jarl of Whiterun from an assassination plot.</t>
  </si>
  <si>
    <t>Proventus Avenicci</t>
  </si>
  <si>
    <t>Adventurer's Backpack</t>
  </si>
  <si>
    <t>Farming</t>
  </si>
  <si>
    <t>The Unquiet Dead</t>
  </si>
  <si>
    <t>Lay the spirits of Goldenhills Plantation to rest.</t>
  </si>
  <si>
    <t>Restless Spirits bounty letter from innkeeper or travel to Goldenhills Plantation</t>
  </si>
  <si>
    <t>Camping</t>
  </si>
  <si>
    <t>A Farmer's Life for Me</t>
  </si>
  <si>
    <t>Develop your farm.</t>
  </si>
  <si>
    <t>Complete The Unquiet Dead</t>
  </si>
  <si>
    <t>Fearsome Fists</t>
  </si>
  <si>
    <t>Nix-Hound</t>
  </si>
  <si>
    <t>My Pet Nix-Hound</t>
  </si>
  <si>
    <t>Buy a tame nix-hound.</t>
  </si>
  <si>
    <t>Notice of Sale</t>
  </si>
  <si>
    <t>Gallows Hall</t>
  </si>
  <si>
    <t>Shadowrend</t>
  </si>
  <si>
    <t>Dreams of the Dead</t>
  </si>
  <si>
    <t>Unlock the secrets of a necromancer's lair and make it your own.</t>
  </si>
  <si>
    <t>Enter Gallows Hall</t>
  </si>
  <si>
    <t>Through a Glass, Darkly</t>
  </si>
  <si>
    <t>Confront the darkness within yourself to obtain a powerful weapon.</t>
  </si>
  <si>
    <t>Geyser poll in Eastmarch</t>
  </si>
  <si>
    <t>Ghosts of the Tribunal</t>
  </si>
  <si>
    <t>Tundra Homestead</t>
  </si>
  <si>
    <t>Decide the fate of a heretical cult.</t>
  </si>
  <si>
    <t>Heretic Dossier: Blacksmith's Confessional at the Temple in Raven Rock.</t>
  </si>
  <si>
    <t>Buyer Beware</t>
  </si>
  <si>
    <t>Ambush a meeting to retrieve the Mask of Vivec.</t>
  </si>
  <si>
    <t>Read Masks of the Tribunal</t>
  </si>
  <si>
    <t>Myrwatch</t>
  </si>
  <si>
    <t>Trueflame</t>
  </si>
  <si>
    <t>Restore power to the Dwarven Forge in Fahlbtharz to restore a powerful artifact.</t>
  </si>
  <si>
    <t>Ghosts of the Tribunal or finding any of the four Dwarven Forge Gems hidden in Solstheim</t>
  </si>
  <si>
    <t>Locate and enter a mysterious tower</t>
  </si>
  <si>
    <t>Approch Myrwatch tower east of Morthal</t>
  </si>
  <si>
    <t>Careless Curation</t>
  </si>
  <si>
    <t>Find the missing Curate to retrieve the Mask of Sotha Sil.</t>
  </si>
  <si>
    <t>Matriarch Drevlan</t>
  </si>
  <si>
    <t>Noric Jewlery</t>
  </si>
  <si>
    <t>Her Word Against Theirs</t>
  </si>
  <si>
    <t>Spread the word of the Goddess Almalexia</t>
  </si>
  <si>
    <t>Nordic Jewlery</t>
  </si>
  <si>
    <t>Learn about Nordic Jewlery</t>
  </si>
  <si>
    <t>Obtain a piece of Nordic jewlery</t>
  </si>
  <si>
    <t>Ashen Heart</t>
  </si>
  <si>
    <t>Find out who attacked the temple and retreive their unique mask.</t>
  </si>
  <si>
    <t>Pets of Skyrim</t>
  </si>
  <si>
    <t>Goldbrand</t>
  </si>
  <si>
    <t>Find trained pets around Skyrim</t>
  </si>
  <si>
    <t>For Sale notice at The Bannered Mare</t>
  </si>
  <si>
    <t>A Matter of Pride</t>
  </si>
  <si>
    <t>Obtain the legendary katana Goldbrand.</t>
  </si>
  <si>
    <t>Eranya's Journal or Eranya's Research Notes</t>
  </si>
  <si>
    <t>Rare Curios</t>
  </si>
  <si>
    <t>Headman's Cleaver</t>
  </si>
  <si>
    <t>Blood in the Water</t>
  </si>
  <si>
    <t>Deliver vengeance upon the enemies of the Bloodfall Queen.</t>
  </si>
  <si>
    <t>Innkeeper letter about stolen Headman's Cleaver</t>
  </si>
  <si>
    <t>Bone Wolf</t>
  </si>
  <si>
    <t>Horse Armor - Elven</t>
  </si>
  <si>
    <t>Let Sleeping Wolves Lie</t>
  </si>
  <si>
    <t>Stop a necromancer from raising undead wolf minions.</t>
  </si>
  <si>
    <t>Courier after completing The Wolf Queen Awakened</t>
  </si>
  <si>
    <t>Staff of Hasedoki</t>
  </si>
  <si>
    <t>Horse Armor - Steel</t>
  </si>
  <si>
    <t>The Staff of Hasedoki</t>
  </si>
  <si>
    <t>Locate a legendary staff that's been smuggled into Skyrim.</t>
  </si>
  <si>
    <t>Smuggler's Trade Notes at an unmarked bandit camp west of Dragonsreach</t>
  </si>
  <si>
    <t>Wild Horses</t>
  </si>
  <si>
    <t>Nchuanthumz: Dwarven Home</t>
  </si>
  <si>
    <t>Creature of Legend</t>
  </si>
  <si>
    <t>Track down and tame the last living Unicorn</t>
  </si>
  <si>
    <t>Soran's Journal in the Arcanaeum in College of Winterhold</t>
  </si>
  <si>
    <t>The Sanctuary and the Manufactory</t>
  </si>
  <si>
    <t>Repair a Dwarven ruin and make yourself at home.</t>
  </si>
  <si>
    <t>Seeks-Ancient-Artifacts' Journal v1 in Frozen Hearth of Winterhold</t>
  </si>
  <si>
    <t>Horse Whisperer</t>
  </si>
  <si>
    <t>Purchase a map that lets you find wild horses.</t>
  </si>
  <si>
    <t>Necromantic Grimoire</t>
  </si>
  <si>
    <t>Civil War Champions</t>
  </si>
  <si>
    <t>Battle of the Champions</t>
  </si>
  <si>
    <t>A battle between two Civil War champions is about to begin.</t>
  </si>
  <si>
    <t>Note in The Drunken Huntsman before Civil War. Courier after Civil War.</t>
  </si>
  <si>
    <t>Redguard Elite Armaments</t>
  </si>
  <si>
    <t>Elite Crossbows</t>
  </si>
  <si>
    <t>Interception</t>
  </si>
  <si>
    <t>Aid the Hammerfell resistance.</t>
  </si>
  <si>
    <t>Azadi in Shor's Stone</t>
  </si>
  <si>
    <t>Night Hunter</t>
  </si>
  <si>
    <t>Claim the belongings of a Haafingar vampire hunter.</t>
  </si>
  <si>
    <t>Kragrash's Letter at Ironback Hideout</t>
  </si>
  <si>
    <t>Staves</t>
  </si>
  <si>
    <t>Forgotten Seasons</t>
  </si>
  <si>
    <t>The Dwarven Horse</t>
  </si>
  <si>
    <t>Reassemble an ancient Dwarven vamidium.</t>
  </si>
  <si>
    <t>Activate Broken Dwarven Horse outside Runoff Caverns.</t>
  </si>
  <si>
    <t>The Cause</t>
  </si>
  <si>
    <t>Shut down a malfunctioning Dwarven weather machine</t>
  </si>
  <si>
    <t>Enter Runoff Caverns</t>
  </si>
  <si>
    <t>Investigate the activities of the Mythic Dawn cult.</t>
  </si>
  <si>
    <t>Stranger's Plea from courier at level 46</t>
  </si>
  <si>
    <t>The Dwarven Crown</t>
  </si>
  <si>
    <t>Gather all the components of a powerful Dwarven Crown from within a forgotten Dwarven ruin.</t>
  </si>
  <si>
    <t>Enter Vardnknd Gallery section of Runoff Caverns</t>
  </si>
  <si>
    <t>The Consequences</t>
  </si>
  <si>
    <t>Enter the Deadlands to face Dagon's champions.</t>
  </si>
  <si>
    <t>Reading Vonos' Journal at end of The Cause</t>
  </si>
  <si>
    <t>Saturalia Holiday Pack</t>
  </si>
  <si>
    <t>The Contest</t>
  </si>
  <si>
    <t>Saturalia Preparation</t>
  </si>
  <si>
    <t>Track down a traveling merchant to take part in end-of-year festivities.</t>
  </si>
  <si>
    <t>Argane Peryval</t>
  </si>
  <si>
    <t>Caught in a Web</t>
  </si>
  <si>
    <t>Search for legendary artifacts in a spider den.</t>
  </si>
  <si>
    <t>Adonato Leotelli's Journal in Candlehearth Hall</t>
  </si>
  <si>
    <t>Sunder and Wraithguard</t>
  </si>
  <si>
    <t>Fishing</t>
  </si>
  <si>
    <t>Legends Lost</t>
  </si>
  <si>
    <t>Track down Kagrenac's missing Tools.</t>
  </si>
  <si>
    <t>Lost Caravan Guard's Note in Gnisis Cornerclub at Windhelm</t>
  </si>
  <si>
    <t>Angler Acquaintances</t>
  </si>
  <si>
    <t>Begin your fishing journey.</t>
  </si>
  <si>
    <t>Riften Fishery</t>
  </si>
  <si>
    <t>Vigil Enforcer Armor Set</t>
  </si>
  <si>
    <t>Swims-In-Deep-Water Quests</t>
  </si>
  <si>
    <t>Unholy Vigil</t>
  </si>
  <si>
    <t>Investigate the mysterious disappearandes of Vigilants of Stendarr in the Pale.</t>
  </si>
  <si>
    <t>Letter to Keeper Carcette in Hall of the Vigilant</t>
  </si>
  <si>
    <t>Catch of the Day</t>
  </si>
  <si>
    <t>Catch fair weather fish.</t>
  </si>
  <si>
    <t>Swims-In-Deep-Water</t>
  </si>
  <si>
    <t>Arms of Chaos</t>
  </si>
  <si>
    <t>Caught in the Rain</t>
  </si>
  <si>
    <t>Catch rainy weather fish.</t>
  </si>
  <si>
    <t>The Arms of Chaos</t>
  </si>
  <si>
    <t>Complete a mage's quest to reassemble two powerful staves.</t>
  </si>
  <si>
    <t>Hyenril's Journal at Skytemple Ruins</t>
  </si>
  <si>
    <t>Frozen Fish</t>
  </si>
  <si>
    <t>Catch artic fish.</t>
  </si>
  <si>
    <t>Shadowfoot Sanctum</t>
  </si>
  <si>
    <t>Darkest Depths</t>
  </si>
  <si>
    <t>Catch underground fish.</t>
  </si>
  <si>
    <t>Purchase a cozy sewer home ideal for a thief.</t>
  </si>
  <si>
    <t>Vekel the Man in The Ragged Flagon</t>
  </si>
  <si>
    <t>Fishing Legend</t>
  </si>
  <si>
    <t>Catch rare fish.</t>
  </si>
  <si>
    <t>Spell Knight Armor</t>
  </si>
  <si>
    <t>Rubbish Retrieval</t>
  </si>
  <si>
    <t>Fish up junk to clean the waterways.</t>
  </si>
  <si>
    <t>Crypt of the Heart</t>
  </si>
  <si>
    <t>Investigate rumors of a ghost that haunts the Karth River.</t>
  </si>
  <si>
    <t>Crypt of the Heart - Draft in the Silver-Blood Inn.</t>
  </si>
  <si>
    <t>Further Study</t>
  </si>
  <si>
    <t>Collect a fish to help an alchemist experiment with potions.</t>
  </si>
  <si>
    <t>Umbra</t>
  </si>
  <si>
    <t>Viriya Quests</t>
  </si>
  <si>
    <t>Vile Whispers</t>
  </si>
  <si>
    <t>A malevolent Daedric entity long thought destroyed has resurfaced in the Velothi Mountains.</t>
  </si>
  <si>
    <t>Vigilant's Report at Champion's Rest</t>
  </si>
  <si>
    <t>In a Pinch</t>
  </si>
  <si>
    <t>Obtain a juvenile mudcrab for research.</t>
  </si>
  <si>
    <t>Viriya</t>
  </si>
  <si>
    <t>Alternative Armors - Dwarven Mail</t>
  </si>
  <si>
    <t>Clear-Headed</t>
  </si>
  <si>
    <t>Help a guard overcome his skooma addiction.</t>
  </si>
  <si>
    <t>Fan Favorite</t>
  </si>
  <si>
    <t>Track down a fugitive Arena combatant.</t>
  </si>
  <si>
    <t>Arena Fan's Note on body of Arena Fan south of Ivarstead.</t>
  </si>
  <si>
    <t>Heart of Gold</t>
  </si>
  <si>
    <t>Get Mila a pet goldfish</t>
  </si>
  <si>
    <t>Alternative Armors - Stalhrim Fur</t>
  </si>
  <si>
    <t>No Contest</t>
  </si>
  <si>
    <t>Take part in a fishing contest.</t>
  </si>
  <si>
    <t>Ancient Ice</t>
  </si>
  <si>
    <t>Bring a murderer to justice in northern Solstheim</t>
  </si>
  <si>
    <t>Skjol's Journal at camp south of Skaal Village</t>
  </si>
  <si>
    <t>Crustacean Extermination</t>
  </si>
  <si>
    <t>Exterminate unruly mudcrabs.</t>
  </si>
  <si>
    <t>Dawnfang &amp; Duskfang</t>
  </si>
  <si>
    <t>Tusked Terror</t>
  </si>
  <si>
    <t>Slay Fangtusk</t>
  </si>
  <si>
    <t>A Soul Divided</t>
  </si>
  <si>
    <t>Seek out a cursed Tsaesci blade in the Ratway</t>
  </si>
  <si>
    <t>Follow Ghostly Appariation in Ratway</t>
  </si>
  <si>
    <t>Private Lessons</t>
  </si>
  <si>
    <t>Teach Lynea how to fish.</t>
  </si>
  <si>
    <t>Bloodthirst</t>
  </si>
  <si>
    <t>Find a cursed, blood-drinking sword.</t>
  </si>
  <si>
    <t>Verrick's Note inside Guardian Vault from A Soul Divided</t>
  </si>
  <si>
    <t>Spirits Away</t>
  </si>
  <si>
    <t>Help a Khajiit trader recover his shipment of aged flin.</t>
  </si>
  <si>
    <t>Expanded Crossbow Pack</t>
  </si>
  <si>
    <t>The Ultimate Feast</t>
  </si>
  <si>
    <t>Prepare a feast for Gisli.</t>
  </si>
  <si>
    <t>Beneath Bronze Waters</t>
  </si>
  <si>
    <t>Investigate the waters outside Bronze Water Cave.</t>
  </si>
  <si>
    <t>Netch Leather Armor</t>
  </si>
  <si>
    <t>Wave Breaker</t>
  </si>
  <si>
    <t>Dawnstar is threatened by a giant crab!</t>
  </si>
  <si>
    <t>Letter from Viriya</t>
  </si>
  <si>
    <t>More Than You Can Chew</t>
  </si>
  <si>
    <t>Obtain the secrets of crafting with netch leather from a tribe of rieklings.</t>
  </si>
  <si>
    <t>Peddler's Journal on body of Dark Elf north of Skaal Village</t>
  </si>
  <si>
    <t>End of the Line</t>
  </si>
  <si>
    <t>Collect resources to help Viriya set up her own market stall.</t>
  </si>
  <si>
    <t>Alternative Armors - Daedric Mail</t>
  </si>
  <si>
    <t>Missing Merchant</t>
  </si>
  <si>
    <t>A powerful set of armor has come on the market.</t>
  </si>
  <si>
    <t>Missing Merchant letter from Courier or innkeeper</t>
  </si>
  <si>
    <t>Two of a Kind</t>
  </si>
  <si>
    <t>Every fish needs a friend!</t>
  </si>
  <si>
    <t>Letter from Mila Valentia</t>
  </si>
  <si>
    <t>Alternative Armors - Dragonscale</t>
  </si>
  <si>
    <t>Tilted Scales</t>
  </si>
  <si>
    <t>Retrieve a set of ancient armor from an old warrior.</t>
  </si>
  <si>
    <t>The Crimson Dirks v4 in Candlehearth Hall.</t>
  </si>
  <si>
    <t>Alternative Armors - Elven Hunter</t>
  </si>
  <si>
    <t>Once a Hunter</t>
  </si>
  <si>
    <t>Track down a hunter with a dangerous past.</t>
  </si>
  <si>
    <t>Guard Dossier: Aesrael at the Falkreath Barracks</t>
  </si>
  <si>
    <t>Alternative Armors - Ebony Plate</t>
  </si>
  <si>
    <t>Heart of Crimson</t>
  </si>
  <si>
    <t>Confront the murderous leader of a bandit gang.</t>
  </si>
  <si>
    <t>Letter from Tyra Blood-Fire by Courier after level 32</t>
  </si>
  <si>
    <t>Alternative Armors - Steel Soldier</t>
  </si>
  <si>
    <t>Over the Edge</t>
  </si>
  <si>
    <t>A criminal has sensed his past catching up with him.</t>
  </si>
  <si>
    <t>Note in the Four Shields Tavern in DragonBridge</t>
  </si>
  <si>
    <t>Dead Man's Dread</t>
  </si>
  <si>
    <t>The Restless</t>
  </si>
  <si>
    <t>Search for an ancient pirate ship.</t>
  </si>
  <si>
    <t>The Restlass at The Winking Skeever</t>
  </si>
  <si>
    <t>Goblins</t>
  </si>
  <si>
    <t>Blue in the Face</t>
  </si>
  <si>
    <t>Investigate rumors of the Blue God's return.</t>
  </si>
  <si>
    <t>Letter to Clexius at the Bee and Barb.</t>
  </si>
  <si>
    <t>Saints &amp; Seducers</t>
  </si>
  <si>
    <t>Balance of Power</t>
  </si>
  <si>
    <t>Put a stop to two bandit gangs wielding strange otherworldy equipment.</t>
  </si>
  <si>
    <t>Ri'saad</t>
  </si>
  <si>
    <t>Restoring Order</t>
  </si>
  <si>
    <t>Put an end to the melding of planes under Solitude</t>
  </si>
  <si>
    <t>Complete Balance of Power reading 2 journals.</t>
  </si>
  <si>
    <t>Hendraheim</t>
  </si>
  <si>
    <t>Earn the deed to an ancient Nordic hall.</t>
  </si>
  <si>
    <t>Courier after level 10.</t>
  </si>
  <si>
    <t>The Gray Cowl Returns!</t>
  </si>
  <si>
    <t>The Gray Cowl of Nocturnal</t>
  </si>
  <si>
    <t>Investigate the legend of the Gray Fox.</t>
  </si>
  <si>
    <t>Kill thief in Riften graveyard and read his note.</t>
  </si>
  <si>
    <t>Enchantment Name</t>
  </si>
  <si>
    <t>Obtained?</t>
  </si>
  <si>
    <t>Weapon</t>
  </si>
  <si>
    <t>Head</t>
  </si>
  <si>
    <t>Neck</t>
  </si>
  <si>
    <t>Chest</t>
  </si>
  <si>
    <t>Hands</t>
  </si>
  <si>
    <t>Finger</t>
  </si>
  <si>
    <t>Feet</t>
  </si>
  <si>
    <t>Shield</t>
  </si>
  <si>
    <t>School</t>
  </si>
  <si>
    <t>Base Magnitude</t>
  </si>
  <si>
    <t>Base Cost</t>
  </si>
  <si>
    <t>Disenchant</t>
  </si>
  <si>
    <t>-</t>
  </si>
  <si>
    <t>X</t>
  </si>
  <si>
    <t>Plus 8% potion strength</t>
  </si>
  <si>
    <t>Bracers/Gauntlets and Helmets "of Alchemy"
Muiri's Ring
Ring of Pure Mixtures
Dwarven Helment of Eminent Alteration</t>
  </si>
  <si>
    <t>Minus 8% casting cost</t>
  </si>
  <si>
    <t>Armor, Bracers, and Helmets "of Alteration"</t>
  </si>
  <si>
    <t>Negative 5% casting cost
Plus 10% Magicka Regen</t>
  </si>
  <si>
    <t>Robes "of Alteration"</t>
  </si>
  <si>
    <t>Plus 13% damage</t>
  </si>
  <si>
    <t>Bracers/Gauntlets, Circlets, Helmets, and Rings "of Archery"</t>
  </si>
  <si>
    <t>Prices Improved by 8%</t>
  </si>
  <si>
    <t>Necklaces "of Haggling"</t>
  </si>
  <si>
    <t>Plus 13% damage blocked</t>
  </si>
  <si>
    <t>Shields "of Blocking"</t>
  </si>
  <si>
    <t xml:space="preserve"> -</t>
  </si>
  <si>
    <t>Plus 15</t>
  </si>
  <si>
    <t>Charmed Necklace
Boots "of Brawn"
Boots "of Hauling"
Boots "of Lifting"
Boots "of the Mammoth"
 Boots "of the Ox"
Boots "of Strength"</t>
  </si>
  <si>
    <t>Armor, Bracers, and Helmet "of Conjuring"
Circlets, and Imperial Helmets "of Conjuration"</t>
  </si>
  <si>
    <t>Robes and Vampire Armor "of Conjuration"</t>
  </si>
  <si>
    <t>Armor, Bracers, Circlets, Helmets, Necklaces, and Rings "of Destruction"
Thalmor Robes, Hooded Thalmor Robes</t>
  </si>
  <si>
    <t>Robes and Vampire Armor "of Destruction"</t>
  </si>
  <si>
    <t>Plus 10%</t>
  </si>
  <si>
    <t>Armor, Necklaces, and Rings "of Mending"
Armor, Necklaces, and Rings "of Revival"
Armor, Necklaces, and Rings "of Regeneration"
Armor, Necklaces, and Rings "of Remedy"</t>
  </si>
  <si>
    <t>Plus 20</t>
  </si>
  <si>
    <t>Armor "of Health"
Enchanted Ring</t>
  </si>
  <si>
    <t>Plus 8 Skill</t>
  </si>
  <si>
    <t xml:space="preserve"> Armor and Necklaces "of the Knight"</t>
  </si>
  <si>
    <t>Armor, and Helmets "of Illusion"</t>
  </si>
  <si>
    <t>Robes "of Illusion"</t>
  </si>
  <si>
    <t>Armor and Necklaces "of the Squire"</t>
  </si>
  <si>
    <t>Plus 13%</t>
  </si>
  <si>
    <t>Bracers/Gauntlets and Necklaces "of Lockpicking"</t>
  </si>
  <si>
    <t>Circlets, Helmets, and Rings "of Magicka"
Adept Hood
Amulet of Julianos
Apprentice Hood
Black Mage Hood
Executioner's Hood
Mage's Circlet
Novice Hood
Savos Aren's Amulet</t>
  </si>
  <si>
    <t>Plus 20%</t>
  </si>
  <si>
    <t>Helmets, Rings, and Robes "of Recovery"
Armor, Helmets, Rings, and Robes "of Replenishing"
Helmets, Rings, and Robes "of Resurgence"
Adept Robes
Apprentice Robes
Black Mage Robes
Blue Mage Robes
Expert Robes
Hooded Black Mage Robes
Hooded Necromancer Robes
Master Robes
Mythic Dawn Robes
Necromancer Robes
Novice Robes</t>
  </si>
  <si>
    <t>Bracers/Gauntlets, Necklaces, and Rings "of Wielding"</t>
  </si>
  <si>
    <t>Plus 13% mulitplier to success chance</t>
  </si>
  <si>
    <t>Bracers/Gauntlets and Rings "of Deft Hands"</t>
  </si>
  <si>
    <t>Armor, Circlets, Helmets, and Rings "of Restoration"</t>
  </si>
  <si>
    <t>Robes "of Restoration"</t>
  </si>
  <si>
    <t>Plus 8% tempering strength</t>
  </si>
  <si>
    <t>Bracers/Gauntlet, Necklaces, and rings "of Smithing"
Silver-Blood Family Ring
The Forgemaster's Fingers</t>
  </si>
  <si>
    <t>Boots, Necklaces, and Rings "of Sneaking"</t>
  </si>
  <si>
    <t>Armor, Boots, Necklaces, and Rings "of Stamina"</t>
  </si>
  <si>
    <t>Armor, Necklaces and Rings "of Invigoration"Armor
Necklaces and Rings "of Recuperation"
Armor, Necklaces and Rings "of Rejuvenation"
Armor, Necklaces and Rings "of Renewal"</t>
  </si>
  <si>
    <t>Bracers/Gauntlets, Necklaces, and Rings "of Sure Grip"
Ironhand Gauntlets
Ring of Minor Striking</t>
  </si>
  <si>
    <t>Plus 5 damage</t>
  </si>
  <si>
    <t>Gloves of the Pugilist</t>
  </si>
  <si>
    <t>Boots "of Muffling"</t>
  </si>
  <si>
    <t>Plus 25%</t>
  </si>
  <si>
    <t>Necklace of Disease Immunity
Necklace of Disease Resistance</t>
  </si>
  <si>
    <t>Plus 15%</t>
  </si>
  <si>
    <t>Boots, Necklaces, and Shields "of Dwindling Flames"
Boots, Necklaces, and Shields "of Fire Abatement"
Boots, Necklaces, and Shields "of Fire Suppression"
Boots, Necklaces, and Shields "of Flame Suppression"
Boots, Necklaces, and Shields "of the Firewalker"
Boots, Necklaces, and Shields "of Resist Fire"
Boots, Necklaces, and Shields "of Waning Fire"
Ancient Helm of the Unburned
Steel Shield of Fire Resist</t>
  </si>
  <si>
    <t>Armor, Boots, Necklaces, and Shields "of Dwindling Frost"
Armor, Boots, Necklaces, and Shields "of Frost Abatement"
Armor, Boots, Necklaces, and Shields "of Frost Suppression"
Armor, Boots, Necklaces, and Shields "of Resist Frost"
Armor, Boots, Necklaces, and Shields "of Waning Frost"
Armor, Boots, Necklaces, and Shields "of Warmth"
Helm of Yngol
Herebane's Fortress
Necklace of Frost Resist</t>
  </si>
  <si>
    <t>Plus 8%</t>
  </si>
  <si>
    <t>Necklaces, Rings, and Shields "of Dwindling Magic"
Necklaces, Rings, and Shields "of Resist Magic"
Necklaces, Rings, and Shields "of Waning Magic" 
Necklaces, Rings, and Shields "of Magic Abatement"
Necklaces, Rings, and Shields "of Magic Suppression"
Necklaces, Rings, and Shields "of Nullification"
A second version of the effect is available from the Shield of Solitude</t>
  </si>
  <si>
    <t>Necklace of Poison Immunity
Necklace of Poison Resistance</t>
  </si>
  <si>
    <t>Boots, Necklaces, and Shields "of Dwindling Shock"
Boots, Necklaces, and Shields "of Grounding"
Boots, Necklaces, and Shields "of Resist Shock"
Boots, Necklaces, and Shields "of Shock Abatement"
Boots, Necklaces, and Shields "of Shock Suppression"
Boots, Necklaces, and Shields "of Waning Shock"</t>
  </si>
  <si>
    <t>Circlets, Helmets, and Necklaces "of Waterbreathing"</t>
  </si>
  <si>
    <t>Destruction</t>
  </si>
  <si>
    <t>8</t>
  </si>
  <si>
    <t>Weapons "of Absorption"
Weapons "of Consuming"
Weapons "of Devouring"
Weapons "of Leeching"
Weapons "of the Vampire"
Blade of Woe
Drainblood Battleaxe
Gauldur Blackblade</t>
  </si>
  <si>
    <t>Weapons "of the Sorcerer"
Weapons "of Evoking"
Weapons "of Harrowing"
Weapons "of Siphoning"
Weapons "of Winnowing"
Gauldur Blackbow
Drainspell Bow</t>
  </si>
  <si>
    <t>Weapons "of Subsuming"
Weapons "of Garnering"
Weapons "of Gleaning"
Weapons "of Harvesting"
Weapons "of Reaping"
Drainheart Sword</t>
  </si>
  <si>
    <t>Conjuration</t>
  </si>
  <si>
    <t>Level 10</t>
  </si>
  <si>
    <t>Weapons "of Annihilating"
Weapons "of Banishing"
Weapons "of Expelling"</t>
  </si>
  <si>
    <t>Weapons "of Chaos"
Weapons "of Extreme Chaos"
Weapons "of High Chaos"
Weapons "of Ultimate Chaos"
Champion's Cudgel</t>
  </si>
  <si>
    <t>Weapons "of Debilitation"
Weapons "of Exhaustion"
Weapons "of Fatigue"
Weapons "of Lethargy"
Weapons "of Torpor"
Weapons "of Weariness"
Froki's Bow</t>
  </si>
  <si>
    <t xml:space="preserve">	Illusion</t>
  </si>
  <si>
    <t>Level 10, for 30 seconds</t>
  </si>
  <si>
    <t>Weapons "of Cowardice"
Weapons "of Despair"
Weapons "of Dismay"
Weapons "of Dread"
Weapons "of Fear"
Weapons "of Terror"</t>
  </si>
  <si>
    <t>5 seconds
10 fire damage</t>
  </si>
  <si>
    <t>Steel Battleaxe of Fiery Souls</t>
  </si>
  <si>
    <t>Weapons "of Burning"
Weapons "of Scorching"
Weapons "of Embers"
Weapons "of Fire"
Weapons "of Flames"
Weapons "of the Blaze"
Weapons "of the Inferno"</t>
  </si>
  <si>
    <t>10
50% slow for 2 seconds</t>
  </si>
  <si>
    <t>Weapons "of Chills"
Weapons "of Blizzards"
Weapons "of Cold"
Weapons "of Freezing"
Weapons "of Frost"
Weapons "of Ice"
Weapons "of Winter"
Aegisbane
Eduj
Firiniel's End
Grimsever
Okin</t>
  </si>
  <si>
    <t>Plus 3 damage vs. Animals</t>
  </si>
  <si>
    <t>Poacher's Axe</t>
  </si>
  <si>
    <t>Weapons "of Depleting"
Weapons "of Diminishing'
Weapons "of Draining"
Weapons "of Enervating"
Weapons "of Nullifying"
Weapons "of Sapping"</t>
  </si>
  <si>
    <t>Alteration</t>
  </si>
  <si>
    <t>26% chance for 2 secondds</t>
  </si>
  <si>
    <t>Weapons "of Immobilizing"
Weapons ""of Petrifying"
Weapons "of Stunning"</t>
  </si>
  <si>
    <t>Weapons "of Sparks"
Weapons "of Arcing"
Weapons "of Shocks"
Weapons "of Thunderbolts"
Weapons "of Lightning"
Weapons "of Storms"</t>
  </si>
  <si>
    <t>Plus 10 damage between 9pm and 5am</t>
  </si>
  <si>
    <t>Lunar Iron Mace
Lunar Iron Sword
Lunar Iron War Axe
Lunar Steel Mace
Lunar Steel Sword
Lunar Steel War Axe</t>
  </si>
  <si>
    <t>5 shock damage
+5 Smithing</t>
  </si>
  <si>
    <t>Notched Pickaxe</t>
  </si>
  <si>
    <t>4 seconds</t>
  </si>
  <si>
    <t>Weapons "of Animus"
Weapons "of Binding"
Weapons "of Damnation"
Weapons "of Malediction"
Weapons "of Soul Snares"
Weapons "of Souls"</t>
  </si>
  <si>
    <t>Restoration</t>
  </si>
  <si>
    <t>Blessed weapons
Hallowed weapons
Holy weapons
Reverent weapons
Sanctified weapons
Virtuous weapons</t>
  </si>
  <si>
    <t>Plus 40 Magicka
Minus 30% Health Regen</t>
  </si>
  <si>
    <t>Elite and Ascendant "Necromancer Hoods" 
(From Creation "Necromatic Grimoire")</t>
  </si>
  <si>
    <t>Conjuration spell duration plus 5%
Lesser undead summon limit plus 1</t>
  </si>
  <si>
    <t>Elite and Ascendant "Necromancer Robes" 
(From Creation "Necromatic Grimoire")</t>
  </si>
  <si>
    <t xml:space="preserve"> Name</t>
  </si>
  <si>
    <t>Level</t>
  </si>
  <si>
    <t>Value</t>
  </si>
  <si>
    <t>Location</t>
  </si>
  <si>
    <t>Tome ID</t>
  </si>
  <si>
    <t>(1) - Novice</t>
  </si>
  <si>
    <t>Create hovering light that lasts 60 seconds</t>
  </si>
  <si>
    <t>Purchase from CUK, FFH, FDR, MWH, NFH, SBP, TCW, WPK, WMK</t>
  </si>
  <si>
    <t>0009E2A7</t>
  </si>
  <si>
    <t>Convert 20/s Health into 20/s Magicka</t>
  </si>
  <si>
    <t>Found in Labyrinthian Chasm</t>
  </si>
  <si>
    <t>000F4997</t>
  </si>
  <si>
    <t>Improves caster's armor by 40 points for 60 seconds</t>
  </si>
  <si>
    <t>Purchase from CUK, FFH, FDR, MWH, NFH, RT, SBP, TCW, WPK, WMK</t>
  </si>
  <si>
    <t>0009E2A8</t>
  </si>
  <si>
    <t>(2) - Apprentice</t>
  </si>
  <si>
    <t>Stick a 60-second ball of light where it strikes when cast</t>
  </si>
  <si>
    <t>Purchase from CUK, FFH, FDR, MWH, SBP, TCW, WPK, WMK</t>
  </si>
  <si>
    <t>000A26E2</t>
  </si>
  <si>
    <t>Improves caster's armor by 60 points for 60 seconds</t>
  </si>
  <si>
    <t>000A26E3</t>
  </si>
  <si>
    <t>(3) - Adept</t>
  </si>
  <si>
    <t>(DB) Cast on a nearby surface, it explodes when enemies are nearby, immobilizing them in hardened ash for 30 seconds</t>
  </si>
  <si>
    <t>Purchase from TTM after "From the Ashes" quest</t>
  </si>
  <si>
    <t>XX0177AC</t>
  </si>
  <si>
    <t>See nearby living through walls</t>
  </si>
  <si>
    <t>Purchase from TCW, WMK (level 40 Alteration)</t>
  </si>
  <si>
    <t>000A26E7</t>
  </si>
  <si>
    <t>Improves caster's armor by 80 points for 60 seconds</t>
  </si>
  <si>
    <t>000A26E4</t>
  </si>
  <si>
    <t>Target item and hover it nearer or cast it away</t>
  </si>
  <si>
    <t>000A26E5</t>
  </si>
  <si>
    <t>Transmute one piece of unrefined Iron Ore to Silver Ore or Silver Ore to Gold Ore</t>
  </si>
  <si>
    <t>Found in Ansilvund Burial Chambers, Halted Stream Camp</t>
  </si>
  <si>
    <t>00109112</t>
  </si>
  <si>
    <t>Breathe under water for 60 seconds</t>
  </si>
  <si>
    <t>000A26E6</t>
  </si>
  <si>
    <t>(4) - Expert</t>
  </si>
  <si>
    <t>(DB) Targets that fail to resist are immobilized in hardened ash for 30 seconds</t>
  </si>
  <si>
    <t>XX0177B5</t>
  </si>
  <si>
    <t>See nearby dead through walls</t>
  </si>
  <si>
    <t>Purchase from TCW  (level 65 Alteration)</t>
  </si>
  <si>
    <t>000A26EA</t>
  </si>
  <si>
    <t>Improves caster's armor by 100 points for 60 seconds</t>
  </si>
  <si>
    <t>000A26E9</t>
  </si>
  <si>
    <t>Targets that fail to resist are paralyzed for 10 sec</t>
  </si>
  <si>
    <t>000A26E8</t>
  </si>
  <si>
    <t>(5) - Master</t>
  </si>
  <si>
    <t>Caster ignores 80% of physical damage for 30 seconds</t>
  </si>
  <si>
    <t>Reward for "Alteration Ritual Spell" quest (level 90 Alteration)</t>
  </si>
  <si>
    <t>000D2B4E</t>
  </si>
  <si>
    <t>All targets in the area that fail to resist are paralyzed for 15 sec</t>
  </si>
  <si>
    <t>Purchase from TCW after "Alteration Ritual Spell" (Level 90 Alteration)</t>
  </si>
  <si>
    <t>000DD646</t>
  </si>
  <si>
    <t>(DB) Creates a magic dagger for 120 seconds. Sheathe it to dispel</t>
  </si>
  <si>
    <t>XX01CE07</t>
  </si>
  <si>
    <t>Creates magic sword for 120 seconds</t>
  </si>
  <si>
    <t>Purchase from CUK, FFH, FDR, MWH, NFH, SBP, PCW, WPK, WMK, TTM</t>
  </si>
  <si>
    <t>0009E2A9</t>
  </si>
  <si>
    <t>Summons a familiar for 60 seconds where the caster is pointing</t>
  </si>
  <si>
    <t>0009E2AB</t>
  </si>
  <si>
    <t>Reanimate a weak dead body to fight for 60 seconds</t>
  </si>
  <si>
    <t>Purchase from CUK, FFH, FDR, MWH, NFH, RT, SBP, PCW, WPK, WMK, TTM</t>
  </si>
  <si>
    <t>0009E2AA</t>
  </si>
  <si>
    <t>Summons an unbound Dremora for 999 seconds.</t>
  </si>
  <si>
    <t>Learned during the quest "Conjuration Ritual Spell" (level 90 Conjuration)</t>
  </si>
  <si>
    <t>Creates a magic battleaxe for 120 seconds</t>
  </si>
  <si>
    <t>000A26ED</t>
  </si>
  <si>
    <t>(DG) Summons a Boneman Archer from the Soul Cairn for 60 seconds wherever the caster is pointing</t>
  </si>
  <si>
    <t>Found in Soul Cairn, in the center of the encircling pathways southwest of Jiub's Opus, Page 9</t>
  </si>
  <si>
    <t>XX0045B0</t>
  </si>
  <si>
    <t>Summons a flame atronach for 60 seconds where the caster is pointing</t>
  </si>
  <si>
    <t>000A26EC</t>
  </si>
  <si>
    <t>Reanimate a more powerful dead body to fight for 60 seconds</t>
  </si>
  <si>
    <t>000A26EB</t>
  </si>
  <si>
    <t>Fills a soul gem if target dies within 60 seconds of casting</t>
  </si>
  <si>
    <t>0009CD54</t>
  </si>
  <si>
    <t>Summons the Shade of Arniel Gane for 60 seconds wherever the caster is pointing.</t>
  </si>
  <si>
    <t>Reward for "Arniel's Endeavor" quest</t>
  </si>
  <si>
    <t>(DG) Summons Arvak in the Soul Cairn or Tamriel wilderness to act as your steed</t>
  </si>
  <si>
    <t>Reward for "Soul Cairn Horse" quest</t>
  </si>
  <si>
    <t>Returns weaker daedra to Oblivion</t>
  </si>
  <si>
    <t>Purchase from CUK, FFH, PCW (level 40 Conjuration)</t>
  </si>
  <si>
    <t>000A26EE</t>
  </si>
  <si>
    <t>Creates a magic bow for 120 seconds</t>
  </si>
  <si>
    <t>000A26F1</t>
  </si>
  <si>
    <t>(DB) Summons an Ash Spawn for 60 seconds wherever the caster is pointing</t>
  </si>
  <si>
    <t>Purchase from TTM after "Telvanni Research" quest</t>
  </si>
  <si>
    <t>XX01E2B1</t>
  </si>
  <si>
    <t>Summons a frost atronach for 60 seconds where the caster is pointing</t>
  </si>
  <si>
    <t>000A26EF</t>
  </si>
  <si>
    <t>(DG) Summons a Mistman from the Soul Cairn for 60 seconds wherever the caster is pointing</t>
  </si>
  <si>
    <t>Found in Soul Cairn next to Jiub's Opus, Page 7</t>
  </si>
  <si>
    <t>XX0045B1</t>
  </si>
  <si>
    <t>(DB) Summons a Seeker for 60 seconds wherever the caster is pointing</t>
  </si>
  <si>
    <t>Found in Apocrypha in multiple places (level 40 Conjuration)</t>
  </si>
  <si>
    <t>XX033C67</t>
  </si>
  <si>
    <t>Summons flaming familiar that attacks then explodes causing flame damage</t>
  </si>
  <si>
    <t>Reward for "A Scroll For Anska" quest</t>
  </si>
  <si>
    <t>000B45F7</t>
  </si>
  <si>
    <t>Reanimate a powerful dead body to fight for 60 seconds</t>
  </si>
  <si>
    <t>000A26F2</t>
  </si>
  <si>
    <t>Powerful summoned &amp; raised creatures are put under your control</t>
  </si>
  <si>
    <t>Purchase from PCW (level 65 Conjuration)</t>
  </si>
  <si>
    <t>000A26F6</t>
  </si>
  <si>
    <t>Creates an Ash Guardian that guards that location until destroyed. Consumes a heart stone from your inventory, without which it will be hostile.</t>
  </si>
  <si>
    <t>0301AABA</t>
  </si>
  <si>
    <t>Summons a Dremora Lord to fight for you for 120 seconds</t>
  </si>
  <si>
    <t>0010FD60</t>
  </si>
  <si>
    <t>Summons a storm atronach for 60 seconds where the caster is pointing</t>
  </si>
  <si>
    <t>000A26f0</t>
  </si>
  <si>
    <t>(DG) Summons a Wrathman from the Soul Cairn for 60 seconds wherever the caster is pointing</t>
  </si>
  <si>
    <t>Soul Cairn, in a building due south of Jiub's Opus, Page 5</t>
  </si>
  <si>
    <t>XX0045B2</t>
  </si>
  <si>
    <t>Reanimate a very powerful dead body to fight for you for 60 sec</t>
  </si>
  <si>
    <t>000A26F7</t>
  </si>
  <si>
    <t>Powerful summoned daedra creatures are sent back to Oblivion</t>
  </si>
  <si>
    <t>000A26F8</t>
  </si>
  <si>
    <t>Reanimate a dead person permanently to fight for you</t>
  </si>
  <si>
    <t>Purchase from PCW after "Conjuration Ritual Spell" quest (level 90 Conjuration)</t>
  </si>
  <si>
    <t>000A26F9</t>
  </si>
  <si>
    <t>Summons a Flame Atronach permanently</t>
  </si>
  <si>
    <t>Reward for "Conjuration Ritual Spell" quest (level 90 Conjuration)</t>
  </si>
  <si>
    <t>000A26FA</t>
  </si>
  <si>
    <t>Summons a Frost Atronach permanently</t>
  </si>
  <si>
    <t>000A26FB</t>
  </si>
  <si>
    <t>Summons a Storm Atronach permanently</t>
  </si>
  <si>
    <t>000A26FC</t>
  </si>
  <si>
    <t>Burns the target 1 points per second. Targets on fire take extra damage.</t>
  </si>
  <si>
    <t>Learned during the quest "Arniel's Endeavor"</t>
  </si>
  <si>
    <t>Shoot flames from one or both hands for 8/s fire damage; targets on fire take extra damage</t>
  </si>
  <si>
    <t>All players start with this spell</t>
  </si>
  <si>
    <t>0009CD51</t>
  </si>
  <si>
    <t>A blast of cold that does 8/s per second to health and stamina</t>
  </si>
  <si>
    <t>Purchase from CUK, FFH, FDR, MWH, NFH, RT, SBP, FCW, WPK, WMK, TTM</t>
  </si>
  <si>
    <t>0009CD52</t>
  </si>
  <si>
    <t>Create a bolt of lightning that does 10/s shock damage to health and 5/s to magicka</t>
  </si>
  <si>
    <t>Purchase from CUK, FFH, FDR, MWH, NFH, SBP, FCW, WPK, WMK, TTM</t>
  </si>
  <si>
    <t>0009CD53</t>
  </si>
  <si>
    <t>Cast on a nearby surface, it explodes for 50 points of fire damage when enemies come near</t>
  </si>
  <si>
    <t>Purchase from CUK, FFH, FDR, MWH, SBP, FCW, WPK, WMK, TTM</t>
  </si>
  <si>
    <t>000A2700</t>
  </si>
  <si>
    <t>A blast of fire that does 25 points of damage; targets on fire take extra damage</t>
  </si>
  <si>
    <t>000A26FD</t>
  </si>
  <si>
    <t>Cast on a nearby surface, it explodes for 50 points of frost damage when enemies come near</t>
  </si>
  <si>
    <t>000A2701</t>
  </si>
  <si>
    <t>Throw a spike of ice that does 25 points of frost damage to health and stamina</t>
  </si>
  <si>
    <t>000A26FE</t>
  </si>
  <si>
    <t>Create a bolt of lightning that does 25 points of shock damage to health and half that to magicka</t>
  </si>
  <si>
    <t>000A26FF</t>
  </si>
  <si>
    <t>Cast on a nearby surface, explodes for 50 points of shock damage when enemies come near</t>
  </si>
  <si>
    <t>000A2702</t>
  </si>
  <si>
    <t>Lightning bolt that shock damages health magicka, then leaps to another target</t>
  </si>
  <si>
    <t>Purchase from FDR, MWH, ECW, FCW, WPK, TTM (level 40 Destruction)</t>
  </si>
  <si>
    <t>000A2708</t>
  </si>
  <si>
    <t>A fiery explosion for 50 points of damage in 15 foot radius; targets on fire take extra damage</t>
  </si>
  <si>
    <t>000A2706</t>
  </si>
  <si>
    <t>For 60 seconds, opponents in melee range take 8/s fire damage; targets on fire take extra damage</t>
  </si>
  <si>
    <t>000A2703</t>
  </si>
  <si>
    <t>For 60 seconds, opponents in melee range take 8/s frost damage and stamina damage</t>
  </si>
  <si>
    <t>000A2704</t>
  </si>
  <si>
    <t>Create a freezing whirlwind that does 40/s frost damage to health and stamina</t>
  </si>
  <si>
    <t>000A2707</t>
  </si>
  <si>
    <t>For 60 seconds nearby opponents take 8 points shock damage and half magicka damage</t>
  </si>
  <si>
    <t>000A2705</t>
  </si>
  <si>
    <t>(DB) For 60 seconds, opponents in melee range have a chance of being flung away</t>
  </si>
  <si>
    <t>Purchase from TTM after "Wind and Sand" quest</t>
  </si>
  <si>
    <t>XX0177AD</t>
  </si>
  <si>
    <t>Throw spear of ice that does 60 points of frost damage to health and stamina</t>
  </si>
  <si>
    <t>Purchase from ECW, FCW, TTM (level 65 Destruction)</t>
  </si>
  <si>
    <t>0010F7F3</t>
  </si>
  <si>
    <t>Create blast of fire that does 60 points of damage; targets on fire take extra damage</t>
  </si>
  <si>
    <t>0010F7F4</t>
  </si>
  <si>
    <t>Create a thunderbolt that does 60 points of shock damage to health and half that to magicka</t>
  </si>
  <si>
    <t>0010F7F5</t>
  </si>
  <si>
    <t>Sprayed on the ground, creates wall of flames that does 50/s fire damage</t>
  </si>
  <si>
    <t>000A2709</t>
  </si>
  <si>
    <t>Sprayed on the ground, creates wall of frost that does 50/s frost damage</t>
  </si>
  <si>
    <t>000A270A</t>
  </si>
  <si>
    <t>Sprayed on the ground, creates wall of lightning that does 50/s shock damage</t>
  </si>
  <si>
    <t>000A270B</t>
  </si>
  <si>
    <t>Targets take 20 frost damage + Stamina damage for 10 seconds</t>
  </si>
  <si>
    <t>Purchase from FCW after "Destruction Ritual Spell" quest (level 90 Destruction)</t>
  </si>
  <si>
    <t>000A270D</t>
  </si>
  <si>
    <t>When cast it explodes for 150 points of fire damage to nearby enemies</t>
  </si>
  <si>
    <t>Reward for "Destruction Ritual Spell" quest (level 90 Destruction)</t>
  </si>
  <si>
    <t>000A270C</t>
  </si>
  <si>
    <t>Target takes 75/s shock damage to Health and 75/2s damage to Magicka</t>
  </si>
  <si>
    <t>000A270E</t>
  </si>
  <si>
    <t>Illusion</t>
  </si>
  <si>
    <t>Shows the path to the current goal</t>
  </si>
  <si>
    <t>Purchase from CUK, FFH, FDR, MWH, NFH, RT, SBP, DCW, WPK, WMK</t>
  </si>
  <si>
    <t>000FF7D1</t>
  </si>
  <si>
    <t>Target won't flee for 60 seconds and gains some extra health and stamina</t>
  </si>
  <si>
    <t>Purchase from CUK, FFH, FDR, MWH, NFH, SBP, DCW, WPK, WMK</t>
  </si>
  <si>
    <t>0009E2AD</t>
  </si>
  <si>
    <t>Creatures and people up to level 6 will attack anything nearby for 30 seconds</t>
  </si>
  <si>
    <t>0009E2AC</t>
  </si>
  <si>
    <t>See what others cannot</t>
  </si>
  <si>
    <t>Learned during the quest "Illusion Ritual Spell" (level 90 Illusion)</t>
  </si>
  <si>
    <t>Creatures and people up to level 9 won't fight for 30 seconds</t>
  </si>
  <si>
    <t>Purchase from CUK, FFH, FDR, MWH, SBP, DCW, WPK, WMK</t>
  </si>
  <si>
    <t>000A2711</t>
  </si>
  <si>
    <t>Creatures and people up to level 9 flee from combat for 30 seconds</t>
  </si>
  <si>
    <t>000A2712</t>
  </si>
  <si>
    <t>Allows player to move more quietly for 180 seconds</t>
  </si>
  <si>
    <t>000A270F</t>
  </si>
  <si>
    <t>Creatures and people up to level 14 will attack anyone nearby</t>
  </si>
  <si>
    <t>Purchase from SBP, DCW (level 40 Illusion)</t>
  </si>
  <si>
    <t>000A2714</t>
  </si>
  <si>
    <t>(DB) Targets up to level 20 that fail to resist are frenzied for 30 seconds</t>
  </si>
  <si>
    <t>XX0177BD</t>
  </si>
  <si>
    <t>Targets won't flee for 60 seconds and boosts player's health and stamina</t>
  </si>
  <si>
    <t>000A2713</t>
  </si>
  <si>
    <t>Caster is invisible (but can still be heard) for 30 seconds; activating an object or attacking will break the spell</t>
  </si>
  <si>
    <t>Purchase from DCW (level 65 Illusion)</t>
  </si>
  <si>
    <t>000A2715</t>
  </si>
  <si>
    <t>Creatures and people up to level 20 won't fight for 60 seconds</t>
  </si>
  <si>
    <t>000A2717</t>
  </si>
  <si>
    <t>Creatures and people up to level 20 flee from combat for 30 sec</t>
  </si>
  <si>
    <t>000A2718</t>
  </si>
  <si>
    <t>Improves target combat skills for 10 minutes</t>
  </si>
  <si>
    <t>Purchase from DCW after "Illusion Ritual Spell" quest (level 90 Illusion)</t>
  </si>
  <si>
    <t>000A271B</t>
  </si>
  <si>
    <t>Creatures and people up to level 25 nearby won't fight for 60 seconds</t>
  </si>
  <si>
    <t>000A271A</t>
  </si>
  <si>
    <t>Creatures and people up to level 25 flee from combat for 60 seconds</t>
  </si>
  <si>
    <t>Reward for "Illusion Ritual Spell" quest (level 90 Illusion)</t>
  </si>
  <si>
    <t>000A271C</t>
  </si>
  <si>
    <t>Creatures and people up to level 25 will attack anyone nearby for 60 seconds</t>
  </si>
  <si>
    <t>000A2719</t>
  </si>
  <si>
    <t>Heals caster 10/s</t>
  </si>
  <si>
    <t>0009E2AF</t>
  </si>
  <si>
    <t>Increases armor rating by 40 points and negates up to 40 points of spell damage or effects</t>
  </si>
  <si>
    <t>Purchase from CUK, FFH, FDR, MWH, NFH, RT, SBP, CCW, WPK, WMK</t>
  </si>
  <si>
    <t>0009E2AE</t>
  </si>
  <si>
    <t>Instantly heals caster 50 points</t>
  </si>
  <si>
    <t>Purchase from CUK, FFH, FDR, MWH, NFH, SBP, CCW, WPK, WMK</t>
  </si>
  <si>
    <t>000A271D</t>
  </si>
  <si>
    <t>Heals target 10/s, but not undead, atronachs, or machines</t>
  </si>
  <si>
    <t>000A271E</t>
  </si>
  <si>
    <t>(DG) Heals the undead target 10 points per second, but not the living, atronachs or machines</t>
  </si>
  <si>
    <t>Purchased from RVK, Found in Dimhollow Crypt</t>
  </si>
  <si>
    <t>XX00E8D5</t>
  </si>
  <si>
    <t>Increases armor rating 60 / negates up to 60 points spell damage or effects</t>
  </si>
  <si>
    <t>000A2720</t>
  </si>
  <si>
    <t>(DG) Ball of sunlight that does 25 points of damage to undead</t>
  </si>
  <si>
    <t>Purchase from SFD</t>
  </si>
  <si>
    <t>XX003F51</t>
  </si>
  <si>
    <t>Undead to level 6 flee for 30 seconds</t>
  </si>
  <si>
    <t>000A271F</t>
  </si>
  <si>
    <t>Heals caster 100 points of health</t>
  </si>
  <si>
    <t>Purchase from CCW (level 40 Restoration)</t>
  </si>
  <si>
    <t>0010F64D</t>
  </si>
  <si>
    <t>Increases armor rating by 80 points and negates up to 80 points of spell damage or effects</t>
  </si>
  <si>
    <t>000A2722</t>
  </si>
  <si>
    <t>Heals the target 75 points of health, but not undead, atronachs, or machines</t>
  </si>
  <si>
    <t>000A2727</t>
  </si>
  <si>
    <t>(DG) Heals the undead target 75 points, but not the living, atronachs or machines</t>
  </si>
  <si>
    <t>Purchased from RVK</t>
  </si>
  <si>
    <t>XX00E8D6</t>
  </si>
  <si>
    <t>(DB) Targets that fail to resist take 3 points of poison damage per second for 30 seconds</t>
  </si>
  <si>
    <t>XX020685</t>
  </si>
  <si>
    <t>Affected undead to level 8 flee for 30 seconds</t>
  </si>
  <si>
    <t>000A2725</t>
  </si>
  <si>
    <t>(DG) For 60 seconds, undead in melee range take 10 points sun damage per second</t>
  </si>
  <si>
    <t>Purchase from FFD</t>
  </si>
  <si>
    <t>XX003F4E</t>
  </si>
  <si>
    <t>Undead to level 13 flee for 30 seconds</t>
  </si>
  <si>
    <t>000A2721</t>
  </si>
  <si>
    <t>(DG) Sunlight explosion that does 40 points of damage in a 15 foot radius to undead</t>
  </si>
  <si>
    <t>XX003F4D</t>
  </si>
  <si>
    <t>Undead up to level 20 entering the circle will flee</t>
  </si>
  <si>
    <t>Purchase from CCW (level 65 Restoration)</t>
  </si>
  <si>
    <t>000A2728</t>
  </si>
  <si>
    <t>Heals everyone (including enemies) close to caster (up to 300 points)</t>
  </si>
  <si>
    <t>000DD643</t>
  </si>
  <si>
    <t>Affected undead to level 16 flee for 30 seconds</t>
  </si>
  <si>
    <t>000A2726</t>
  </si>
  <si>
    <t>Undead to level 21 flee for 30 seconds</t>
  </si>
  <si>
    <t>000A2729</t>
  </si>
  <si>
    <t>Sets undead up to level 30 on fire and makes them flee for 30 seconds</t>
  </si>
  <si>
    <t>Reward for "Restoration Ritual Spell" quest (level 90 Restoration)</t>
  </si>
  <si>
    <t>000DD647</t>
  </si>
  <si>
    <t>Undead up to level 35 entering the circle will flee; caster heals 20/s</t>
  </si>
  <si>
    <t>Purchase from CCW after "Restoration Ritual Spell" quest (level 90 Restoration)</t>
  </si>
  <si>
    <t>000FDE7B</t>
  </si>
  <si>
    <t>(AE) Teleports Arachnia the spider pet to the caster. (From Creation "Pets of Skyrim")</t>
  </si>
  <si>
    <t>Learned when receiving Arachnia as a pet</t>
  </si>
  <si>
    <t>FEXXX921</t>
  </si>
  <si>
    <t>(AE) Teleports the Bone Wolf pet to the caster. (From Creation "Pets of Skyrim")</t>
  </si>
  <si>
    <t>Learned when receiving Bone Wolf as a pet</t>
  </si>
  <si>
    <t>FEXXX806</t>
  </si>
  <si>
    <t>(AE) Teleports the Demented Elytra Nymph pet to the caster. (From Creation "Saints &amp; Seducers")</t>
  </si>
  <si>
    <t>Reward for "My Pet Elytra" quest</t>
  </si>
  <si>
    <t>XX08BC17</t>
  </si>
  <si>
    <t>(AE) Teleports the Dwarven Armored Mudcrab pet to the caster. (From Creation "Dwarven Armored Mudcrab")</t>
  </si>
  <si>
    <t>Learned when receiving Dwarven Armored Mudcrab as a pet</t>
  </si>
  <si>
    <t>FEXXX811</t>
  </si>
  <si>
    <t>(AE) Teleports Hilda the goat pet to the caster. (From Creation "Pets of Skyrim")</t>
  </si>
  <si>
    <t>Learned when receiving Hilda as a pet</t>
  </si>
  <si>
    <t>FEXXX91F</t>
  </si>
  <si>
    <t>(AE) Teleports the Manic Elytra Nymph pet to the caster. (From Creation "Saints &amp; Seducers")</t>
  </si>
  <si>
    <t>XX08BC16</t>
  </si>
  <si>
    <t>(AE) Teleports the Nix-Hound pet to the caster. (From Creation "Nix-Hound")</t>
  </si>
  <si>
    <t>Learned when receiving Nix-Hound as a pet</t>
  </si>
  <si>
    <t>FEXXX813</t>
  </si>
  <si>
    <t>(AE) Teleports Skritch the skeever pet to the caster. (From Creation "Pets of Skyrim")</t>
  </si>
  <si>
    <t>Learned when receiving Skritch as a pet</t>
  </si>
  <si>
    <t>FEXXX91D</t>
  </si>
  <si>
    <t>(AE) Teleports Sweet Roll the fox pet to the caster. (From Creation "Pets of Skyrim")</t>
  </si>
  <si>
    <t>Learned when receiving Sweet Roll as a pet</t>
  </si>
  <si>
    <t>FEXXX920</t>
  </si>
  <si>
    <t>(AE) Teleports Thistle the rabbit pet to the caster. (From Creation "Pets of Skyrim")</t>
  </si>
  <si>
    <t>Learned when receiving Thistle as a pet</t>
  </si>
  <si>
    <t>FEXXX91E</t>
  </si>
  <si>
    <t>Master Transmute (AE)</t>
  </si>
  <si>
    <t>(AE) Transmutes one piece of unrefined Iron Ore or Silver Ore into Gold Ore. (From Creation "Bittercup")</t>
  </si>
  <si>
    <t>Not purchasable; Found In a safe in Eslaf's room in The Warrens, during/after quest "Fortunate Son"</t>
  </si>
  <si>
    <t>FEXXXCE1</t>
  </si>
  <si>
    <t>Paralysis Rune (AE)</t>
  </si>
  <si>
    <t>(AE) Cast on a nearby surface, it explodes when enemies are nearby, immobilizing them for 8 seconds. (From Creation "Arcane Accessories")</t>
  </si>
  <si>
    <t>Purchase from TCW, WMK; Found in Hob's Fall Cave during "The Lost Library" quest</t>
  </si>
  <si>
    <t>FEXXX818</t>
  </si>
  <si>
    <t>Telekinesis Arrows (AE)</t>
  </si>
  <si>
    <t>(AE) Releases suspended Telekinesis Arrows. (From Creation "Arcane Archer Pack")</t>
  </si>
  <si>
    <t>Found in The Arcanaeum</t>
  </si>
  <si>
    <t>FEXXX82B</t>
  </si>
  <si>
    <t>(AE) Summons a weak Skeleton warrior for 60 seconds. (From Creation "Necromatic Grimoire")</t>
  </si>
  <si>
    <t>Purchase from PCW; Found upon an altar on a hill southwest of Fort Greymoor</t>
  </si>
  <si>
    <t>FEXXX88C</t>
  </si>
  <si>
    <t>(AE) Consumes all magicka and summons an Undying Ghost for 60 seconds. The ghost's attributes are 2x the magicka consumed (up to 600). (From Creation "Necromatic Grimoire")</t>
  </si>
  <si>
    <t>Purchase from PCW; Found resting on a rock at The Ritual Stone</t>
  </si>
  <si>
    <t>FEXXX88A</t>
  </si>
  <si>
    <t>(AE) Summons a Zombie for 60 seconds wherever the caster is pointing. (From Creation "Plague of the Dead")</t>
  </si>
  <si>
    <t>Purchase from CUK, FFH, FDR, MWH, NFH, PCW, SBP, WPK, WMK, TTM after completing "The Rising Dead" quest; Found at a ritual site southeast of Helgen, just north of Southfringe Sanctum</t>
  </si>
  <si>
    <t>FEXXX86E</t>
  </si>
  <si>
    <t>(AE) Summons a Foul Zombie for 60 seconds where the caster is pointing. (From Creation "Plague of the Dead")</t>
  </si>
  <si>
    <t>FEXXX86F</t>
  </si>
  <si>
    <t>(AE) Summons a Haunting Spirit for 60 seconds. When killed the spirit steals 10 points from the skills of its killer and transfers them to its caster for a short time. (From Creation "Necromatic Grimoire")</t>
  </si>
  <si>
    <t>Purchase from PCW; Found in the treasure room of Yngvild</t>
  </si>
  <si>
    <t>FEXXX88F</t>
  </si>
  <si>
    <t>(AE) Summons a Skeleton Marksman whose arrows weaken foes for 60 seconds. (From Creation "Necromatic Grimoire")</t>
  </si>
  <si>
    <t>Purchase from PCW</t>
  </si>
  <si>
    <t>FEXXX894</t>
  </si>
  <si>
    <t>(AE) Sacrifice a friendly conjured or reanimated minion to summon w Sundered Shades for 60 seconds. (From Creation "Necromatic Grimoire")</t>
  </si>
  <si>
    <t>Purchase from PCK; Found upon an Enchanting Table in Ilinalta's Deep</t>
  </si>
  <si>
    <t>FEXXX896</t>
  </si>
  <si>
    <t>(AE) Summons a Daedric Horse for 60 seconds to act as the caster's steed. (From Creation "The Cause")</t>
  </si>
  <si>
    <t>Found in The Deadlands (inside The Punished)</t>
  </si>
  <si>
    <t>XX000B64</t>
  </si>
  <si>
    <t>(AE) Summoned or raised undead up to level 15 are sent back to the grave. (From Creation "Necromatic Grimoire")</t>
  </si>
  <si>
    <t>Purchase from PCK</t>
  </si>
  <si>
    <t>FEXXX889</t>
  </si>
  <si>
    <t>(AE) Creates a magic quiver for 120 seconds. (From Creation "Arcane Archer Pack")</t>
  </si>
  <si>
    <t>Purchase from CUK, FFH, PCW</t>
  </si>
  <si>
    <t>FEXXX816</t>
  </si>
  <si>
    <t>(AE) Summons a Dark Seducer Archer for 60 seconds where the caster is pointing. (From Creation "Saints &amp; Seducers")</t>
  </si>
  <si>
    <t>Carried by Thoron; Possible creation at the Atronach Forge</t>
  </si>
  <si>
    <t>XX000B0C</t>
  </si>
  <si>
    <t>(AE) Summons a Dark Seducer Warrior for 60 seconds where the caster is pointing. (From Creation "Saints &amp; Seducers")</t>
  </si>
  <si>
    <t>XX000B63</t>
  </si>
  <si>
    <t>(AE) Summons a Golden Saint Archer for 60 seconds where the caster is pointing. (From Creation "Saints &amp; Seducers")</t>
  </si>
  <si>
    <t>XX000AF0</t>
  </si>
  <si>
    <t>(AE) Summons a Golden Saint Warrior for 60 seconds where the caster is pointing. (From Creation "Saints &amp; Seducers")</t>
  </si>
  <si>
    <t>XX000AFD</t>
  </si>
  <si>
    <t>(AE) Summons a Putrid Zombie for 60 seconds where the caster is pointing. (From Creation "Plague of the Dead")</t>
  </si>
  <si>
    <t>Purchase from CUK, FFH, PCW after completing "The Rising Dead" quest; Found at a ritual site southeast of Helgen, just north of Southfringe Sanctum</t>
  </si>
  <si>
    <t>FEXXX870</t>
  </si>
  <si>
    <t>(AE) Summons a Skeleton Champion that gains +10% attack damage for each nearby enemy (up to 5) for 60 seconds. (From Creation "Necromatic Grimoire")</t>
  </si>
  <si>
    <t>FEXXX893</t>
  </si>
  <si>
    <t>(AE) Summons a Tomb Guardian for 60 seconds that conjures a Shade when it kills an enemy. (From Creation "Necromatic Grimoire")</t>
  </si>
  <si>
    <t>FEXXX890</t>
  </si>
  <si>
    <t>(AE) Caster regains 30 health and magicka every time a friendly conjured or reanimated minion dies for 120 seconds. (From Creation "Necromatic Grimoire")</t>
  </si>
  <si>
    <t>Purchase from PCW; Found upon a pedestal next to the Ritual Master at the end of "The Man Who Cried Wolf" quest</t>
  </si>
  <si>
    <t>FEXXX88D</t>
  </si>
  <si>
    <t>(AE) Summons an Ayleid Lich for 60 seconds. (From Creation "The Cause")</t>
  </si>
  <si>
    <t>Created at the Atronach Forge</t>
  </si>
  <si>
    <t>XX147D93</t>
  </si>
  <si>
    <t>(AE) Summons a Cursed Spectre for 60 seconds that drains health and magicka from enemies. (From Creation "Necromatic Grimoire")</t>
  </si>
  <si>
    <t>FEXXX88E</t>
  </si>
  <si>
    <t>(AE) Summons a Malignant Zombie for 60 seconds where the caster is pointing. (From Creation "Plague of the Dead")</t>
  </si>
  <si>
    <t>Purchase from PCW after completing "The Rising Dead"quest; Found at a ritual site southeast of Helgen, just north of Southfringe Sanctum</t>
  </si>
  <si>
    <t>FEXXX871</t>
  </si>
  <si>
    <t>(AE) Summons a Skeleton Warlock that wields powerful shock magic for 60 seconds. (From Creation "Necromatic Grimoire")</t>
  </si>
  <si>
    <t>FEXXX892</t>
  </si>
  <si>
    <t>(AE) Summons a Bear for 60 seconds; Caster resists 50% of frost damage &amp; health regenerates 50% faster for 60 seconds. (From Creation "Arcane Accessories")</t>
  </si>
  <si>
    <t>Purchase from PCW; Found in Hob's Fall Cave during "The Lost Library" quest</t>
  </si>
  <si>
    <t>FEXXX861</t>
  </si>
  <si>
    <t>(AE) Summons an Ancient Deathpriest that wields powerful magic and commands undead for 60 seconds. When killed the Deathpriest splits into 3 Tortured Shades. (From Creation "Necromatic Grimoire")</t>
  </si>
  <si>
    <t>FEXXX88B</t>
  </si>
  <si>
    <t>(AE) Summons a Bone Colossus for 60 seconds; While active, conjured skeletons regenerate health and the caster can summon 2 additional skeletons. Only 1 colossus can be summoned at a time. (From Creation "Necromatic Grimoire")</t>
  </si>
  <si>
    <t>(AE)Summons Staada for 60 seconds where the caster is pointing. (From Creation "Saints &amp; Seducers")</t>
  </si>
  <si>
    <t>XX19D3F9</t>
  </si>
  <si>
    <t>(AE) Absorb 8 points of health per second from target, for 3 seconds. (From Creation "Arcane Accessories")</t>
  </si>
  <si>
    <t>Purchase from CUK, ECW, FFH, FCW, FDR, MWH, SBP, WPK, WMK, TTM; Found in Hob's Fall Cave during "The Lost Library" quest</t>
  </si>
  <si>
    <t>FEXXX869</t>
  </si>
  <si>
    <t>(AE) An elemental explosion for 15 points of fire damage, 15 points of shock damage, and half as much damage to stamina. (From Creation "Arcane Accessories")</t>
  </si>
  <si>
    <t>FEXXX862</t>
  </si>
  <si>
    <t>(AE) An elemental explosion for 20 points of fire damage, 20 points of shock damage, and half as much damage to stamina. (From Creation "Arcane Accessories")</t>
  </si>
  <si>
    <t>FEXXX863</t>
  </si>
  <si>
    <t>(AE) Absorb 16 points of health per second from target, for 3 seconds. (From Creation "Arcane Accessories")</t>
  </si>
  <si>
    <t>FEXXX86A</t>
  </si>
  <si>
    <t>(AE) An elemental explosion for 30 points of fire damage, 30 points of shock damage, and half as much damage to stamina. (From Creation "Arcane Accessories")</t>
  </si>
  <si>
    <t>Purchase from ECW, FCW, FDR, MWH, WPK, TTM; Found in Hob's Fall Cave during "The Lost Library" quest</t>
  </si>
  <si>
    <t>FEXXX864</t>
  </si>
  <si>
    <t>(AE) Absorb 26 points of health per second from target, for 3 seconds. (From Creation "Arcane Accessories")</t>
  </si>
  <si>
    <t>FEXXX86B</t>
  </si>
  <si>
    <t>(AE) An elemental explosion for 40 points of fire damage, 40 points of shock damage, and half as much damage to stamina. (From Creation "Arcane Accessories")</t>
  </si>
  <si>
    <t>Purchase from ECW, FCW, TTM; Found in Hob's Fall Cave during "The Lost Library" quest</t>
  </si>
  <si>
    <t>FEXXX865</t>
  </si>
  <si>
    <t>(AE) For 30 seconds, opponents in melee range take 16 points fire damage per second. Undead up to level 26 flee for 30 seconds. Swim unharmed in freezing cold water. (From Creation "Arcane Accessories")</t>
  </si>
  <si>
    <t>FEXXX868</t>
  </si>
  <si>
    <t>(AE) Absorb 40 points of health per second from target, for 4 seconds. (From Creation "Arcane Accessories")</t>
  </si>
  <si>
    <t>FEXXX86C</t>
  </si>
  <si>
    <t>(AE) Casts a stream of long-distance fireballs in an arc. Impact creates a wall of fire that does 50 points of fire damage per second. (From Creation "Arcane Accessories")</t>
  </si>
  <si>
    <t>Purchase from FCW after "Destruction Ritual Spell" quest (level 90 Destruction); Found in Hob's Fall Cave during "The Lost Library" quest</t>
  </si>
  <si>
    <t>FEXXX815</t>
  </si>
  <si>
    <t>(AE) A freezing wind envelops the caster, knocking down nearby enemies and freezing them for 50 points of damage per second to health and stamina. (From Creation "Arcane Accessories")</t>
  </si>
  <si>
    <t>(AE) Targets in melee range take 40 shock damage per second to health, and half that to Magicka. Random lightning strikes deal an additional 30 damage. (From Creation "Arcane Accessories")</t>
  </si>
  <si>
    <t>FEXXX817</t>
  </si>
  <si>
    <t>(AE) Caster is invisible for 15 seconds; Activating an object or attacking will break the spell. Can breathe underwater &amp; improved night vision for 15 seconds. (From Creation "Arcane Accessories")</t>
  </si>
  <si>
    <t>Purchase from DCW, SBP; Found in Hob's Fall Cave during "The Lost Library" quest</t>
  </si>
  <si>
    <t>FEXXX867</t>
  </si>
  <si>
    <t>(AE) Caster becomes invisible and can open locks with level Expert and below for 5 seconds. Activating an object or attacking will break the spell. (From Creation "Arcane Accessories")</t>
  </si>
  <si>
    <t>Purchase from DCW; Found in Hob's Fall Cave during "The Lost Library" quest</t>
  </si>
  <si>
    <r>
      <rPr>
        <rFont val="Calibri"/>
        <b/>
        <color rgb="FF000000"/>
        <sz val="11.0"/>
      </rPr>
      <t xml:space="preserve">Key to abrreviations:
</t>
    </r>
    <r>
      <rPr>
        <rFont val="Calibri"/>
        <color rgb="FF000000"/>
        <sz val="11.0"/>
      </rPr>
      <t xml:space="preserve">CUK - </t>
    </r>
    <r>
      <rPr>
        <rFont val="Calibri"/>
        <color rgb="FF1155CC"/>
        <sz val="11.0"/>
        <u/>
      </rPr>
      <t>Calcelmo</t>
    </r>
    <r>
      <rPr>
        <rFont val="Calibri"/>
        <color rgb="FF000000"/>
        <sz val="11.0"/>
      </rPr>
      <t xml:space="preserve"> at Understone Keep
FFH - </t>
    </r>
    <r>
      <rPr>
        <rFont val="Calibri"/>
        <color rgb="FF1155CC"/>
        <sz val="11.0"/>
        <u/>
      </rPr>
      <t>Falion</t>
    </r>
    <r>
      <rPr>
        <rFont val="Calibri"/>
        <color rgb="FF000000"/>
        <sz val="11.0"/>
      </rPr>
      <t xml:space="preserve"> at Falion's House
FDR - </t>
    </r>
    <r>
      <rPr>
        <rFont val="Calibri"/>
        <color rgb="FF1155CC"/>
        <sz val="11.0"/>
        <u/>
      </rPr>
      <t>Farengar Secret-Fire</t>
    </r>
    <r>
      <rPr>
        <rFont val="Calibri"/>
        <color rgb="FF000000"/>
        <sz val="11.0"/>
      </rPr>
      <t xml:space="preserve"> at Dragonsreach
MWH - </t>
    </r>
    <r>
      <rPr>
        <rFont val="Calibri"/>
        <color rgb="FF1155CC"/>
        <sz val="11.0"/>
        <u/>
      </rPr>
      <t>Madena</t>
    </r>
    <r>
      <rPr>
        <rFont val="Calibri"/>
        <color rgb="FF000000"/>
        <sz val="11.0"/>
      </rPr>
      <t xml:space="preserve"> at The White Hall
NFH - </t>
    </r>
    <r>
      <rPr>
        <rFont val="Calibri"/>
        <color rgb="FF1155CC"/>
        <sz val="11.0"/>
        <u/>
      </rPr>
      <t>Nelacar</t>
    </r>
    <r>
      <rPr>
        <rFont val="Calibri"/>
        <color rgb="FF000000"/>
        <sz val="11.0"/>
      </rPr>
      <t xml:space="preserve"> at The Frozen Hearth
SBP - </t>
    </r>
    <r>
      <rPr>
        <rFont val="Calibri"/>
        <color rgb="FF1155CC"/>
        <sz val="11.0"/>
        <u/>
      </rPr>
      <t>Sybille Stentor</t>
    </r>
    <r>
      <rPr>
        <rFont val="Calibri"/>
        <color rgb="FF000000"/>
        <sz val="11.0"/>
      </rPr>
      <t xml:space="preserve"> at Blue Palace
TCW - </t>
    </r>
    <r>
      <rPr>
        <rFont val="Calibri"/>
        <color rgb="FF1155CC"/>
        <sz val="11.0"/>
        <u/>
      </rPr>
      <t>Tolfdir</t>
    </r>
    <r>
      <rPr>
        <rFont val="Calibri"/>
        <color rgb="FF000000"/>
        <sz val="11.0"/>
      </rPr>
      <t xml:space="preserve"> at College of Winterhold
PCW - </t>
    </r>
    <r>
      <rPr>
        <rFont val="Calibri"/>
        <color rgb="FF1155CC"/>
        <sz val="11.0"/>
        <u/>
      </rPr>
      <t>Phinis Gestor</t>
    </r>
    <r>
      <rPr>
        <rFont val="Calibri"/>
        <color rgb="FF000000"/>
        <sz val="11.0"/>
      </rPr>
      <t xml:space="preserve"> at College of Winterhold
ECW - </t>
    </r>
    <r>
      <rPr>
        <rFont val="Calibri"/>
        <color rgb="FF1155CC"/>
        <sz val="11.0"/>
        <u/>
      </rPr>
      <t>Enthir</t>
    </r>
    <r>
      <rPr>
        <rFont val="Calibri"/>
        <color rgb="FF000000"/>
        <sz val="11.0"/>
      </rPr>
      <t xml:space="preserve"> at College of Winterhold
FCW - </t>
    </r>
    <r>
      <rPr>
        <rFont val="Calibri"/>
        <color rgb="FF1155CC"/>
        <sz val="11.0"/>
        <u/>
      </rPr>
      <t>Faralda</t>
    </r>
    <r>
      <rPr>
        <rFont val="Calibri"/>
        <color rgb="FF000000"/>
        <sz val="11.0"/>
      </rPr>
      <t xml:space="preserve"> at College of Winterhold
DCW - </t>
    </r>
    <r>
      <rPr>
        <rFont val="Calibri"/>
        <color rgb="FF1155CC"/>
        <sz val="11.0"/>
        <u/>
      </rPr>
      <t>Drevis Neloren</t>
    </r>
    <r>
      <rPr>
        <rFont val="Calibri"/>
        <color rgb="FF000000"/>
        <sz val="11.0"/>
      </rPr>
      <t xml:space="preserve"> at College of Winterhold
CCW - </t>
    </r>
    <r>
      <rPr>
        <rFont val="Calibri"/>
        <color rgb="FF1155CC"/>
        <sz val="11.0"/>
        <u/>
      </rPr>
      <t>Colette Marence</t>
    </r>
    <r>
      <rPr>
        <rFont val="Calibri"/>
        <color rgb="FF000000"/>
        <sz val="11.0"/>
      </rPr>
      <t xml:space="preserve"> at College of Winterhold
WPK - </t>
    </r>
    <r>
      <rPr>
        <rFont val="Calibri"/>
        <color rgb="FF1155CC"/>
        <sz val="11.0"/>
        <u/>
      </rPr>
      <t>Wuunferth the Unliving</t>
    </r>
    <r>
      <rPr>
        <rFont val="Calibri"/>
        <color rgb="FF000000"/>
        <sz val="11.0"/>
      </rPr>
      <t xml:space="preserve"> at Palace of the Kings
WMK - </t>
    </r>
    <r>
      <rPr>
        <rFont val="Calibri"/>
        <color rgb="FF1155CC"/>
        <sz val="11.0"/>
        <u/>
      </rPr>
      <t>Wylandriah</t>
    </r>
    <r>
      <rPr>
        <rFont val="Calibri"/>
        <color rgb="FF000000"/>
        <sz val="11.0"/>
      </rPr>
      <t xml:space="preserve"> at Mistveil Keep
LRT - </t>
    </r>
    <r>
      <rPr>
        <rFont val="Calibri"/>
        <color rgb="FF1155CC"/>
        <sz val="11.0"/>
        <u/>
      </rPr>
      <t>Lucan Valerius</t>
    </r>
    <r>
      <rPr>
        <rFont val="Calibri"/>
        <color rgb="FF000000"/>
        <sz val="11.0"/>
      </rPr>
      <t xml:space="preserve"> at Riverwood Trader
TTM - </t>
    </r>
    <r>
      <rPr>
        <rFont val="Calibri"/>
        <color rgb="FF1155CC"/>
        <sz val="11.0"/>
        <u/>
      </rPr>
      <t>Talvas Fathryon</t>
    </r>
    <r>
      <rPr>
        <rFont val="Calibri"/>
        <color rgb="FF000000"/>
        <sz val="11.0"/>
      </rPr>
      <t xml:space="preserve"> at Tel Mithryn
RVK - </t>
    </r>
    <r>
      <rPr>
        <rFont val="Calibri"/>
        <color rgb="FF1155CC"/>
        <sz val="11.0"/>
        <u/>
      </rPr>
      <t>Ronthil</t>
    </r>
    <r>
      <rPr>
        <rFont val="Calibri"/>
        <color rgb="FF000000"/>
        <sz val="11.0"/>
      </rPr>
      <t xml:space="preserve"> at Volkihar Keep
SFD - </t>
    </r>
    <r>
      <rPr>
        <rFont val="Calibri"/>
        <color rgb="FF1155CC"/>
        <sz val="11.0"/>
        <u/>
      </rPr>
      <t>Sorine Jurard</t>
    </r>
    <r>
      <rPr>
        <rFont val="Calibri"/>
        <color rgb="FF000000"/>
        <sz val="11.0"/>
      </rPr>
      <t xml:space="preserve"> at Fort Dawnguard
FFD - </t>
    </r>
    <r>
      <rPr>
        <rFont val="Calibri"/>
        <color rgb="FF1155CC"/>
        <sz val="11.0"/>
        <u/>
      </rPr>
      <t>Florentius Baenius</t>
    </r>
    <r>
      <rPr>
        <rFont val="Calibri"/>
        <color rgb="FF000000"/>
        <sz val="11.0"/>
      </rPr>
      <t xml:space="preserve"> at Fort Dawnguard</t>
    </r>
  </si>
  <si>
    <t>Word of Power</t>
  </si>
  <si>
    <t>Translation</t>
  </si>
  <si>
    <t>Word Wall Location</t>
  </si>
  <si>
    <t>Raan</t>
  </si>
  <si>
    <t>Animal</t>
  </si>
  <si>
    <t>Mir</t>
  </si>
  <si>
    <t>Allegiance</t>
  </si>
  <si>
    <t>Tah</t>
  </si>
  <si>
    <t>Pack</t>
  </si>
  <si>
    <t>Laas</t>
  </si>
  <si>
    <t>Life</t>
  </si>
  <si>
    <t>Yah</t>
  </si>
  <si>
    <t>Seek</t>
  </si>
  <si>
    <t>Nir</t>
  </si>
  <si>
    <t>Hunt</t>
  </si>
  <si>
    <t>Feim</t>
  </si>
  <si>
    <t>Fade</t>
  </si>
  <si>
    <t>Zii</t>
  </si>
  <si>
    <t>Spirit</t>
  </si>
  <si>
    <t>Gron</t>
  </si>
  <si>
    <t>Bind</t>
  </si>
  <si>
    <t>Od</t>
  </si>
  <si>
    <t>Snow</t>
  </si>
  <si>
    <t>Ah</t>
  </si>
  <si>
    <t>Hunter</t>
  </si>
  <si>
    <t>Viing</t>
  </si>
  <si>
    <t>Wing</t>
  </si>
  <si>
    <t>Hun</t>
  </si>
  <si>
    <t>Hero</t>
  </si>
  <si>
    <t>Kaal</t>
  </si>
  <si>
    <t>Champion</t>
  </si>
  <si>
    <t>Zoor</t>
  </si>
  <si>
    <t>Legend</t>
  </si>
  <si>
    <t>Lok</t>
  </si>
  <si>
    <t>Sky</t>
  </si>
  <si>
    <t>Vah</t>
  </si>
  <si>
    <t>Spring</t>
  </si>
  <si>
    <t>Koor</t>
  </si>
  <si>
    <t>Summer</t>
  </si>
  <si>
    <t>Zun</t>
  </si>
  <si>
    <t>Haal</t>
  </si>
  <si>
    <t>Hand</t>
  </si>
  <si>
    <t>Viik</t>
  </si>
  <si>
    <t>Defeat</t>
  </si>
  <si>
    <t>Faas</t>
  </si>
  <si>
    <t>Fear</t>
  </si>
  <si>
    <t>Ru</t>
  </si>
  <si>
    <t>Run</t>
  </si>
  <si>
    <t>Maar</t>
  </si>
  <si>
    <t>Terror</t>
  </si>
  <si>
    <t>Joor</t>
  </si>
  <si>
    <t>Mortal</t>
  </si>
  <si>
    <t>Zah</t>
  </si>
  <si>
    <t>Finite</t>
  </si>
  <si>
    <t>Frul</t>
  </si>
  <si>
    <t>Temporary</t>
  </si>
  <si>
    <t>Su</t>
  </si>
  <si>
    <t>Air</t>
  </si>
  <si>
    <t>Grah</t>
  </si>
  <si>
    <t>Battle</t>
  </si>
  <si>
    <t>Dun</t>
  </si>
  <si>
    <t>Grace</t>
  </si>
  <si>
    <t>Yol</t>
  </si>
  <si>
    <t>Fire</t>
  </si>
  <si>
    <t>Toor</t>
  </si>
  <si>
    <t>Inferno</t>
  </si>
  <si>
    <t>Shul</t>
  </si>
  <si>
    <t>Sun</t>
  </si>
  <si>
    <t>Fo</t>
  </si>
  <si>
    <t>Frost</t>
  </si>
  <si>
    <t>Krah</t>
  </si>
  <si>
    <t>Cold</t>
  </si>
  <si>
    <t>Diin</t>
  </si>
  <si>
    <t>Freeze</t>
  </si>
  <si>
    <t>Iiz</t>
  </si>
  <si>
    <t>Ice</t>
  </si>
  <si>
    <t>Slen</t>
  </si>
  <si>
    <t>Flesh</t>
  </si>
  <si>
    <t>Nus</t>
  </si>
  <si>
    <t>Statue</t>
  </si>
  <si>
    <t>Kaan</t>
  </si>
  <si>
    <t>Kyne</t>
  </si>
  <si>
    <t>Drem</t>
  </si>
  <si>
    <t>Peace</t>
  </si>
  <si>
    <t>Ov</t>
  </si>
  <si>
    <t>Trust</t>
  </si>
  <si>
    <t>Krii</t>
  </si>
  <si>
    <t>Kill</t>
  </si>
  <si>
    <t>Lun</t>
  </si>
  <si>
    <t>Leech</t>
  </si>
  <si>
    <t>Aus</t>
  </si>
  <si>
    <t>Suffer</t>
  </si>
  <si>
    <t>Tiid</t>
  </si>
  <si>
    <t>Time</t>
  </si>
  <si>
    <t>Klo</t>
  </si>
  <si>
    <t>Sand</t>
  </si>
  <si>
    <t>Ul</t>
  </si>
  <si>
    <t>Eternity</t>
  </si>
  <si>
    <t>Strun</t>
  </si>
  <si>
    <t>Storm</t>
  </si>
  <si>
    <t>Bah</t>
  </si>
  <si>
    <t>Wrath</t>
  </si>
  <si>
    <t>Qo</t>
  </si>
  <si>
    <t>Lightning</t>
  </si>
  <si>
    <t>Zul</t>
  </si>
  <si>
    <t>Voice</t>
  </si>
  <si>
    <t>Mey</t>
  </si>
  <si>
    <t>Fool</t>
  </si>
  <si>
    <t>Gut</t>
  </si>
  <si>
    <t>Far</t>
  </si>
  <si>
    <t>Fus</t>
  </si>
  <si>
    <t>Force</t>
  </si>
  <si>
    <t>Ro</t>
  </si>
  <si>
    <t>Balance</t>
  </si>
  <si>
    <t>Dah</t>
  </si>
  <si>
    <t>Push</t>
  </si>
  <si>
    <t>Wuld</t>
  </si>
  <si>
    <t>Whirlwind</t>
  </si>
  <si>
    <t>Nah</t>
  </si>
  <si>
    <t>Fury</t>
  </si>
  <si>
    <t>Kest</t>
  </si>
  <si>
    <t>Tempest</t>
  </si>
  <si>
    <t>Gaan</t>
  </si>
  <si>
    <t>Stamina</t>
  </si>
  <si>
    <t>Lah</t>
  </si>
  <si>
    <t>Magicka</t>
  </si>
  <si>
    <t>Haas</t>
  </si>
  <si>
    <t>Health</t>
  </si>
  <si>
    <t>Rii</t>
  </si>
  <si>
    <t>Essence</t>
  </si>
  <si>
    <t>Vaaz</t>
  </si>
  <si>
    <t>Tear</t>
  </si>
  <si>
    <t>Zol</t>
  </si>
  <si>
    <t>Zombie</t>
  </si>
  <si>
    <t>Dur</t>
  </si>
  <si>
    <t>Curse</t>
  </si>
  <si>
    <t>Neh</t>
  </si>
  <si>
    <t>Never</t>
  </si>
  <si>
    <t>Viir</t>
  </si>
  <si>
    <t>Dying</t>
  </si>
  <si>
    <t>Mid</t>
  </si>
  <si>
    <t>Loyal</t>
  </si>
  <si>
    <t>Vur</t>
  </si>
  <si>
    <t>Valor</t>
  </si>
  <si>
    <t>Shaan</t>
  </si>
  <si>
    <t>Inspire</t>
  </si>
  <si>
    <t>Gol</t>
  </si>
  <si>
    <t>Earth</t>
  </si>
  <si>
    <t>Hah</t>
  </si>
  <si>
    <t>Mind</t>
  </si>
  <si>
    <t>Dov</t>
  </si>
  <si>
    <t>Dragon</t>
  </si>
  <si>
    <t>Ven</t>
  </si>
  <si>
    <t>Wind</t>
  </si>
  <si>
    <t>Gaar</t>
  </si>
  <si>
    <t>Unleash</t>
  </si>
  <si>
    <t>Nos</t>
  </si>
  <si>
    <t>Strike</t>
  </si>
  <si>
    <t>Mul</t>
  </si>
  <si>
    <t>Strength</t>
  </si>
  <si>
    <t>Qah</t>
  </si>
  <si>
    <t>Armor</t>
  </si>
  <si>
    <t>Diiv</t>
  </si>
  <si>
    <t>Wyrm</t>
  </si>
  <si>
    <t>Location Name</t>
  </si>
  <si>
    <t>Location Category</t>
  </si>
  <si>
    <t>Region</t>
  </si>
  <si>
    <t>Discovered?</t>
  </si>
  <si>
    <t>Visited?</t>
  </si>
  <si>
    <t>Cleared?</t>
  </si>
  <si>
    <t>* indicates additional info. Refer to the wiki link under "bugs" or a note inside a cell</t>
  </si>
  <si>
    <t>HIDDEN</t>
  </si>
  <si>
    <t>Vanilla Locations</t>
  </si>
  <si>
    <t>Count total %</t>
  </si>
  <si>
    <t>Imperial Tower</t>
  </si>
  <si>
    <t>Eastmarch</t>
  </si>
  <si>
    <t>Shack</t>
  </si>
  <si>
    <t>Hjaalmarch</t>
  </si>
  <si>
    <t>The Rift</t>
  </si>
  <si>
    <t>Dwarven Ruin</t>
  </si>
  <si>
    <t>Dragon Lair</t>
  </si>
  <si>
    <t>Falkreath Hold</t>
  </si>
  <si>
    <t>Wood Mill</t>
  </si>
  <si>
    <t>The Pale</t>
  </si>
  <si>
    <t>Nordic Ruin</t>
  </si>
  <si>
    <t>Clearing</t>
  </si>
  <si>
    <t>Nordic Tower</t>
  </si>
  <si>
    <t>Landmark</t>
  </si>
  <si>
    <t>The Reach</t>
  </si>
  <si>
    <t>Wheat Mill</t>
  </si>
  <si>
    <t>Mine</t>
  </si>
  <si>
    <t>Settlement</t>
  </si>
  <si>
    <t>Cave</t>
  </si>
  <si>
    <t>Giant Camp</t>
  </si>
  <si>
    <t>Military Fort</t>
  </si>
  <si>
    <t>Castle</t>
  </si>
  <si>
    <t>Haafingar</t>
  </si>
  <si>
    <t>Farm/Settlement</t>
  </si>
  <si>
    <t>Guild Hall</t>
  </si>
  <si>
    <t>Shipwreck</t>
  </si>
  <si>
    <t>Settlement/Mine</t>
  </si>
  <si>
    <t>Town</t>
  </si>
  <si>
    <t>Camp</t>
  </si>
  <si>
    <t>Orc Stronghold</t>
  </si>
  <si>
    <t>Dock</t>
  </si>
  <si>
    <t>Grove</t>
  </si>
  <si>
    <t>Military Fort/Mine</t>
  </si>
  <si>
    <t>Ruins</t>
  </si>
  <si>
    <t>Lighthouse</t>
  </si>
  <si>
    <t>*</t>
  </si>
  <si>
    <t>Camp/Mine</t>
  </si>
  <si>
    <t>Military Fortt</t>
  </si>
  <si>
    <t>Farm</t>
  </si>
  <si>
    <t>Falkreath Hold*</t>
  </si>
  <si>
    <t>Stable</t>
  </si>
  <si>
    <t>Inn</t>
  </si>
  <si>
    <t>Cave/Pass</t>
  </si>
  <si>
    <t>Landmark/Dwarven Ruin</t>
  </si>
  <si>
    <t>Daderic Shrine</t>
  </si>
  <si>
    <t>Cave/Dwarven Ruin</t>
  </si>
  <si>
    <t>Cave/Mine</t>
  </si>
  <si>
    <t>Standing Stone</t>
  </si>
  <si>
    <t>Pass</t>
  </si>
  <si>
    <t>Civil War camps*</t>
  </si>
  <si>
    <t>Imperial Camp</t>
  </si>
  <si>
    <t>Stormcloak Camp</t>
  </si>
  <si>
    <t>Dawnguard Locations</t>
  </si>
  <si>
    <t>Pass/Cave</t>
  </si>
  <si>
    <t>Dragonborn Locations</t>
  </si>
  <si>
    <t>Solstheim</t>
  </si>
  <si>
    <t>Fort</t>
  </si>
  <si>
    <t>All-Maker Stone</t>
  </si>
  <si>
    <t>Temple</t>
  </si>
  <si>
    <t>Hearthfire Locations</t>
  </si>
  <si>
    <t>Player Housing</t>
  </si>
  <si>
    <t>Anniversary Edition Locations (Creation Club)</t>
  </si>
  <si>
    <t>Ashfall's Tear</t>
  </si>
  <si>
    <t>Bloodchill Cavern</t>
  </si>
  <si>
    <t>Fahlbtharz</t>
  </si>
  <si>
    <t>Frostroot Cave</t>
  </si>
  <si>
    <t>Goldenhills Plantation</t>
  </si>
  <si>
    <t>Mythic Dawn Camp</t>
  </si>
  <si>
    <t>Nchuanthumz</t>
  </si>
  <si>
    <t>Red Scar Cavern</t>
  </si>
  <si>
    <t>Rielle</t>
  </si>
  <si>
    <t>Ayeleid Ruin</t>
  </si>
  <si>
    <t>Sivdur's Respite</t>
  </si>
  <si>
    <t>Varlais Cavern</t>
  </si>
  <si>
    <t>Runoff Cavern</t>
  </si>
  <si>
    <t>Champion's Rest</t>
  </si>
  <si>
    <t>The RIft</t>
  </si>
  <si>
    <t>The Guardian Vault</t>
  </si>
  <si>
    <t>Ruin</t>
  </si>
  <si>
    <t>Blackbone Isle Grotto</t>
  </si>
  <si>
    <t>Ship</t>
  </si>
  <si>
    <t>Gromm's Pass</t>
  </si>
  <si>
    <t>Solitude Sewers</t>
  </si>
  <si>
    <t>Root Tunnels</t>
  </si>
  <si>
    <t>Merchant Name</t>
  </si>
  <si>
    <t>Partner or (Replacment)</t>
  </si>
  <si>
    <t>Invested?</t>
  </si>
  <si>
    <t>Alive?</t>
  </si>
  <si>
    <t>P/R Alive?</t>
  </si>
  <si>
    <t>Store/Location Name</t>
  </si>
  <si>
    <t>Merchandise</t>
  </si>
  <si>
    <t>Gold</t>
  </si>
  <si>
    <t>Investable</t>
  </si>
  <si>
    <t>Master Trader</t>
  </si>
  <si>
    <t>A compiled list of all the merchants in skyrim * indicates there is additional info in the notes section.</t>
  </si>
  <si>
    <t>Blacksmith</t>
  </si>
  <si>
    <t>Yes</t>
  </si>
  <si>
    <t>Apothecary</t>
  </si>
  <si>
    <t>No</t>
  </si>
  <si>
    <t>Innkeeper</t>
  </si>
  <si>
    <t>Dawnstar - Nightgate Inn</t>
  </si>
  <si>
    <t>General; sells Blue Mage Robes</t>
  </si>
  <si>
    <t>Apothecary (also buys Tools)</t>
  </si>
  <si>
    <t>General</t>
  </si>
  <si>
    <t>At the forge near The Hag's Cure or in Understone Keep</t>
  </si>
  <si>
    <t>No*</t>
  </si>
  <si>
    <t>Ghorza gra-Bagol will have the dialogue option to invest in her store, but the only option is to decline, due to a bug.
However, the option works just fine with Tacitus Sallustius.</t>
  </si>
  <si>
    <t>Fence</t>
  </si>
  <si>
    <t>1000-4000</t>
  </si>
  <si>
    <t>Yes*</t>
  </si>
  <si>
    <t>Investing in Ghorza gra-Bagol or Tacitus Sallustius also invests 500 gold in Moth gro-Bagol, due to another bug.</t>
  </si>
  <si>
    <t>Marketplace Stall</t>
  </si>
  <si>
    <t>Jeweler</t>
  </si>
  <si>
    <t>Markarth - Dushnikh Yal</t>
  </si>
  <si>
    <t>Markarth - Mor Khazgur</t>
  </si>
  <si>
    <t>Markarth - Old Hroldan Inn</t>
  </si>
  <si>
    <t>Spells; sells 1 Black Soul Gem</t>
  </si>
  <si>
    <t>Most Imperial camps</t>
  </si>
  <si>
    <t>Most Stormcloak camps</t>
  </si>
  <si>
    <t>Randomly anywhere in the wilderness</t>
  </si>
  <si>
    <t>Meat, Hides</t>
  </si>
  <si>
    <t>3-36*</t>
  </si>
  <si>
    <t xml:space="preserve"> Hunters will not dissipate their wealth when you sell them things. They have theoretically unlimited wealth. It is just that they will only pay up to a certain amount of gold for a single item, or a single stack of items.</t>
  </si>
  <si>
    <t>Moon Sugar, Skooma, Sleeping Tree Sap</t>
  </si>
  <si>
    <t>20-56</t>
  </si>
  <si>
    <t>Randomly anywhere in the wilderness (being attacked by bandits or Forsworn)</t>
  </si>
  <si>
    <t>General Goods</t>
  </si>
  <si>
    <t>50-77</t>
  </si>
  <si>
    <t>Riften - Fort Dawnguard</t>
  </si>
  <si>
    <t>Apothecary, Spells</t>
  </si>
  <si>
    <t>Hostile to vampires</t>
  </si>
  <si>
    <t>Riften - Ivarstead</t>
  </si>
  <si>
    <t>Riften - Shor's Stone</t>
  </si>
  <si>
    <t>It is possible to invest endlessly with Angeline. She never loses the dialogue option to invest, but her permanent base gold cannot increase, due to a bug.</t>
  </si>
  <si>
    <t>Armor, Arrows, Tools, Weapons</t>
  </si>
  <si>
    <t>Fihada has the investment dialogue, allowing you to pay him 500 gold to invest in his store. However, investing in him has no actual effect—his gold is not permanently increased—because his merchant chest does not contain the PerkInvestorStoreUpgrade bonus gold.</t>
  </si>
  <si>
    <t>Clothing, Jewelry</t>
  </si>
  <si>
    <t xml:space="preserve">  </t>
  </si>
  <si>
    <t>Solitude - Dragon Bridge</t>
  </si>
  <si>
    <t>Solitude - Volkihar Keep</t>
  </si>
  <si>
    <t>Hostile to non-vampires</t>
  </si>
  <si>
    <t>Solstheim - Bujold's Retreat</t>
  </si>
  <si>
    <t>Bujold's Retreat / Thirsk Mead Hall</t>
  </si>
  <si>
    <t>Solstheim - Ramshackle Trading Post</t>
  </si>
  <si>
    <t>Solstheim - Raven Rock</t>
  </si>
  <si>
    <t>Solstheim - Skaal Village</t>
  </si>
  <si>
    <t>Wiki does not include info on Master Trader perk for this merchant</t>
  </si>
  <si>
    <t>Solstheim - Tel Mithryn</t>
  </si>
  <si>
    <t>Staves &amp; Spells</t>
  </si>
  <si>
    <t>Found on outskirts of the town with his silt strider</t>
  </si>
  <si>
    <t>Traveling - Dawnstar or Riften</t>
  </si>
  <si>
    <t>General; Sells Moon Sugar and Skooma</t>
  </si>
  <si>
    <t>Traveling - Markarth or Whiterun</t>
  </si>
  <si>
    <t>Traveling - Solitude or Windhelm</t>
  </si>
  <si>
    <t>Anoriath will allow you to invest in his store, but his available gold will not increase due to a bug.</t>
  </si>
  <si>
    <r>
      <rPr>
        <rFont val="Calibri"/>
        <color rgb="FF1155CC"/>
        <sz val="11.0"/>
        <u/>
      </rPr>
      <t>Saadia</t>
    </r>
    <r>
      <rPr>
        <rFont val="Calibri"/>
        <color rgb="FF000000"/>
        <sz val="11.0"/>
      </rPr>
      <t xml:space="preserve">
</t>
    </r>
    <r>
      <rPr>
        <rFont val="Calibri"/>
        <color rgb="FF1155CC"/>
        <sz val="11.0"/>
        <u/>
      </rPr>
      <t>(Ysolda)</t>
    </r>
  </si>
  <si>
    <t>Armor, Arrows, Food, Tools, Weapons</t>
  </si>
  <si>
    <t>Adrianne Avenicci is unique in having access to two merchant chests; when she is outside during the day, she sells items from a separate chest. When she is inside and the store is open, she uses the same chest as Ulfberth War-Bear. The two chests are counted as separate stores for the purpose of investing.</t>
  </si>
  <si>
    <t>Whiterun - Riverrun</t>
  </si>
  <si>
    <t>General; sells Blue Mage Robes, several Spell Tomes</t>
  </si>
  <si>
    <t>If you invest 500 gold into his shop (using the Investor perk), it adds 10,000 gold instead of 500 gold to his inventory.
This bug is fixed by version 1.9 of the Official Skyrim Patch.</t>
  </si>
  <si>
    <t>Innkeeper (also buys Ingredients)</t>
  </si>
  <si>
    <t>Whiterun - Rorikstead</t>
  </si>
  <si>
    <t>Windhelm - Kynesgrove</t>
  </si>
  <si>
    <t>Windhelm - Narzulbur</t>
  </si>
  <si>
    <t>Winterhold - Mage's College</t>
  </si>
  <si>
    <t>Stocks a Black Soul Gem and 2 Daedra Hearts</t>
  </si>
  <si>
    <t>Spells (Alteration)</t>
  </si>
  <si>
    <t>Spells (Restoration)</t>
  </si>
  <si>
    <t>Spells (Illusion)</t>
  </si>
  <si>
    <t>Spells (Destruction)</t>
  </si>
  <si>
    <t>Spells (Conjuration)</t>
  </si>
  <si>
    <t>Gear Name</t>
  </si>
  <si>
    <t>Gear Type</t>
  </si>
  <si>
    <t>Items marked with the same color are mutually exclusive (with each other or by two groups)</t>
  </si>
  <si>
    <t>Vanilla Skyrim Unique Gear</t>
  </si>
  <si>
    <t>Warhammer</t>
  </si>
  <si>
    <t>One-handed Sword</t>
  </si>
  <si>
    <t>Quest item, but it can be pickpocketed back after completion.</t>
  </si>
  <si>
    <t>Necklace</t>
  </si>
  <si>
    <t>Helmet</t>
  </si>
  <si>
    <t>Light Armor</t>
  </si>
  <si>
    <t>Light Boots</t>
  </si>
  <si>
    <t>Light Helmet</t>
  </si>
  <si>
    <t>Light Gauntlets</t>
  </si>
  <si>
    <t>Bow</t>
  </si>
  <si>
    <t>Clothing</t>
  </si>
  <si>
    <t>You can get this set along with Silver-blood ring. Free Madanach and then after getting the set kill everyone.</t>
  </si>
  <si>
    <t>Ring</t>
  </si>
  <si>
    <t>During quest "Bound Until Death" can be stolen or took from Asgeir.</t>
  </si>
  <si>
    <t>Soul Gem</t>
  </si>
  <si>
    <t>Dagger</t>
  </si>
  <si>
    <t>Multiple may be aquired from pickpocketing the cultists during Boethiath's Proving</t>
  </si>
  <si>
    <t>Two can be aquired if one is pickpocked from Astrid whe you first meet her</t>
  </si>
  <si>
    <t>Heavy Armor</t>
  </si>
  <si>
    <t>Heavy Boots</t>
  </si>
  <si>
    <t>Heavy Gauntlets</t>
  </si>
  <si>
    <t>Heavy Helmet</t>
  </si>
  <si>
    <t>Heavy Shield</t>
  </si>
  <si>
    <t>One-Handed Sword</t>
  </si>
  <si>
    <t>Carry a bottle of Honningbrew mead with you to get it during the random encounter.</t>
  </si>
  <si>
    <t>Weaker version "Jester's Hat" available at Dawnstar sanctuary.</t>
  </si>
  <si>
    <t>Weaker version "Jester's Clothes" available at Dawnstar sanctuary.</t>
  </si>
  <si>
    <t>Weaker version "Jester's Gloves" available at Dawnstar sanctuary.</t>
  </si>
  <si>
    <t>Staff</t>
  </si>
  <si>
    <t>Battleaxe</t>
  </si>
  <si>
    <t>Greatsword</t>
  </si>
  <si>
    <t>Can get up to 3 during Dark Brotherhood questline.</t>
  </si>
  <si>
    <t>3 rings during the quest "Under Saarthal". Can optionally be turned in or kept.</t>
  </si>
  <si>
    <t>x3 during first DB quest</t>
  </si>
  <si>
    <t>Can optionally be turned in or kept during the quest "Mistwatch"</t>
  </si>
  <si>
    <t>Disenchantable for a unique enchantment</t>
  </si>
  <si>
    <t>Two-handed Battleaxe</t>
  </si>
  <si>
    <t>Can be stolen or traded from Ahtar.</t>
  </si>
  <si>
    <t>One-handed Mace</t>
  </si>
  <si>
    <t>Circlet</t>
  </si>
  <si>
    <t>The mysterious amulet must be sold to Calicimo during Blood on the Ice</t>
  </si>
  <si>
    <t>One-handed War Axe</t>
  </si>
  <si>
    <t>Disenchantable for a unique enchantment. Both are bugged and do not boost Smithing as intended</t>
  </si>
  <si>
    <t>Book</t>
  </si>
  <si>
    <t>To get both this item and Savior's hide first side with Sinding to get the ring, then kill him.</t>
  </si>
  <si>
    <t>To get both this item and Hircine ring first side with Sinding to get the ring, then kill him.</t>
  </si>
  <si>
    <t>You can get this ring along with Old Gods set. Free Madanach and then after getting the set kill everyone to get the ring.</t>
  </si>
  <si>
    <t>Can only be stolen from Calcelmo's Lab.</t>
  </si>
  <si>
    <t>Potion</t>
  </si>
  <si>
    <t>x3 Respawns</t>
  </si>
  <si>
    <t>x2 Respawns</t>
  </si>
  <si>
    <t>Two-handed Warhammer</t>
  </si>
  <si>
    <t>Dawnguard Unique Gear</t>
  </si>
  <si>
    <t>Can only be stolen from Dexion Evicus</t>
  </si>
  <si>
    <t>There's Ancient Falmer Crown, unavailable without console commands or Unofficial Dawnguard Patch fix.</t>
  </si>
  <si>
    <t>Arrow</t>
  </si>
  <si>
    <t>War Axe</t>
  </si>
  <si>
    <t>Light Shield</t>
  </si>
  <si>
    <t>Complete "Lost to the Ages" quest first.</t>
  </si>
  <si>
    <t>One from Harkon and one is in Volkihar Dungeons.</t>
  </si>
  <si>
    <t>Dragonborn Unique Gear</t>
  </si>
  <si>
    <t>Heavy Gauntlet</t>
  </si>
  <si>
    <t>Unique reward for "An Axe to Find" quest</t>
  </si>
  <si>
    <t>Two-handed Greatsword</t>
  </si>
  <si>
    <t xml:space="preserve">Light Gauntlets	</t>
  </si>
  <si>
    <t>Can only be stolen.</t>
  </si>
  <si>
    <t>Mace</t>
  </si>
  <si>
    <t>Can only be reverse pickpocketed from Frea.</t>
  </si>
  <si>
    <t>Book Title</t>
  </si>
  <si>
    <t>Collected?</t>
  </si>
  <si>
    <t xml:space="preserve">Read? </t>
  </si>
  <si>
    <t>On Shelf?</t>
  </si>
  <si>
    <t>Total Books</t>
  </si>
  <si>
    <t>Collected</t>
  </si>
  <si>
    <t>Collected %</t>
  </si>
  <si>
    <t>Remaining</t>
  </si>
  <si>
    <t>Remaining %</t>
  </si>
  <si>
    <t>Read</t>
  </si>
  <si>
    <t>Read %</t>
  </si>
  <si>
    <t>Hold</t>
  </si>
  <si>
    <t>Hold%</t>
  </si>
  <si>
    <t>List</t>
  </si>
  <si>
    <t>Type</t>
  </si>
  <si>
    <t>Regular books, journals and spell tomes</t>
  </si>
  <si>
    <t>Anonymous/Unknown</t>
  </si>
  <si>
    <t>Vaermina's Tale</t>
  </si>
  <si>
    <t>Hircine's Tale</t>
  </si>
  <si>
    <t>Malacath's Tale</t>
  </si>
  <si>
    <t>Carlovac Townway</t>
  </si>
  <si>
    <t>Volume 12 of a historical series about Vivec and the Empire</t>
  </si>
  <si>
    <t>Volume 3 of a historical series about Vivec and the Empire</t>
  </si>
  <si>
    <t>Volume 10 of a historical series about Vivec and the Empire</t>
  </si>
  <si>
    <t>Skill Book - Conjuration</t>
  </si>
  <si>
    <t>Volume 9 of a historical series about Vivec and the Empire</t>
  </si>
  <si>
    <t>Volume 8 of a historical series about Vivec and the Empire</t>
  </si>
  <si>
    <t>Skill Book - Sneak</t>
  </si>
  <si>
    <t>Volume 6 of a historical series about Vivec and the Empire</t>
  </si>
  <si>
    <t>Skill Book - Heavy Armor</t>
  </si>
  <si>
    <t>Volume 1 of a historical series about Vivec and the Empire</t>
  </si>
  <si>
    <t>Skill Book - One-handed</t>
  </si>
  <si>
    <t>Volume 4 of a historical series about Vivec and the Empire</t>
  </si>
  <si>
    <t>Skill Book - Restoration</t>
  </si>
  <si>
    <t>Volume 5 of a historical series about Vivec and the Empire</t>
  </si>
  <si>
    <t>Skill Book - Speech</t>
  </si>
  <si>
    <t>Volume 2 of a historical series about Vivec and the Empire</t>
  </si>
  <si>
    <t>Skill Book - Illusion</t>
  </si>
  <si>
    <t>Volume 11 of a historical series about Vivec and the Empire</t>
  </si>
  <si>
    <t>Volume 7 of a historical series about Vivec and the Empire</t>
  </si>
  <si>
    <t>Early religious book providing a simplified version of The Anuad creation myth from the Mythic Era</t>
  </si>
  <si>
    <t>Waughin Jarth</t>
  </si>
  <si>
    <t>Chapter 1 of a clerk's adventures in Valenwood</t>
  </si>
  <si>
    <t>Chapter 2 of a clerk's adventures in Valenwood</t>
  </si>
  <si>
    <t>Skill Book - Block</t>
  </si>
  <si>
    <t>Chapter 3 of a clerk's adventures in Valenwood</t>
  </si>
  <si>
    <t>Chapter 4 of a clerk's adventures in Valenwood</t>
  </si>
  <si>
    <t>Chapter 5 of a clerk's adventures in Valenwood</t>
  </si>
  <si>
    <t>Chapter 6 of a clerk's adventures in Valenwood</t>
  </si>
  <si>
    <t>Chapter 7 of a clerk's adventures in Valenwood</t>
  </si>
  <si>
    <t>Skardan Free-Winter</t>
  </si>
  <si>
    <t>A soldier's tale of his dream before battle</t>
  </si>
  <si>
    <t>An Anonymous Spy</t>
  </si>
  <si>
    <t>A spy's observations upon poison making and a dinner party</t>
  </si>
  <si>
    <t>Skill Book - Alchemy</t>
  </si>
  <si>
    <t>Mikael the Bard</t>
  </si>
  <si>
    <t>A guide to the Nordic city of Whiterun in the Fourth Era.</t>
  </si>
  <si>
    <t>Aicantar</t>
  </si>
  <si>
    <t>A short play about betrayal.</t>
  </si>
  <si>
    <t>Skill Book - Destruction</t>
  </si>
  <si>
    <t>Guide to performing the Black Sacrament in order to summon the Dark Brotherhood.</t>
  </si>
  <si>
    <t>Book - Faction</t>
  </si>
  <si>
    <t>The history of Labyrinthian and its creator, Shalidor.</t>
  </si>
  <si>
    <t>A folk tale about a young boy's encounter with a Dremora.</t>
  </si>
  <si>
    <t>Skill Book - Enchanting</t>
  </si>
  <si>
    <t>A warning to any who might claim the Ebony Blade.</t>
  </si>
  <si>
    <t>An Anonymous Thief</t>
  </si>
  <si>
    <t>A brief guidebook on lockpicking.</t>
  </si>
  <si>
    <t>Skill Book - Lockpicking</t>
  </si>
  <si>
    <t>An Anonymous Adventurer</t>
  </si>
  <si>
    <t>About investigating attacks on caravans by the Falmer.</t>
  </si>
  <si>
    <t>Journal</t>
  </si>
  <si>
    <t>Overview of the basic differences between Gods, Demons, Aedra, and Daedra</t>
  </si>
  <si>
    <t>Traditional Skaal myth about a young Skaal's journey to recover the Gifts of the All-Maker</t>
  </si>
  <si>
    <t>Skill Book - Pickpocket</t>
  </si>
  <si>
    <t>Agrius</t>
  </si>
  <si>
    <t>The last accounts of a bandit before being possessed and sacrificed by Halldir.</t>
  </si>
  <si>
    <t>Halund Greycloak</t>
  </si>
  <si>
    <t>The tale of a powerful enchanter's descent into madness</t>
  </si>
  <si>
    <t>The public manifesto of the Khajiit organization Renrijra Krin</t>
  </si>
  <si>
    <t>Research notes on Dwarven spider control</t>
  </si>
  <si>
    <t>An Anonymous Alchemist</t>
  </si>
  <si>
    <t>A researcher investigating plant growth</t>
  </si>
  <si>
    <t>The idyllic journal of an alchemist</t>
  </si>
  <si>
    <t>Thromgar Iron-Head</t>
  </si>
  <si>
    <t>A poorly spelled essay from a "prowd Nord" on the difference between Alduin and Akatosh</t>
  </si>
  <si>
    <t>Alva</t>
  </si>
  <si>
    <t>A vampire's plot to take over all of Morthal</t>
  </si>
  <si>
    <t>Bernadette Bantien, College of Winterhold</t>
  </si>
  <si>
    <t>Discoveries about the draugr and their link to the dragon cults</t>
  </si>
  <si>
    <t>Quintus Nerevelus, Former Imperial Librarian</t>
  </si>
  <si>
    <t>An author's report on the Elder Scrolls and his subsequent entry into the Cult of the Ancestor Moth</t>
  </si>
  <si>
    <t>Marcius Carvain, Viscount Bruma</t>
  </si>
  <si>
    <t>A brief travel guide for adventuresome tourists in Skyrim</t>
  </si>
  <si>
    <t>An outdated guide for foreign visitors to Morrowind</t>
  </si>
  <si>
    <t>Brother Annulus</t>
  </si>
  <si>
    <t>Chronicles of the Dragonguard in the late First Era</t>
  </si>
  <si>
    <t>A historical account of the development of Dwemer law and custom from its roots in High Elven culture</t>
  </si>
  <si>
    <t>Wapna Neustra Praeceptor Emeritus</t>
  </si>
  <si>
    <t>Cryptic instructions for the restoration of Arcana</t>
  </si>
  <si>
    <t>Decumus Scotti's continued adventures in Black Marsh, Volume 1</t>
  </si>
  <si>
    <t>Decumus Scotti's continued adventures in Black Marsh, Volume 2</t>
  </si>
  <si>
    <t>Decumus Scotti's continued adventures in Black Marsh, Volume 3</t>
  </si>
  <si>
    <t>Decumus Scotti's continued adventures in Black Marsh, Volume 4</t>
  </si>
  <si>
    <t>Arvel the Swift</t>
  </si>
  <si>
    <t>A journal describing how Arvel came into possession of the Golden Claw and a hint of its true purpose</t>
  </si>
  <si>
    <t>Brother Mathnan</t>
  </si>
  <si>
    <t>A glossary of Skyrim's dragons</t>
  </si>
  <si>
    <t>A guide on how to use the Atronach Forge</t>
  </si>
  <si>
    <t>Marobar Sul</t>
  </si>
  <si>
    <t>Book 11 of a series of fictional stories about the Dwemer</t>
  </si>
  <si>
    <t>An Anonymous Bandit</t>
  </si>
  <si>
    <t>Journal entries indicating the location of a hidden stash</t>
  </si>
  <si>
    <t>A Bandit's account of taking over Fort Neugrad</t>
  </si>
  <si>
    <t>A bandit's complaints about their inability to kill a mammoth</t>
  </si>
  <si>
    <t>Vivec</t>
  </si>
  <si>
    <t>The story of the Battle of Red Mountain and the Nerevarine Prophecies from Vivec's perspective</t>
  </si>
  <si>
    <t>The story of how General Talos defeated the stronghold of Sancre Tor</t>
  </si>
  <si>
    <t>Skill Book - Two-handed</t>
  </si>
  <si>
    <t>Aicantar of Shimerene</t>
  </si>
  <si>
    <t>Chronicles the major events of the Dawn and Merethic Eras</t>
  </si>
  <si>
    <t>Reven</t>
  </si>
  <si>
    <t>The first chapter in the adventures of Eslaf Erol</t>
  </si>
  <si>
    <t>The story of Wheedle and his gifts from the Daedric Lord Namira</t>
  </si>
  <si>
    <t>Stern Gamboge, Imperial Scribe</t>
  </si>
  <si>
    <t>Volume one in the official biography of Queen Barenziah.</t>
  </si>
  <si>
    <t>Volume two in the official biography of Queen Barenziah.</t>
  </si>
  <si>
    <t>Volume three in the official biography of Queen Barenziah.</t>
  </si>
  <si>
    <t>Katar Eriphanes</t>
  </si>
  <si>
    <t>The history of Potema, The Wolf Queen of Solitude.</t>
  </si>
  <si>
    <t>A short prayer to Boethiah.</t>
  </si>
  <si>
    <t>A cultist's account of summoning Boethiah.</t>
  </si>
  <si>
    <t>Tavi Dromio</t>
  </si>
  <si>
    <t>Part one in a tale surrounding the creation of Bonemold armor.</t>
  </si>
  <si>
    <t>Part two in a tale surrounding the creation of Bonemold armor.</t>
  </si>
  <si>
    <t>Haliel Myrm</t>
  </si>
  <si>
    <t>A fictional tale where Tharien Winloth seeks to master water breathing.</t>
  </si>
  <si>
    <t>Skill Book - Alteration</t>
  </si>
  <si>
    <t>Stronach k'Thojj III</t>
  </si>
  <si>
    <t>The succession of the first eight Emperors of the Septim Dynasty, from Tiber Septim to Kintyra II.</t>
  </si>
  <si>
    <t>The second volume described the War of the Red Diamond and the six Emperors who followed.</t>
  </si>
  <si>
    <t>The third volume described the troubles of the next three Emperors - the frustrated Uriel IV, the ineffectual Cephorus II, and the heroic Uriel V.</t>
  </si>
  <si>
    <t>The final volume describes the rest of the Empire's history leading up to Jagar Tharn.</t>
  </si>
  <si>
    <t>Pellarne Assi</t>
  </si>
  <si>
    <t>A brief history of the Dark Brotherhood</t>
  </si>
  <si>
    <t>The Butcher/Calixto Corrium</t>
  </si>
  <si>
    <t>A journal revealing the ghoulish motivation behind killings in Windhelm</t>
  </si>
  <si>
    <t>A serial killer's journal entries on stalking a victim</t>
  </si>
  <si>
    <t>A serial killer's translation on "flesh" magic</t>
  </si>
  <si>
    <t>Yvonne Bienne, Synod researcher</t>
  </si>
  <si>
    <t>A guide to various enchantments that can be bound to apparel.</t>
  </si>
  <si>
    <t>A guide to various enchantments that can be bound to weapons.</t>
  </si>
  <si>
    <t>Aldetuile</t>
  </si>
  <si>
    <t>A brief treatise on the few felines that can be found in Skyrim</t>
  </si>
  <si>
    <t>Zylmoc Golge</t>
  </si>
  <si>
    <t>The folly of a double-crosser</t>
  </si>
  <si>
    <t>Story of how Boethiah refuted Trinimac</t>
  </si>
  <si>
    <t>Charwich</t>
  </si>
  <si>
    <t>A series of letters between Charwich and his friend Koniinge written during their search for Azura's Star.</t>
  </si>
  <si>
    <t>Letters between Charwich and Koniinge about their search for Azura's Star.</t>
  </si>
  <si>
    <t>Syrix Goinithi</t>
  </si>
  <si>
    <t>Koniinge</t>
  </si>
  <si>
    <t>Nils</t>
  </si>
  <si>
    <t>A recipe for a pie from chaurus meat</t>
  </si>
  <si>
    <t>Livillus Perus, Professor at the Imperial University</t>
  </si>
  <si>
    <t>Interview with Cherim, a master tapestry weaver</t>
  </si>
  <si>
    <t>Skill Book - Smithing</t>
  </si>
  <si>
    <t>Tharstan of Solitude</t>
  </si>
  <si>
    <t>An outsider's accounting of the Skaal</t>
  </si>
  <si>
    <t>A description of the Nords and the Thu'um</t>
  </si>
  <si>
    <t>Book 6 of a series of fictional stories about the Dwemer</t>
  </si>
  <si>
    <t>70/20</t>
  </si>
  <si>
    <t>An Anonymous Altmer</t>
  </si>
  <si>
    <t>A historical chronicle of events in the Dwemer Freehold Colony of Nchuleft</t>
  </si>
  <si>
    <t>The personal chronicle of a Dark Brotherhood assassin</t>
  </si>
  <si>
    <t>An Anonymous Alessian Scribe</t>
  </si>
  <si>
    <t>Fragmented script from a member of the Alessian Order</t>
  </si>
  <si>
    <t>Tilse Sendas</t>
  </si>
  <si>
    <t>A narrative of a cured skooma addict</t>
  </si>
  <si>
    <t>The Fur Trader</t>
  </si>
  <si>
    <t>A Khajiit's memoir of the black market fur trade</t>
  </si>
  <si>
    <t>An Unknown Bandit Cook</t>
  </si>
  <si>
    <t>The journal of a cook that took the phrase dog-eat-dog world a little too literally.</t>
  </si>
  <si>
    <t>A description of various Daedra</t>
  </si>
  <si>
    <t>Sathyr Longleat</t>
  </si>
  <si>
    <t>The history of Bravil and its famous statue of the Lucky Old Lady</t>
  </si>
  <si>
    <t>Daynas Valen</t>
  </si>
  <si>
    <t>Details Valen's efforts to hunt down the Gauldur Legend</t>
  </si>
  <si>
    <t>A summary of research of the Gauldur Legend</t>
  </si>
  <si>
    <t>Note</t>
  </si>
  <si>
    <t>Vorian Direnni</t>
  </si>
  <si>
    <t>Tales about a creator of Alchemy Science</t>
  </si>
  <si>
    <t>Anonymous (with notes by Geocrates Varnus)</t>
  </si>
  <si>
    <t>Poetic recounting of the death of Dagoth Thras</t>
  </si>
  <si>
    <t>A tale of an Argonian's unfortunate venture into a Draugr crypt</t>
  </si>
  <si>
    <t>A Pirate's Tale</t>
  </si>
  <si>
    <t>The Jarls of Skyrim</t>
  </si>
  <si>
    <t>About recognizing a place of historic value</t>
  </si>
  <si>
    <t>Faire Agarwen</t>
  </si>
  <si>
    <t>Translated from Falmer Text by Calcelmo of Markarth</t>
  </si>
  <si>
    <t>Moric Sidrey</t>
  </si>
  <si>
    <t>Part one of a journal describing the excavation of Ruunvald</t>
  </si>
  <si>
    <t>Part two of a journal describing the excavation of Ruunvald</t>
  </si>
  <si>
    <t>Part three of a journal describing the excavation of Ruunvald</t>
  </si>
  <si>
    <t>Part four of a journal describing the excavation of Ruunvald</t>
  </si>
  <si>
    <t>Hela Thrice-Versed</t>
  </si>
  <si>
    <t>A lengthy thesis on the ancient language of the dragons</t>
  </si>
  <si>
    <t>Athal Sarys</t>
  </si>
  <si>
    <t>A proclamation of Dunmer supremacy in eastern Skyrim</t>
  </si>
  <si>
    <t>Calcelmo, Scholar of Markarth</t>
  </si>
  <si>
    <t>Calcelmo's three-part series into the various facets of the Dwemer. The first part looks at architecture and design.</t>
  </si>
  <si>
    <t>The second part looks at weapons, armor and machines.</t>
  </si>
  <si>
    <t>The third part looks at culture and history.</t>
  </si>
  <si>
    <t>Hasphat Antabolis</t>
  </si>
  <si>
    <t>A scholar's review of the Dwemer essays written by Marobar Sul</t>
  </si>
  <si>
    <t>Thelwe Ghelein</t>
  </si>
  <si>
    <t>The first book in a three part study by Thelwe Ghelein investigating Dwemer architecture and civilization.</t>
  </si>
  <si>
    <t>The second book in a three part study by Thelwe Ghelein investigating Dwemer architecture and civilization.</t>
  </si>
  <si>
    <t>The third book in a three-part study by Thelwe Ghelein investigating Dwemer architecture and civilization.</t>
  </si>
  <si>
    <t>Justinius Poluhnius</t>
  </si>
  <si>
    <t>A thesis on the four different types of readers of the Elder Scrolls</t>
  </si>
  <si>
    <t>Eisa Blackthorn</t>
  </si>
  <si>
    <t>The journal of a bandit</t>
  </si>
  <si>
    <t>A guide for novices in enchanting issued by the College of Winterhold</t>
  </si>
  <si>
    <t>Endrast</t>
  </si>
  <si>
    <t>A journal detailing Endrast's escape from Falmer in Alftand.</t>
  </si>
  <si>
    <t>Erj</t>
  </si>
  <si>
    <t>Notes revealing an expedition team's member selfish intents.</t>
  </si>
  <si>
    <t>Sulla Trebatius</t>
  </si>
  <si>
    <t>A basic run-down of the Alftand Expedition Camp and its occupants.</t>
  </si>
  <si>
    <t>Journal of a Skaal Eydis who tried to find the "Vision of Mzund" artifact in Fahlbtharz.</t>
  </si>
  <si>
    <t>An Anonymous Refugee</t>
  </si>
  <si>
    <t>The diary of a refugee from Morrowind who never found safety.</t>
  </si>
  <si>
    <t>Nithilis Lidari</t>
  </si>
  <si>
    <t>Theories on the weakening of the Skyrim Thieves Guild</t>
  </si>
  <si>
    <t>Lokheim</t>
  </si>
  <si>
    <t>An account of the Battle of the Moesring as transcribed by Lokheim, chronicler to the chieftain Ingjaldr White-Eye</t>
  </si>
  <si>
    <t>Florin Jaliil</t>
  </si>
  <si>
    <t>Translation of the fragmented journal of Topal the Pilot</t>
  </si>
  <si>
    <t>Skill Book - Archery</t>
  </si>
  <si>
    <t>The first book of a three part tale of a great sage and his lessons for his two students, Taksim and Vonguldak.</t>
  </si>
  <si>
    <t>The second book of a three part tale of a great sage and his lessons for his two students, Taksim and Vonguldak.</t>
  </si>
  <si>
    <t>The third book of a three part tale of a great sage and his lessons for his two students, Taksim and Vonguldak.</t>
  </si>
  <si>
    <t>Aegrothius Goth</t>
  </si>
  <si>
    <t>Two apprentices are separated</t>
  </si>
  <si>
    <t>Ynir Gorming</t>
  </si>
  <si>
    <t>The history of the Morag Tong assassin guild</t>
  </si>
  <si>
    <t>Advard</t>
  </si>
  <si>
    <t>A fisherman complains about his friend's chpice of fishing location, noting his friend's boat is taking on water. They are both found dead.</t>
  </si>
  <si>
    <t>A fisherman writes about superstitions surrounding Lake Ilinalta</t>
  </si>
  <si>
    <t>A summary of five epic songs of King Wulfharth, plus an apocryphal song of the Tribunal, Dagoth-Ur, and Indoril Nerevar</t>
  </si>
  <si>
    <t>Hadrik Oaken-Heart</t>
  </si>
  <si>
    <t>A written epitaph of a Nordic skald</t>
  </si>
  <si>
    <t>Adolphus Eritius</t>
  </si>
  <si>
    <t>Poorly-written notes on smithing by a Nordic blacksmith in the late Second Era</t>
  </si>
  <si>
    <t>Taurce il-Anselma</t>
  </si>
  <si>
    <t>A work explaining some of the history of the Psijic island of Artaeum</t>
  </si>
  <si>
    <t>20/5</t>
  </si>
  <si>
    <t>University of Gwylim Press</t>
  </si>
  <si>
    <t>Details the presence of humans in Tamriel prior to the original Nordic conquests thought to bring humans to Tamriel</t>
  </si>
  <si>
    <t>Asgrim Kolsgreg</t>
  </si>
  <si>
    <t>A biography of Galerion, a Psijic who founded the Mages Guild</t>
  </si>
  <si>
    <t>Gallus Desidenius</t>
  </si>
  <si>
    <t>The secret encrypted journal of one of the Nightingales</t>
  </si>
  <si>
    <t>Author's tale of his encounter with the Falmer</t>
  </si>
  <si>
    <t>Alexandre Hetrard</t>
  </si>
  <si>
    <t>The "glories" of the Ayleid city Ceyatatar and "laments" over the collapse of the Ayleid civilization</t>
  </si>
  <si>
    <t>Brother Hetchfield</t>
  </si>
  <si>
    <t>Speculation concerning the worship of gods and their benefit from such</t>
  </si>
  <si>
    <t>Swyk the Long-Sighted</t>
  </si>
  <si>
    <t>Chronicle of some of the leaders of the Companions</t>
  </si>
  <si>
    <t>Wulfmare Shadow-Cloak</t>
  </si>
  <si>
    <t>A boastful thief discusses the tricks of the trade</t>
  </si>
  <si>
    <t>Habd</t>
  </si>
  <si>
    <t>A journal detailing Habd's purchase of the Frostflow Lighthouse and the events leading up the massacre of his family by Falmer</t>
  </si>
  <si>
    <t>Hajvarr Iron-Hand</t>
  </si>
  <si>
    <t>A journal relaying the White River bandit gang's problems</t>
  </si>
  <si>
    <t>Squabbling over the greatest warrior ever leads to a tale of heavy-armor-master Hlaalu Pasoroth</t>
  </si>
  <si>
    <t>Hamelyn</t>
  </si>
  <si>
    <t>A journal of a madman intent on raising an army of the undead</t>
  </si>
  <si>
    <t>A travel guide to the Hanging Gardens of Wasten Coridale, written in both Dwemeris and Aldmeris</t>
  </si>
  <si>
    <t>Captain Hargar</t>
  </si>
  <si>
    <t>Events leading up to the wreckage of the Icerunner.</t>
  </si>
  <si>
    <t>A brief guide to harvesting frostbite spider venom</t>
  </si>
  <si>
    <t>Sven Two-Hammers</t>
  </si>
  <si>
    <t>A guide to creating Heavy Armor</t>
  </si>
  <si>
    <t>Heddic Volunnar</t>
  </si>
  <si>
    <t>About accessing the tomb of Kvenel the Tongue</t>
  </si>
  <si>
    <t>Agneta Falia</t>
  </si>
  <si>
    <t>A description of alchemy ingredients found in Tamriel's northernmost province, Skyrim</t>
  </si>
  <si>
    <t>Herbane</t>
  </si>
  <si>
    <t>Herbane's account of his interactions with Dwemer automatons.</t>
  </si>
  <si>
    <t>Herbane's account of his interactions with Hagravens.</t>
  </si>
  <si>
    <t>Herbane's account of his interactions with Ice Wraiths.</t>
  </si>
  <si>
    <t>Lyrin Telleno</t>
  </si>
  <si>
    <t>Part one of a description of events surrounding Raven Rock.</t>
  </si>
  <si>
    <t>Part two of a description of events surrounding Raven Rock.</t>
  </si>
  <si>
    <t>Part three of a description of events surrounding Raven Rock.</t>
  </si>
  <si>
    <t>Slafknir the Scribe</t>
  </si>
  <si>
    <t>An ancient list of settlements within Whiterun Hold</t>
  </si>
  <si>
    <t>Heidmir Starkad</t>
  </si>
  <si>
    <t>The tale of a horker attack</t>
  </si>
  <si>
    <t>Baloth-Kul</t>
  </si>
  <si>
    <t>A One Act Play</t>
  </si>
  <si>
    <t>Hrodulf</t>
  </si>
  <si>
    <t>Journal of a settler slowly going insane due to Dwemer mechanisms.</t>
  </si>
  <si>
    <t>An Anonymous Hunter</t>
  </si>
  <si>
    <t>A hunter describes hunting for bears</t>
  </si>
  <si>
    <t>A hunter describes hunting beasts near strange ruins</t>
  </si>
  <si>
    <t>Pletius Spatec</t>
  </si>
  <si>
    <t>A tale of the manipulation of chitin armor</t>
  </si>
  <si>
    <t>Skill Book - Light Armor</t>
  </si>
  <si>
    <t>Ildari Sarothril</t>
  </si>
  <si>
    <t>Revenge plans of the former assistant to the master Telvanni wizard-lord Neloth.</t>
  </si>
  <si>
    <t>Dialogues about fighting with vampires</t>
  </si>
  <si>
    <t>Heseph Chirirnis</t>
  </si>
  <si>
    <t>A report from a Mages Guild Scholar assigned to Imperial Archaeologist Sentius Floronius</t>
  </si>
  <si>
    <t>Jonquilla Bothe</t>
  </si>
  <si>
    <t>A story about an illusionist</t>
  </si>
  <si>
    <t>Sigillah Parate</t>
  </si>
  <si>
    <t>A work written by the High Priestess of Azura arguing the superiority of Azura to other Daedra Princes</t>
  </si>
  <si>
    <t>J'zhar</t>
  </si>
  <si>
    <t>The journal of one of the Khajiti brothers on an ill-fated expedition</t>
  </si>
  <si>
    <t>Japhet</t>
  </si>
  <si>
    <t>The journal of a man who became consumed by his obsession</t>
  </si>
  <si>
    <t>Song involving men and women's parts</t>
  </si>
  <si>
    <t>Kornalus</t>
  </si>
  <si>
    <t>About experiments for infusing elemental energy into Frostbite Spiders.</t>
  </si>
  <si>
    <t>Meeko's Former Companion</t>
  </si>
  <si>
    <t>A dying man's last thoughts</t>
  </si>
  <si>
    <t>An Anonymous Captive</t>
  </si>
  <si>
    <t>About a woman's fatal trip to her favorite swimming hole</t>
  </si>
  <si>
    <t>Drokt</t>
  </si>
  <si>
    <t>The journal of a man who became obsessed with the Oculory</t>
  </si>
  <si>
    <t>Mirtil Angoth</t>
  </si>
  <si>
    <t>Karan</t>
  </si>
  <si>
    <t>About a girl's ill-fated plan to elope with her Dunmer lover.</t>
  </si>
  <si>
    <t>Katria</t>
  </si>
  <si>
    <t>The journal of a woman trying to find The Aetherium Forge, an ancient Dwemer forge</t>
  </si>
  <si>
    <t>Eduardo Corvus</t>
  </si>
  <si>
    <t>Tips on effective combat methods</t>
  </si>
  <si>
    <t>The final chapter in the adventures of Eslaf Erol</t>
  </si>
  <si>
    <t>The last writings of a Harbinger of the Companions</t>
  </si>
  <si>
    <t>A story of a quest to slay a dragon where the reader makes the choices and decides the hero's fate</t>
  </si>
  <si>
    <t>Krag</t>
  </si>
  <si>
    <t>Notes on an expedition team's progress into Nchuand-Zel.</t>
  </si>
  <si>
    <t>Kyr</t>
  </si>
  <si>
    <t>The log of an attempt to turn a crypt into a bandit lair</t>
  </si>
  <si>
    <t>Herminia Cinna</t>
  </si>
  <si>
    <t>Story of a slaver's daughter and her Khajiit lover</t>
  </si>
  <si>
    <t>Tabar Vunqidh</t>
  </si>
  <si>
    <t>A play about the ghostly Krately family and how they died</t>
  </si>
  <si>
    <t>Rufus Hayn</t>
  </si>
  <si>
    <t>A short biography of Uriel Septim VII's accomplishments</t>
  </si>
  <si>
    <t>Revus Sarvani</t>
  </si>
  <si>
    <t>A book detailing various aspects of forging the various types of light armor</t>
  </si>
  <si>
    <t>Camilonwe of Alinor</t>
  </si>
  <si>
    <t>A Discourse On The Theory and Praxis of Traveling Between Mundus and Oblivion</t>
  </si>
  <si>
    <t>Tribunal Temple</t>
  </si>
  <si>
    <t>Listing and describing prominent saints of the Dunmer</t>
  </si>
  <si>
    <t>Talsgar the Elder, Archivist of Winterhold</t>
  </si>
  <si>
    <t>A collection of less well-known folk tales from Skyrim's past</t>
  </si>
  <si>
    <t>Lu'ah Al-Skaven</t>
  </si>
  <si>
    <t>The journal of a woman trying to raise her husband from the dead through the body of Holgeir</t>
  </si>
  <si>
    <t>Lentulus Inventius</t>
  </si>
  <si>
    <t>A recounting of the unwillingness of Skyrim's inhabitants to share stories of Lycanthropy</t>
  </si>
  <si>
    <t>A warrior's instruction pamphlet on proper mace tactics</t>
  </si>
  <si>
    <t>Irlav Jarol</t>
  </si>
  <si>
    <t>Treatise concerning Ayleid Wells, Welkynd Stones, and Varla Stones</t>
  </si>
  <si>
    <t>Maluril Ferano</t>
  </si>
  <si>
    <t>a Dunmer scholar studying the Dwemer culture who became a target of a Dark Brotherhood contract</t>
  </si>
  <si>
    <t>Malyn Varen, Master Enchanter</t>
  </si>
  <si>
    <t>A proud mage boasts of altering a Daedric artifact</t>
  </si>
  <si>
    <t>Horicles</t>
  </si>
  <si>
    <t>Biography of Mannimarco, the leader of Necromancers, in verse</t>
  </si>
  <si>
    <t>Margret</t>
  </si>
  <si>
    <t>An Imperial Legion spy's journal detailing a mission to acquire the Cidhna Mine</t>
  </si>
  <si>
    <t>Details on accessory packages available for a Markarth home</t>
  </si>
  <si>
    <t>Medresi Dran</t>
  </si>
  <si>
    <t>The Journal of Medresi Dran</t>
  </si>
  <si>
    <t>An Anonymous Merchant's Wife</t>
  </si>
  <si>
    <t>A merchant's wife commits to going with him as he travels dangerous trade routes</t>
  </si>
  <si>
    <t>Merilar Rendas</t>
  </si>
  <si>
    <t>Journal of a crazy Dunmer woman Merilar Rendas who, together with her brother, conducted experiments on albino spiders.</t>
  </si>
  <si>
    <t>A Scholar of Winterhold College</t>
  </si>
  <si>
    <t>A report on the fate of missing students in the Midden who were all found with similar injuries</t>
  </si>
  <si>
    <t>Hadrir</t>
  </si>
  <si>
    <t>A miner writes about the disappearance of his friend during their attempt to work a badly damaged mine</t>
  </si>
  <si>
    <t>Religious text praising a conjurer who has charmed people into worshipping her</t>
  </si>
  <si>
    <t>Codus Callonus</t>
  </si>
  <si>
    <t>A book about the strategies of the Khajiit during the Five Years War</t>
  </si>
  <si>
    <t>Information about the continent Akavir</t>
  </si>
  <si>
    <t>Mera Llykith</t>
  </si>
  <si>
    <t>Part four of the story of Princess Talara.</t>
  </si>
  <si>
    <t>Part one in a series of books about a fictional Breton princess.</t>
  </si>
  <si>
    <t>Part two of the story of Princess Talara.</t>
  </si>
  <si>
    <t>Part three of the story of Princess Talara.</t>
  </si>
  <si>
    <t>Part five of the story of Princess Talara.</t>
  </si>
  <si>
    <t>Mankar Camoran</t>
  </si>
  <si>
    <t>First in a four part guide for new members of the Mythic Dawn.</t>
  </si>
  <si>
    <t>Second in a four part guide for new members of the Mythic Dawn.</t>
  </si>
  <si>
    <t>Third in a four part guide for new members of the Mythic Dawn.</t>
  </si>
  <si>
    <t>Last book in a four part guide for new members of the Mythic Dawn.</t>
  </si>
  <si>
    <t>Mymophonus</t>
  </si>
  <si>
    <t>Magical myths about the Madgod himself</t>
  </si>
  <si>
    <t>N'Gasta</t>
  </si>
  <si>
    <t>An obscure text written in the language of the Sload by a necromancer</t>
  </si>
  <si>
    <t>Nchunak</t>
  </si>
  <si>
    <t>Nchunak's journey among the Dwemer and his attempts to understand the teachings of Kagrenac</t>
  </si>
  <si>
    <t>Nepos the Nose</t>
  </si>
  <si>
    <t>The regretful musings of an elderly Forsworn agent</t>
  </si>
  <si>
    <t>A scholarly description of the events surrounding the Battle at Red Mountain and its aftermath</t>
  </si>
  <si>
    <t>An Imperial Scholar</t>
  </si>
  <si>
    <t xml:space="preserve">An Imperial scholarly work on the legend of Indoril Nerevar
</t>
  </si>
  <si>
    <t>Boali</t>
  </si>
  <si>
    <t>How a knight weeds out an enemy of the king</t>
  </si>
  <si>
    <t>Wilimina Roth</t>
  </si>
  <si>
    <t>Dissertation discussing whether a mysterious group of thieves actually exists</t>
  </si>
  <si>
    <t>Stormcloak's recruitment essay calling for rebellion against the Empire</t>
  </si>
  <si>
    <t>Hrothmund Wolf-Heart</t>
  </si>
  <si>
    <t>An essay professing the finer qualities of Nords</t>
  </si>
  <si>
    <t>Adalvald</t>
  </si>
  <si>
    <t>Journal written by a member of the Vigilants of Stendarr as he searches Dimhollow Crypt for vampires.</t>
  </si>
  <si>
    <t>Observations about Lunar weapons</t>
  </si>
  <si>
    <t>An Anonymous Dead Scholar</t>
  </si>
  <si>
    <t>A scholar's transcription of ancient Nord writings in a Skyrim barrow</t>
  </si>
  <si>
    <t>Nystrom</t>
  </si>
  <si>
    <t>A bandit's journal on attempting to con their way into the Twilight Sepulcher</t>
  </si>
  <si>
    <t>A poem dedicated to giants</t>
  </si>
  <si>
    <t>Dwennon Wyndell</t>
  </si>
  <si>
    <t>The story of Riften's fall from grace</t>
  </si>
  <si>
    <t>A tale of two star-crossed lovers in Skyrim</t>
  </si>
  <si>
    <t>Xarxes</t>
  </si>
  <si>
    <t>An ancient text containing the knowledge of Hermaeus Mora</t>
  </si>
  <si>
    <t>Book/Artifact</t>
  </si>
  <si>
    <t>A historian ponders the legend of Olaf One-Eye and Numinex</t>
  </si>
  <si>
    <t>A poetic hint on how to open a hidden door</t>
  </si>
  <si>
    <t>Morian Zenas</t>
  </si>
  <si>
    <t>A guide to Oblivion and the Daedra</t>
  </si>
  <si>
    <t>Sigilis Justus</t>
  </si>
  <si>
    <t>A warning on what to expect in the ruins of Skyrim</t>
  </si>
  <si>
    <t>Arch-Mage Deneth</t>
  </si>
  <si>
    <t>A letter from the Arch-Mage of the College of Winterhold to the Jarl following the Great Collapse</t>
  </si>
  <si>
    <t>Mabei Aywenil, Scribe</t>
  </si>
  <si>
    <t>A brief account of Lamae Bal and the Restless Death</t>
  </si>
  <si>
    <t>Menyna Gsost</t>
  </si>
  <si>
    <t>The story of how Gortwog won the land to the north of Wayrest</t>
  </si>
  <si>
    <t>Vojne Mierstyyd</t>
  </si>
  <si>
    <t>Part one of the tale of an infatuated and mistaken magician.</t>
  </si>
  <si>
    <t>Part two of the tale of an infatuated and mistaken magician.</t>
  </si>
  <si>
    <t>The Order of the Ancestor Moth</t>
  </si>
  <si>
    <t>A Temple novice's initiatory pamphlet on the Cult of the Ancestor Moth</t>
  </si>
  <si>
    <t>Reman Crex</t>
  </si>
  <si>
    <t>A morbid anatomical study of werewolves on live subjects</t>
  </si>
  <si>
    <t>An ode to the Pirate King</t>
  </si>
  <si>
    <t>Five verses required for learning the Destructional Ritual Spell</t>
  </si>
  <si>
    <t>Written as a manual for lock designers, unintentionally helpful to thieves</t>
  </si>
  <si>
    <t>A chill tale recounting the theft of Nocturnal's cowl</t>
  </si>
  <si>
    <t>The Council of Healers, Imperial University</t>
  </si>
  <si>
    <t>About the similarities and differences between the races of Tamriel</t>
  </si>
  <si>
    <t>Raleth Eldri</t>
  </si>
  <si>
    <t>Journal of Dunmer Raleth Eldrie, who went to study the Dwemer ruins of Kagrumez, but did not cope with a gang of bandits.</t>
  </si>
  <si>
    <t>Ramati</t>
  </si>
  <si>
    <t>A journal detailing a Redguard family's purchase of the Frostflow Lighthouse leading up to their massacre by Falmer</t>
  </si>
  <si>
    <t>Summary of the basic principles of Alteration magic</t>
  </si>
  <si>
    <t>The Forsworn</t>
  </si>
  <si>
    <t>A rite to raise the legendary Red Eagle from death</t>
  </si>
  <si>
    <t>Fragmented, mythical recounting of the conception of Reman and the return of the Chim-el Adabal with the people of Tamriel</t>
  </si>
  <si>
    <t>Lord Pottreid, Chairman</t>
  </si>
  <si>
    <t>An Imperial-scripted dispatch concerning Uriel V's invasion of Akavir</t>
  </si>
  <si>
    <t>First Adjunct Oronrel</t>
  </si>
  <si>
    <t>A letter to a member of the Binder's Conclave chastising them for their lack of progress on focusing the Oculory</t>
  </si>
  <si>
    <t>Research notes on the discovery of Dwarven Spider Automatons.</t>
  </si>
  <si>
    <t>Malviser, Battlemage</t>
  </si>
  <si>
    <t>Commentaries of "Bero's Speech to the Battlemages" book</t>
  </si>
  <si>
    <t>Details on accessory packages available for a Riften home</t>
  </si>
  <si>
    <t>Lathenil of Sunhold</t>
  </si>
  <si>
    <t>Account of Lathenil, an Altmer refugee from Summerset Isle who came to Cyrodiil in the early years of the Fourth Era.</t>
  </si>
  <si>
    <t>Part two of the story of the Altmer refugee.</t>
  </si>
  <si>
    <t>Part three of the story of the Altmer refugee.</t>
  </si>
  <si>
    <t>Part four of the story of the Altmer refugee.</t>
  </si>
  <si>
    <t>Sinjin</t>
  </si>
  <si>
    <t>Heroic tales of Rislav Larich, ancient King of Skingrad</t>
  </si>
  <si>
    <t>An Anonymous Traveler</t>
  </si>
  <si>
    <t>Travel log of an ill-fated group's accidental foray into Falmer territory.</t>
  </si>
  <si>
    <t>Rolard Nordssen</t>
  </si>
  <si>
    <t>An archaeologist's adventure through ancient Dwemer ruins</t>
  </si>
  <si>
    <t>A philosophical view on the role of the Elder Scrolls</t>
  </si>
  <si>
    <t>Enric Milnes</t>
  </si>
  <si>
    <t>Account of Enric's meeting with the Night Mother and career as an assassin</t>
  </si>
  <si>
    <t>Saden</t>
  </si>
  <si>
    <t>Sailor's journal about the incident on the Horker Island.</t>
  </si>
  <si>
    <t>Jiub</t>
  </si>
  <si>
    <t>Saint Jiub the Eradicator of the Winged Menace recounts his rise to glory</t>
  </si>
  <si>
    <t>Frilgeth Horse-Breaker</t>
  </si>
  <si>
    <t>A complaint on the presence and behavior of the growing Dunmer population of Skyrim</t>
  </si>
  <si>
    <t>Servos Rendas</t>
  </si>
  <si>
    <t>Journal of a dead Dunmer named Servos Rendas, who, together with his sister, conducted experiments on albino spiders.</t>
  </si>
  <si>
    <t>Delvin Mallory</t>
  </si>
  <si>
    <t>A list of symbols members of the Thieves Guild leave behind for each other.</t>
  </si>
  <si>
    <t>Faustillus Junius, Subcurator of Ancient Theology and Paleonumerology</t>
  </si>
  <si>
    <t>The relationship between the god Shezarr and the other Cyrodilic deities</t>
  </si>
  <si>
    <t>Jeanette Sitte</t>
  </si>
  <si>
    <t>Some excerpts from the book's introduction and its section on Vvardenfell</t>
  </si>
  <si>
    <t>Sild the Warlock</t>
  </si>
  <si>
    <t>Journal entries on how a warlock captures live test subjects with a pit fall trap.</t>
  </si>
  <si>
    <t>Sinderion</t>
  </si>
  <si>
    <t>A detailed account of an alchemist's obsession with Nirnroot</t>
  </si>
  <si>
    <t>Text detailing an apparent connection between Sithis and Lorkhan</t>
  </si>
  <si>
    <t>Skorm Snow-Strider</t>
  </si>
  <si>
    <t>The journal of a First Era Nordic commander and his encounter with the Dragon Cult</t>
  </si>
  <si>
    <t>Abdul-Mujib Ababneh</t>
  </si>
  <si>
    <t>A Redguard explains Skyrim's political system</t>
  </si>
  <si>
    <t>An Anonymous Smuggler</t>
  </si>
  <si>
    <t>A smuggler just discovered he has been smuggling bodies</t>
  </si>
  <si>
    <t>Details on accessory packages available for a Solitude home</t>
  </si>
  <si>
    <t>The epic narrative of Hrormir, one-time champion of Nocturnal</t>
  </si>
  <si>
    <t>Book 5 of an incomplete series of fictional stories about the Dwemer</t>
  </si>
  <si>
    <t>A traditional Nordic poem about a ghost stalking those that killed him</t>
  </si>
  <si>
    <t>Giraud Gemaine</t>
  </si>
  <si>
    <t>Collection of songs from Skyrim including Ragnar the Red, The Dragonborn Comes and The Age of Oppression.</t>
  </si>
  <si>
    <t>A revised collection of songs from Skyrim, including Tale of the Tongues.</t>
  </si>
  <si>
    <t>The story describing the founding and building of Windhelm.</t>
  </si>
  <si>
    <t>The story of Yngol and Ylgar's journey to Skyrim.</t>
  </si>
  <si>
    <t>Tales of certain crews from the Five Hundred Companions who explored other provinces in Tamriel.</t>
  </si>
  <si>
    <t>The crews were slowly informed of Ysgramor's passing, and so ended the period of the Return.</t>
  </si>
  <si>
    <t>Various tales of Ysgramor and his Five Hundred Companions' settlement of Skyrim.</t>
  </si>
  <si>
    <t>Anonymous Scholar</t>
  </si>
  <si>
    <t>Basics on black and white soul gems.</t>
  </si>
  <si>
    <t>Bereditte Jastal</t>
  </si>
  <si>
    <t>Speculative article on how to reach the Nordish afterlife Sovngarde.</t>
  </si>
  <si>
    <t>Dead Dunmer Servos Rendas's notes on research on albino spiders.</t>
  </si>
  <si>
    <t>Short text on differing cultural views of Lorkhan.</t>
  </si>
  <si>
    <t>Informative view into the nature of the Daedra.</t>
  </si>
  <si>
    <t>Staubin</t>
  </si>
  <si>
    <t>An account of an expedition into Nchuand-Zel.</t>
  </si>
  <si>
    <t>Stromm</t>
  </si>
  <si>
    <t>Research notes on an expedition into Nchuzand-Zel</t>
  </si>
  <si>
    <t>Sudi</t>
  </si>
  <si>
    <t>A journal detailing the moments from Sudi moving into Frostflow Lighthouse until her family's massacre by Falmer</t>
  </si>
  <si>
    <t>A journal describing an ill fated excavation of Alftand</t>
  </si>
  <si>
    <t>Aniis Noru</t>
  </si>
  <si>
    <t>Two thieves planned robbery of a secluded castle doesn't go to plan when they are forced to become guests for dinner.</t>
  </si>
  <si>
    <t>An Anonymous Miner</t>
  </si>
  <si>
    <t>A miner has been working in a dangerously unstable mine</t>
  </si>
  <si>
    <t>A journal detailing a fight with the "white elves" in Tolvald's Cave</t>
  </si>
  <si>
    <t>The Thalmor</t>
  </si>
  <si>
    <t>Thalmor Dossier on the Blades agent Delphine</t>
  </si>
  <si>
    <t>Note - Faction</t>
  </si>
  <si>
    <t>Thalmor Dossier on the Blades Loremaster Esbern</t>
  </si>
  <si>
    <t>Thalmor Dossier on the Stormcloaks leader and Jarl of Windhelm Ulfric Stormcloak.</t>
  </si>
  <si>
    <t>Arrianus Arius, Imperial Scholar</t>
  </si>
  <si>
    <t>A defense of the Forsworn</t>
  </si>
  <si>
    <t>Morihaus</t>
  </si>
  <si>
    <t>The memoirs of Morihaus, consort to Alessia and Taker of the Citadel</t>
  </si>
  <si>
    <t>Taron Dreth</t>
  </si>
  <si>
    <t>A treatise on the collapse of Dwemer city-states in Skyrim</t>
  </si>
  <si>
    <t>Alexandre Simon, High Priest of the Akatosh Chantry, Wayrest</t>
  </si>
  <si>
    <t>A priest's deductions on the relation between Akatosh and Alduin</t>
  </si>
  <si>
    <t>Wenengrus Monhona</t>
  </si>
  <si>
    <t>Chronicles the creation of the Amulet of Kings</t>
  </si>
  <si>
    <t>Overview of the members of and the relationship between the Tribunal and the Daedra</t>
  </si>
  <si>
    <t>Aramril</t>
  </si>
  <si>
    <t>Advice from Valenwood's most prestigious spellcaster</t>
  </si>
  <si>
    <t>The Underking, Ysmir Kingmaker</t>
  </si>
  <si>
    <t>A brief, undated, early historical document covering the Underking and Tiber Septim</t>
  </si>
  <si>
    <t>A competition between two skilled armorsmiths</t>
  </si>
  <si>
    <t>Zurin Arctus, with Commentary By Other Learned Masters</t>
  </si>
  <si>
    <t>Mastering the art of winning</t>
  </si>
  <si>
    <t>A surprising way to become proficient with an axe</t>
  </si>
  <si>
    <t>An account of Ulfric Stormcloak's short-lived independent reign over the Reach</t>
  </si>
  <si>
    <t>A guide to building and furnishing a house on your purchased plot of land</t>
  </si>
  <si>
    <t>Engwe Emeloth</t>
  </si>
  <si>
    <t>Gorgic Guine</t>
  </si>
  <si>
    <t>Part one of a tale by Gorgic Guine, footman who became a bard, detailing some of his experiences before and during his time as a servant of the Duchess of Woda.</t>
  </si>
  <si>
    <t>Part two of a tale by Gorgic Guine, footman who became a bard, detailing some of his experiences during and after his time as a servant of the Duchess of Woda.</t>
  </si>
  <si>
    <t>Hannibal Traven, Archmagister of the Mages Guild</t>
  </si>
  <si>
    <t>Hannibal Traven's arguments for and against the study of necromancy in the Mages' Guild.</t>
  </si>
  <si>
    <t>A description of the different Daedra that rule the planes of Oblivion.</t>
  </si>
  <si>
    <t>Member of the Arcane University</t>
  </si>
  <si>
    <t>A book with empty pages, pages that are said to contain the reader's fate.</t>
  </si>
  <si>
    <t>Obscure writings about the undead inhabitants of the Soul Cairn.</t>
  </si>
  <si>
    <t>Prior Emelene Madrine</t>
  </si>
  <si>
    <t>A book describing the Dragonborn in history as well as an analysis of the Prophecy of the Dragonborn.</t>
  </si>
  <si>
    <t>Adabael Timsar-Dadisun</t>
  </si>
  <si>
    <t>A book encouraging haggling, and giving guidelines on how the activity is practiced in Elsweyr.</t>
  </si>
  <si>
    <t>As Told By Mogen Son of Molag</t>
  </si>
  <si>
    <t>A poorly written tale of a soldier's haunting experiences in his travels through a forest.</t>
  </si>
  <si>
    <t>Athyn Muendil</t>
  </si>
  <si>
    <t>Tale of Aelle Chriditte, a Breton Alchemist who outwits a Dunmer and his friends, and absconds with a diamond.</t>
  </si>
  <si>
    <t>Amanda Alleia</t>
  </si>
  <si>
    <t>A mercenary's guide to the city of Markarth.</t>
  </si>
  <si>
    <t>A book about the Orsimer race.</t>
  </si>
  <si>
    <t>Seif-ij Hidja</t>
  </si>
  <si>
    <t>A book describing the travels of Morian Zenas through the different realms of Oblivion, written by his apprentice, Seif-ij Hidja.</t>
  </si>
  <si>
    <t>Mantra of the Dunmer spirits</t>
  </si>
  <si>
    <t>Book 10 of a series of fictional stories about the Dwemer</t>
  </si>
  <si>
    <t>Fal Droon</t>
  </si>
  <si>
    <t>Explanation of a historical error of timing</t>
  </si>
  <si>
    <t>Torhal Bjorik</t>
  </si>
  <si>
    <t>A religious text describing the primordial war between men and dragons</t>
  </si>
  <si>
    <t>The Mysterious Alchemists of Vaermina</t>
  </si>
  <si>
    <t>A description of the nature and effect of Vaermina's Torpor</t>
  </si>
  <si>
    <t>The tale of a parent's desperate bid to save their only child</t>
  </si>
  <si>
    <t>Ursa Uthrax</t>
  </si>
  <si>
    <t>A study on Falmer, recounting their war with the Dwemer</t>
  </si>
  <si>
    <t>Ffoulke</t>
  </si>
  <si>
    <t>A book of constellations and their meanings</t>
  </si>
  <si>
    <t>Maveus Cie</t>
  </si>
  <si>
    <t>The story of how Hlaalu Helseth's sister kept the Summerset Isle city of Firsthold</t>
  </si>
  <si>
    <t>Zershishi Mus-Manul</t>
  </si>
  <si>
    <t>Ashlander poetry</t>
  </si>
  <si>
    <t>A logic puzzle holding the secret to opening a barred gate.</t>
  </si>
  <si>
    <t>Ampyrian Brum</t>
  </si>
  <si>
    <t>A man tutors his old friend in marksmanship</t>
  </si>
  <si>
    <t>Legate Justianus Quintius</t>
  </si>
  <si>
    <t>A soldier's summation of the major events before and during the Great War</t>
  </si>
  <si>
    <t>Lucius Gallus</t>
  </si>
  <si>
    <t>A Skaal legend, describing a Dragon Priest's corruption by Herma-Mora</t>
  </si>
  <si>
    <t>The Empire</t>
  </si>
  <si>
    <t>The official guide of the Imperial Legion to Skyrim and its holds</t>
  </si>
  <si>
    <t>Turiul Nirith</t>
  </si>
  <si>
    <t>A tale of a child blessed by a prophecy and the interpretation thereof</t>
  </si>
  <si>
    <t>Chronicle of the Daedra who decided not to submit to the Tribunal</t>
  </si>
  <si>
    <t>Book 3 of an incomplete series of fictional stories about the Dwemer</t>
  </si>
  <si>
    <t>Part 1 of the archaeologist's misadventures.</t>
  </si>
  <si>
    <t>Part 2 of the archaeologist's misadventures.</t>
  </si>
  <si>
    <t>Part 3 of the archaeologist's misadventures.</t>
  </si>
  <si>
    <t>Part 4 of the archaeologist's misadventures.</t>
  </si>
  <si>
    <t>Part 5 of the archaeologist's misadventures.</t>
  </si>
  <si>
    <t>An account of the separation and division of Mehrunes' Razor into three pieces.</t>
  </si>
  <si>
    <t>Karoline of Solitude</t>
  </si>
  <si>
    <t>The founding and breakup of the original Knights of the Nine</t>
  </si>
  <si>
    <t>Chronicles the downfall of the Ayleid Empire in the First Era</t>
  </si>
  <si>
    <t>Tredayn Dren</t>
  </si>
  <si>
    <t>A short biography of Red Eagle, including his uprising in the Reach.</t>
  </si>
  <si>
    <t>Matera Chapel</t>
  </si>
  <si>
    <t>Details historical events that occurred at Sancre Tor.</t>
  </si>
  <si>
    <t>Tells of the legend surrounding Scourge, a mace blessed by Malacath and used to battle against the Daedric Lords.</t>
  </si>
  <si>
    <t>Porbert Lyttumly</t>
  </si>
  <si>
    <t>A tale about a girl, an infuriated mentor, a room with no windows or anything except a steel door and a crate, and a vampire stored in the crate.</t>
  </si>
  <si>
    <t>An outline of the creation-myth which theorises that the two moons of Nirn are remnants of Lorkhan's body.</t>
  </si>
  <si>
    <t>Crassius Curio</t>
  </si>
  <si>
    <t>A sexually-themed play featuring a wealthy man and a beautiful Argonian maid.</t>
  </si>
  <si>
    <t>Another scene from the play, but with different sexual themes.</t>
  </si>
  <si>
    <t>Tsathenes</t>
  </si>
  <si>
    <t>A biography of Pelagius Septim III and also a story of his madness.</t>
  </si>
  <si>
    <t>Alla Llaleth</t>
  </si>
  <si>
    <t>A story about a slaver whose son was taught archery by his Bosmer slave.</t>
  </si>
  <si>
    <t>Berdier Wreans</t>
  </si>
  <si>
    <t>About a skilled fighter's showdown with his greatest enemy</t>
  </si>
  <si>
    <t>A theological book containing the common creation myths</t>
  </si>
  <si>
    <t>Gaston Bellefort</t>
  </si>
  <si>
    <t>A book about the Night Mother's true identity.</t>
  </si>
  <si>
    <t>Description of the Nightingales and their role.</t>
  </si>
  <si>
    <t>Description of the Nightingales' history.</t>
  </si>
  <si>
    <t>A description of the enigmatic plant called Nirnroot</t>
  </si>
  <si>
    <t>Praxis Sarcorum, Imperial Historian</t>
  </si>
  <si>
    <t>A summary of the events stemming from the assassination of Emperor Uriel Septim VII</t>
  </si>
  <si>
    <t>Celarus the Loremaster</t>
  </si>
  <si>
    <t>A guide to the Psijic Order and their beliefs</t>
  </si>
  <si>
    <t>Tyston Bane</t>
  </si>
  <si>
    <t>Discusses the history of the Orcish threat in the Iliac Bay</t>
  </si>
  <si>
    <t>Bristin Xel</t>
  </si>
  <si>
    <t>Part one of an epic set in the aftermath of the war with the Dwemer and House Dagoth.</t>
  </si>
  <si>
    <t>Part two of an epic set in the aftermath of the war with the Dwemer and House Dagoth.</t>
  </si>
  <si>
    <t>Part three of an epic set in the aftermath of the war with the Dwemer and House Dagoth.</t>
  </si>
  <si>
    <t>Part four of an epic set in the aftermath of the war with the Dwemer and House Dagoth.</t>
  </si>
  <si>
    <t>Part five of an epic set in the aftermath of the war with the Dwemer and House Dagoth.</t>
  </si>
  <si>
    <t>Part six of an epic set in the aftermath of the war with the Dwemer and House Dagoth.</t>
  </si>
  <si>
    <t>Part seven of an epic set in the aftermath of the war with the Dwemer and House Dagoth.</t>
  </si>
  <si>
    <t>A document announcing a ritualistic hunting of a mortal by Daedra</t>
  </si>
  <si>
    <t>How a boy escapes his kidnappers</t>
  </si>
  <si>
    <t>A large text describing a young Symmachus and how the death of his mother occurred. Also describes Barenziah's traumatic childhood, and the story of Straw the Nord.</t>
  </si>
  <si>
    <t>Tells the story of Barenziah's rise and eventual fall while working for the Thieves Guild, and how she was captured by Symmachus. The fates of Straw, Therris and Katisha are revealed here and Barenziah is officially made the Queen of Mournhold.</t>
  </si>
  <si>
    <t>Barenziah arrives in the Imperial City, meeting Tiber Septim himself. The book then details the affair between them, with Barenziah falling pregnant as a result. Tiber Septim orders that an abortion be performed on her, and she is soon sent childless to Mournhold.</t>
  </si>
  <si>
    <t>Barenziah arrives in Mournhold and eventually marries Symmachus and bears children with him. The book also details the appearance of Drayven Indoril, with whom she has a brief affair with and results in the Staff of Chaos being stolen.</t>
  </si>
  <si>
    <t>Due to strained relations between Morrowind and the Empire, Barenziah travels to the Imperial City to speak with the Emperor, during which she gains an inkling of suspicious towards his true identity, and eventually proof. Her husband is later killed, and she has a liaison with the Nightingale, but soon flees the Imperial City for Wayrest and marries King Eadwyre to live a more peaceful, pleasant life.</t>
  </si>
  <si>
    <t>Tenace Mourl</t>
  </si>
  <si>
    <t>How a lone man guards a besieged castle and how he obtains his food</t>
  </si>
  <si>
    <t>Thara of Rihad</t>
  </si>
  <si>
    <t>An account of changes in the Dunmer religion following the end of the Tribunal</t>
  </si>
  <si>
    <t>Small collection of riddles</t>
  </si>
  <si>
    <t>Simocles Quo</t>
  </si>
  <si>
    <t>Autobiographical musings of how the Master of Cuisine came to adore viands</t>
  </si>
  <si>
    <t>Melis Ravel</t>
  </si>
  <si>
    <t>Part one in a series of interviews with survivors of the Red Year.</t>
  </si>
  <si>
    <t>Part two in a series of interviews with survivors of the Red Year.</t>
  </si>
  <si>
    <t>Geros Albreigh</t>
  </si>
  <si>
    <t>History of refugees fleeing the Camoran Usurper</t>
  </si>
  <si>
    <t>On the Blades' origins and their fate</t>
  </si>
  <si>
    <t>Book 2 of an incomplete series of fictional stories about the Dwemer</t>
  </si>
  <si>
    <t>Unknown Scholar</t>
  </si>
  <si>
    <t>The first in the series, this book introduces Pelinal Whitestrake to the reader.</t>
  </si>
  <si>
    <t>The second edition of the series, this book describes how Alessia prayed to the Akatosh to aid her in her struggle.</t>
  </si>
  <si>
    <t>The third edition of the series, this book describes Pelinal's conquest of the Ayleid slavemasters and introduces the Ayleid's "half-Elf" champion, Umaril the Unfeathered.</t>
  </si>
  <si>
    <t>The fourth edition of the Song of Pelinal series, this book describes the liberation of the Cyrodiilic population from their Ayleid overlords.</t>
  </si>
  <si>
    <t>The fifth edition of the Song of Pelinal series, this book describes Pelinal's relationship with Morihaus, while also describing Morihaus' relationship with Alessia.</t>
  </si>
  <si>
    <t>The sixth edition of the Song of Pelinal series, this book describes the origins of Pelinal Whitestrake.</t>
  </si>
  <si>
    <t>The seventh edition of the Song of Pelinal series, this book describes Pelinal's death at the hands of Umaril and the Elvish kings.</t>
  </si>
  <si>
    <t>The eight and last edition of the Song of Pelinal series, this book describes the liberation of Man in Cyrodiil, and Pelinal's last words to Alessia.</t>
  </si>
  <si>
    <t>Ellya Erdain</t>
  </si>
  <si>
    <t>A short excerpt from Ellya Erdain's play</t>
  </si>
  <si>
    <t>Sonia Vette</t>
  </si>
  <si>
    <t>A Khajiit father in the grips of moon-sugar gives his cub a history lesson</t>
  </si>
  <si>
    <t>Leonora Venatus, Imperial Liaison to the Aldmeri Dominion</t>
  </si>
  <si>
    <t>Propaganda encouraging acceptance of the ban on the worship of Talos</t>
  </si>
  <si>
    <t>Annanar Orme</t>
  </si>
  <si>
    <t>Tale of a heart-broken, vengeful, axe-wielding woman</t>
  </si>
  <si>
    <t>Jaspus Ignateous</t>
  </si>
  <si>
    <t>An accounting of the most significant events of the Third Era</t>
  </si>
  <si>
    <t>An Anonymous Werewolf</t>
  </si>
  <si>
    <t>Werewolf tales regarding artifacts of Hircine</t>
  </si>
  <si>
    <t>Book detailing the Orsimer race and their origin</t>
  </si>
  <si>
    <t>Serjo Athyn Sarethi</t>
  </si>
  <si>
    <t>An old poem of the Redguards that deals with the constellations</t>
  </si>
  <si>
    <t>A work on the dangers of Daedra and Oblivion</t>
  </si>
  <si>
    <t>Kier-Jo Chorvak</t>
  </si>
  <si>
    <t>Brief description of the Ayleids, or Wild Elves</t>
  </si>
  <si>
    <t>Reylia</t>
  </si>
  <si>
    <t>A series of letters written in the Second Era from a woman in Windhelm to her husband in Solitude</t>
  </si>
  <si>
    <t>Mathias Etienne</t>
  </si>
  <si>
    <t>Summation of legends regarding the Wispmothers</t>
  </si>
  <si>
    <t>An epic series concerning the tale of the infamous Queen Potema of Solitude.</t>
  </si>
  <si>
    <t>A continuation of Potema's tale.</t>
  </si>
  <si>
    <t>Mogen Son of Molag</t>
  </si>
  <si>
    <t>A grim tale of a lone family in a cabin.</t>
  </si>
  <si>
    <t>A book describing Dragons, their presence on Tamriel and their disappearance.</t>
  </si>
  <si>
    <t>Part two of the fictional tale surrounding the adventures of Eslaf Erol.</t>
  </si>
  <si>
    <t>A bawdy tale of one thief's quest for coin, and capture of a lady's virtue</t>
  </si>
  <si>
    <t>Chronicles the Nord mead hall of Thirsk circa 4E 201, focusing primarily on its chieftains</t>
  </si>
  <si>
    <t>Thonar Silver-Blood</t>
  </si>
  <si>
    <t>Revelations that Thonar Silver-Blood is having secret dealings with the Forsworn.</t>
  </si>
  <si>
    <t>Some thieves in Morrowind plan a heist</t>
  </si>
  <si>
    <t>Parmion Saldor</t>
  </si>
  <si>
    <t>A starving man steals money for food, but pays a high price for his action</t>
  </si>
  <si>
    <t>An Anonymous Scholar</t>
  </si>
  <si>
    <t>The history of Varsa Baalim and Mehrunes' Razor</t>
  </si>
  <si>
    <t>Excerpt from a greater work detailing the creation of the Amulet of Kings</t>
  </si>
  <si>
    <t>Finn</t>
  </si>
  <si>
    <t>A guide to identifying, fighting, and collecting fat from trolls</t>
  </si>
  <si>
    <t>Brarilu Theran</t>
  </si>
  <si>
    <t>A tale of an enchanter's demise from a perilous experiment</t>
  </si>
  <si>
    <t>A blank book being read by a blind watchman</t>
  </si>
  <si>
    <t>Ulyn</t>
  </si>
  <si>
    <t>Journal of a deceased Dunmer treasure hunter about attempting to go deeper into the Fahlbtharz.</t>
  </si>
  <si>
    <t>Umana</t>
  </si>
  <si>
    <t>A record of an ill-fated exploration of Dwemer ruins in Skyrim</t>
  </si>
  <si>
    <t>The Gourmet</t>
  </si>
  <si>
    <t>A recipe book, containing recipes of a Breton origin.</t>
  </si>
  <si>
    <t>A letter, containing recipes, from the Gourmet to Anton</t>
  </si>
  <si>
    <t>Valerica</t>
  </si>
  <si>
    <t>Valerica's notes on attuning the portal vessel to the Soul Cairn.</t>
  </si>
  <si>
    <t>Aranea Drethan</t>
  </si>
  <si>
    <t>An analysis of Daedra forms, focusing primarily on the Dremora</t>
  </si>
  <si>
    <t>Brother Mikhael Karkuxor of the Imperial College</t>
  </si>
  <si>
    <t>An expansive list of the pantheons and associated divine spirits of Tamriel's dominant cultures</t>
  </si>
  <si>
    <t>Venarus Vulpin</t>
  </si>
  <si>
    <t>The journal of a vampire and his discovery of the Bloodspring of Lengeir's Feast</t>
  </si>
  <si>
    <t>Research notes on the Bloodspring of Lengeir's Feast</t>
  </si>
  <si>
    <t>How a short-tempered Daedra tries to make something of himself</t>
  </si>
  <si>
    <t>65/6</t>
  </si>
  <si>
    <t>Volk</t>
  </si>
  <si>
    <t>A journal by a man hired to help explore the ruins of Ruunvald</t>
  </si>
  <si>
    <t>Story of one man's summoning of Sheogorath and descent into madness</t>
  </si>
  <si>
    <t>Spatior Munius</t>
  </si>
  <si>
    <t>A comprehensive description of the city of Solitude</t>
  </si>
  <si>
    <t>Agrippa Fundilius</t>
  </si>
  <si>
    <t>A brief account of a First Age religious conflict</t>
  </si>
  <si>
    <t>The third chapter of the adventures of Eslaf Erol</t>
  </si>
  <si>
    <t>Gelyph Sig, Thane of Bjorin</t>
  </si>
  <si>
    <t>Musings on the Guardian Stones of Skyrim</t>
  </si>
  <si>
    <t>Various</t>
  </si>
  <si>
    <t>A brief description and multiple accounts of the Dragon Break</t>
  </si>
  <si>
    <t>Details on accessory packages available for a Whiterun home</t>
  </si>
  <si>
    <t>Details on accessory packages available for a Windhelm home</t>
  </si>
  <si>
    <t>Yaqut Tawashi</t>
  </si>
  <si>
    <t>A humorous tale of a man's ailment and cure</t>
  </si>
  <si>
    <t>An Anonymous Interviewer</t>
  </si>
  <si>
    <t>An interview with a Bosmer master swordsman about her life</t>
  </si>
  <si>
    <t>Clan Mother Ahnissi</t>
  </si>
  <si>
    <t>How a Khajiit explains the origin of the world</t>
  </si>
  <si>
    <t>A volume of verse collected from Ashlander wise women</t>
  </si>
  <si>
    <t>Voltha gra-Yamwort (translated by Apthorne)</t>
  </si>
  <si>
    <t>Story of how an Orc reclaims her wedding gift from thieves.</t>
  </si>
  <si>
    <t>A series of riddles</t>
  </si>
  <si>
    <t>A tale of Ysgramor's first adventure in Tamriel</t>
  </si>
  <si>
    <t>Cast on a nearby surface, it explodes when enemies are nearby, immobilizing them in hardened ash for 30 seconds:</t>
  </si>
  <si>
    <t>Spell Tome - Alteration</t>
  </si>
  <si>
    <t>Targets that fail to resist are immobilized in hardened ash for 30 seconds:</t>
  </si>
  <si>
    <t>Spell Tome - Conjuration</t>
  </si>
  <si>
    <t>Spell Tome - Destruction</t>
  </si>
  <si>
    <t>Creates a magic dagger for 120 seconds. Sheathe it to dispe</t>
  </si>
  <si>
    <t>Targets have improved combat skills, health and stamina for 10 minutes</t>
  </si>
  <si>
    <t>Spell Tome - Illusion</t>
  </si>
  <si>
    <t>Spell Tome - Restoration</t>
  </si>
  <si>
    <t>Summons an Ash Spawn for 60 seconds wherever the caster is pointing:</t>
  </si>
  <si>
    <t>Summons a Seeker for 60 seconds wherever the caster is pointing:</t>
  </si>
  <si>
    <t>Targets up to level 20 that fail to resist are frenzied for 30 seconds</t>
  </si>
  <si>
    <t>Heals the undead target 75 points, but not the living, atronachs or machines</t>
  </si>
  <si>
    <t>Heals the undead target 10 points per second, but not the living, atronachs or machines</t>
  </si>
  <si>
    <t>Targets that fail to resist take 3 points of poison damage per second for 30 seconds</t>
  </si>
  <si>
    <t>For 60 seconds, undead in melee range take 10 points sun damage per second</t>
  </si>
  <si>
    <t>Ball of sunlight that does 25 points of damage to undead</t>
  </si>
  <si>
    <t>Sunlight explosion that does 40 points of damage in a 15 foot radius to undead</t>
  </si>
  <si>
    <t>For 60 seconds, opponents in melee range have a chance of being flung away</t>
  </si>
  <si>
    <t>Books to turn in for a quest or unique spell tomes</t>
  </si>
  <si>
    <t xml:space="preserve">Spell Tome - Restoration </t>
  </si>
  <si>
    <t>Summons a Boneman Archer from the Soul Cairn for 60 seconds wherever the caster is pointing:</t>
  </si>
  <si>
    <t>Summons a Mistman from the Soul Cairn for 60 seconds wherever the caster is pointing:</t>
  </si>
  <si>
    <t>Summons a Wrathman from the Soul Cairn for 60 seconds wherever the caster is pointing:</t>
  </si>
  <si>
    <t>Adonato Leonetti</t>
  </si>
  <si>
    <t>A historian's view about Olaf One-Eye and his conflict with the dragon Numinex-- a version of "Olaf and the Dragon" found in Candlehearth Hall or given by Adonato Leotelli for delivery to the Bard's College, which differs from OATD in title and a few spelling differences</t>
  </si>
  <si>
    <t>Arondil</t>
  </si>
  <si>
    <t>Arondil's account of moving into Yngvild to study necromancy.</t>
  </si>
  <si>
    <t>Arondils's account of his necromancy experimentations.</t>
  </si>
  <si>
    <t>Arondil's account of dealing with a trespasser into Yngvild.</t>
  </si>
  <si>
    <t>Arondil's account of learning to reanimate the dead as ghosts.</t>
  </si>
  <si>
    <t>The Transparent One</t>
  </si>
  <si>
    <t>Jelketheris</t>
  </si>
  <si>
    <t>A part of a series of Black Books</t>
  </si>
  <si>
    <t>Carillius Melfus</t>
  </si>
  <si>
    <t>Hawfip the Crafter</t>
  </si>
  <si>
    <t>The first act of a play</t>
  </si>
  <si>
    <t xml:space="preserve"> Liesl Grey-Heart</t>
  </si>
  <si>
    <t>A fragmented tome surrounding Jarl Elgryr the Unminded</t>
  </si>
  <si>
    <t>A fragmented tome surrounding the other lives of Ysgramor</t>
  </si>
  <si>
    <t>Bilius Felcrex</t>
  </si>
  <si>
    <t>A fragmented tome mentioning the mantling of a godhead</t>
  </si>
  <si>
    <t>Mysterious Aedric artifact containg part of the "Tyranny of the Sun" prophecy.</t>
  </si>
  <si>
    <t>Mysterious Aedric artifact containg the containing knowledge on how to defeat dragons.</t>
  </si>
  <si>
    <t>Gratian Caerellius</t>
  </si>
  <si>
    <t>Journal of the miner Gratian, which explains the riddle of the Bloodskal Barrow.</t>
  </si>
  <si>
    <t>About the Thalmor imprisonment of a Whiterun citizen</t>
  </si>
  <si>
    <t>A lost part of the Poetic Edda, sung during the burning of Olaf's effigy in Solitude</t>
  </si>
  <si>
    <t>Yngvar the Singer</t>
  </si>
  <si>
    <t>A steamy love poem written to bring two lovers together</t>
  </si>
  <si>
    <t>Lymdrenn Tenvanni</t>
  </si>
  <si>
    <t>A father's last words, as transcribed by a family servant</t>
  </si>
  <si>
    <t>There is no known translation as of yet.</t>
  </si>
  <si>
    <t>Dranor Seleth</t>
  </si>
  <si>
    <t>An inquiry into the cause of the Night of Tears</t>
  </si>
  <si>
    <t>Strange book describing the plane of Apocrypha and its owner.</t>
  </si>
  <si>
    <t>The journal of a priest that portents the return of Dragons and the arrival of the Dovahkiin.</t>
  </si>
  <si>
    <t>Shalidor</t>
  </si>
  <si>
    <t>A disquisition on the origin and nature of Dragons</t>
  </si>
  <si>
    <t>Suvaris Atheron</t>
  </si>
  <si>
    <t>A journal about the operations of the Clan Shatter-Shield shipping company</t>
  </si>
  <si>
    <t>The Betrayed in its original Falmer language.</t>
  </si>
  <si>
    <t>Journal of Mirtil Angoth in its original Falmer language.</t>
  </si>
  <si>
    <t>Diary of Faire Agarwen in its original Falmer language.</t>
  </si>
  <si>
    <t>Touching the Sky in its original Falmer language.</t>
  </si>
  <si>
    <t>Afa-Saryat</t>
  </si>
  <si>
    <t>A treatise on the sands of the Alik'r Desert, and their relationship to magic</t>
  </si>
  <si>
    <t>Wyndelius Gatharian</t>
  </si>
  <si>
    <t>A journal documenting a treasure-hunter's descent into madness.</t>
  </si>
  <si>
    <t>Anniversary Edition (Creation Club) Books</t>
  </si>
  <si>
    <t>Adonato Leotelli's Journal (AE)</t>
  </si>
  <si>
    <t>Two adventurers fo missing hunting a monster. (From Creation "The Contest")</t>
  </si>
  <si>
    <t>Aesrael's Journal (AE)</t>
  </si>
  <si>
    <t>Aesrael</t>
  </si>
  <si>
    <t>A bandit turned hunter reminisces on his past. (From Creation "Alternative Armors - Elven Hunter")</t>
  </si>
  <si>
    <t>Anora's Journal (AE)</t>
  </si>
  <si>
    <t>Anora</t>
  </si>
  <si>
    <t>A journal documenting the construction and early years of Myrwatch. (From Creation "Myrwatch")</t>
  </si>
  <si>
    <t>Arkay the Enemy (AE)</t>
  </si>
  <si>
    <t>KW</t>
  </si>
  <si>
    <t>Instructions for the faithful to foil Arkay. (From Creation "Staff of Hasedoki")</t>
  </si>
  <si>
    <t>Assassin's Journal (AE)</t>
  </si>
  <si>
    <t>An assassin waits for the civil war to pass to kill the jarl of Whiterun. (From Creation "Bow of Shadows")</t>
  </si>
  <si>
    <t>Azarain's Journal (AE)</t>
  </si>
  <si>
    <t>Azarain</t>
  </si>
  <si>
    <t>The diary of a deceased Vigilant of Stendarr. (From Creation "Vigil Enforcer Armor Set")</t>
  </si>
  <si>
    <t>Bjormund's Diary (AE)</t>
  </si>
  <si>
    <t>Bjormund</t>
  </si>
  <si>
    <t>The recounting of an encounter with Dragonbone Mail. (From Creation "Alternative Armors - Dragon Plate")</t>
  </si>
  <si>
    <t>The Blessings of Sheogorath (AE)</t>
  </si>
  <si>
    <t>The 13 Blessings of Sheogorath. (From Creation "Saints &amp; Seducers")</t>
  </si>
  <si>
    <t>Blue God's Journal (AE)</t>
  </si>
  <si>
    <t>Blue God</t>
  </si>
  <si>
    <t>The stained journal of an unfortunate tribal Orc. (From Creation "Goblins")</t>
  </si>
  <si>
    <t>Brutius's Journal (AE)</t>
  </si>
  <si>
    <t>Brutius</t>
  </si>
  <si>
    <t>A violent old mage's evil plans. (From Creation "Fishing")</t>
  </si>
  <si>
    <t>Business Ledger Copy (AE)</t>
  </si>
  <si>
    <t>A copy of the ledger for Acadia's Cauldron. (From Creation "Bow of Shadows")</t>
  </si>
  <si>
    <t>Captains Journal (AE)</t>
  </si>
  <si>
    <t>Log of the last captain of Dead Man's Dread. (From Creation "Dead Man's Dread")</t>
  </si>
  <si>
    <t>Crafting with Netch Leather (AE)</t>
  </si>
  <si>
    <t>Alma Merisan</t>
  </si>
  <si>
    <t>A guide to crafting with Netch Leather. (From Creation "Netch Leather Armor")</t>
  </si>
  <si>
    <t>The Crimson Dirks, v1 (AE)</t>
  </si>
  <si>
    <t>Gathers-the-Coin</t>
  </si>
  <si>
    <t>A story of The Crimson Dirks, Volume 1. (From Creation "Alternative Armors - Ebony Plate")</t>
  </si>
  <si>
    <t>The Crimson Dirks, v2 (AE)</t>
  </si>
  <si>
    <t>A story of The Crimson Dirks, Volume 2. (From Creation "Alternative Armors - Silver")</t>
  </si>
  <si>
    <t>The Crimson Dirks, v3 (AE)</t>
  </si>
  <si>
    <t>A story of The Crimson Dirks, Volume 3. (From Creation "Alternative Armors - Daedric Plate")</t>
  </si>
  <si>
    <t>The Crimson Dirks, v4 (AE)</t>
  </si>
  <si>
    <t>A story of The Crimson Dirks, Volume 4. (From Creation "Alternative Armors - Dragonscale")</t>
  </si>
  <si>
    <t>The Crimson Dirks, v5 (AE)</t>
  </si>
  <si>
    <t>A story of The Crimson Dirks, Volume 5. (From Creation "Alternative Armors - Daedric Mail")</t>
  </si>
  <si>
    <t>The Crimson Dirks, v6 (AE)</t>
  </si>
  <si>
    <t>A story of The Crimson Dirks, Volume 6. (From Creation "Alternative Armors - Orcish Scaled")</t>
  </si>
  <si>
    <t>The Crimson Dirks, v7 (AE)</t>
  </si>
  <si>
    <t>A story of The Crimson Dirks, Volume 7. (From Creation "Alternative Armors - Elven Hunter")</t>
  </si>
  <si>
    <t>The Crimson Dirks, v8 (AE)</t>
  </si>
  <si>
    <t>A story of The Crimson Dirks, Volume 8. (From Creation "Alternative Armors - Dwarven Mail")</t>
  </si>
  <si>
    <t>The Crimson Dirks, v9 (AE)</t>
  </si>
  <si>
    <t>A story of The Crimson Dirks, Volume 9. (From Creation "Alternative Armors - Dwarven Plate")</t>
  </si>
  <si>
    <t>Crypt of the Heart - Draft (AE)</t>
  </si>
  <si>
    <t>Ariana Dumas</t>
  </si>
  <si>
    <t>A tale of a spell-knight's haunting. (From Creation "Spell Knight Armor")</t>
  </si>
  <si>
    <t>Cuinanthil's Journal (AE)</t>
  </si>
  <si>
    <t>Cuinanthil</t>
  </si>
  <si>
    <t>A journal revealing the false security of a treasure. (From Creation "Bittercup")</t>
  </si>
  <si>
    <t>Death of a Crimson Dirk (AE)</t>
  </si>
  <si>
    <t>A journal revealing the final resting place of a deceased Crimson Dirk. (From Creation "Alternative Armors - Daedric Plate")</t>
  </si>
  <si>
    <t>Dwarven Crown Control (AE)</t>
  </si>
  <si>
    <t>Notes on a unique Dwarven relic. (From Creation "Forgotten Seasons")</t>
  </si>
  <si>
    <t>The Ebon Arm (AE)</t>
  </si>
  <si>
    <t>Witten Rol</t>
  </si>
  <si>
    <t>Description of the appearance of Reymon Ebonarm, God of War in a battle. (From Creation "Redguard Elite Armaments")</t>
  </si>
  <si>
    <t>Ehlhiel's Journal (AE)</t>
  </si>
  <si>
    <t>Ehlhiel</t>
  </si>
  <si>
    <t>Ehlhiel's Journal. (From Creation "Alternative Armors - Leather")</t>
  </si>
  <si>
    <t>Elberon's Journal (AE)</t>
  </si>
  <si>
    <t>Elberon</t>
  </si>
  <si>
    <t>A wizard's journal documenting his expedition into a Dwemer ruin. (From Creation "Forgotten Seasons")</t>
  </si>
  <si>
    <t>Eranya's Journal (AE)</t>
  </si>
  <si>
    <t>Eranya</t>
  </si>
  <si>
    <t>A historian searches for Goldbrand. (From Creation "Goldbrand")</t>
  </si>
  <si>
    <t>Eranya's Notes on Sivdur's Tomb (AE)</t>
  </si>
  <si>
    <t>Eranya approaches her goal. (From Creation "Goldbrand")</t>
  </si>
  <si>
    <t>Eranya's Research Notes (AE)</t>
  </si>
  <si>
    <t>Eranya prepares for a second attempt at Goldbrand. (From Creation "Goldbrand")</t>
  </si>
  <si>
    <t>Ernanthil's Journal (AE)</t>
  </si>
  <si>
    <t>Ernanthil</t>
  </si>
  <si>
    <t>A brother's vow to get the better of his father's will. (From Creation "Bittercup")</t>
  </si>
  <si>
    <t>Erwan's Journal (AE)</t>
  </si>
  <si>
    <t>Erwan</t>
  </si>
  <si>
    <t>Erwan's Journal. (From Creation "Alternative Armors - Daedric Mail")</t>
  </si>
  <si>
    <t>Everthra's Journal (AE)</t>
  </si>
  <si>
    <t>Evethra</t>
  </si>
  <si>
    <t>A journal praising amber and madness. (From Creation "Saints &amp; Seducers")</t>
  </si>
  <si>
    <t>Excavation Leader's Journal (AE)</t>
  </si>
  <si>
    <t>A journal documenting the search for a powerful stone. (From Creation "The Cause")</t>
  </si>
  <si>
    <t>Fenrik's Journal (AE)</t>
  </si>
  <si>
    <t>Fenrik</t>
  </si>
  <si>
    <t>A journal documenting a Vigilant's attempts to cure his vampirism. (From Creation "Vigil Enforcer Armor Set")</t>
  </si>
  <si>
    <t>Fisherman's Journal (AE)</t>
  </si>
  <si>
    <t>Faldrin</t>
  </si>
  <si>
    <t>A journal documenting a fisherman's find of treasure in dwarven scrap at the bottom of a lake. (From Creation "Fishing")</t>
  </si>
  <si>
    <t>Fishing Mastery, v1 (AE)</t>
  </si>
  <si>
    <t>A book on fishing, this volume details four fish perfect for beginners. (From Creation "Fishing")</t>
  </si>
  <si>
    <t>Fishing Mastery, v2 (AE)</t>
  </si>
  <si>
    <t>A book on fishing, this volume details four fish that prefer rainy weather. (From Creation "Fishing")</t>
  </si>
  <si>
    <t>Fishing Mastery, v3 (AE)</t>
  </si>
  <si>
    <t>A book on fishing, this volume details four fish that prefer freezing waters. (From Creation "Fishing")</t>
  </si>
  <si>
    <t>Fishing Mastery, v4 (AE)</t>
  </si>
  <si>
    <t>A book on fishing, this volume details four fish that are only found underground. (From Creation "Fishing")</t>
  </si>
  <si>
    <t>Fishing Mastery, v5 (AE)</t>
  </si>
  <si>
    <t>A book on fishing, this volume details the rarest fish that can only be caught with the finest crafted rods. (From Creation "Fishing")</t>
  </si>
  <si>
    <t>Forgotten Seasons, v1 (AE)</t>
  </si>
  <si>
    <t>Elberon Blackthorn</t>
  </si>
  <si>
    <t>A wizard's expedition into the ruins of Vardnknd. (From Creation "Forgotten Seasons")</t>
  </si>
  <si>
    <t>Gadnor's Last Wishes (AE)</t>
  </si>
  <si>
    <t>Gadnor</t>
  </si>
  <si>
    <t>Instructions on acquiring a powerful weapon. (From Creation "Saints &amp; Seducers")</t>
  </si>
  <si>
    <t>Galur Rithari's Papers (AE)</t>
  </si>
  <si>
    <t>Galur Rithari</t>
  </si>
  <si>
    <t>Galur Rithari's account of his attempts to rid himself of vampirism. (From Creation "Vigil Enforcer Armor Set")</t>
  </si>
  <si>
    <t>Guard Dossier: Aesrael (AE)</t>
  </si>
  <si>
    <t>A report on a criminal from Cyrodiil. (From Creation "Alternative Armors - Elven Hunter")</t>
  </si>
  <si>
    <t>Guard Dossier: Antonius (AE)</t>
  </si>
  <si>
    <t>A report on a criminal. (From Creation "Alternative Armors - Orcish Scaled")</t>
  </si>
  <si>
    <t>Guard Dossier: Bjormund Wind-Strider (AE)</t>
  </si>
  <si>
    <t>Details on a bounty. (From Creation "Alternative Armors - Dragon Plate")</t>
  </si>
  <si>
    <t>Guard Dossier: Ehlhiel (AE)</t>
  </si>
  <si>
    <t>A report on a criminal. (From Creation "Alternative Armors - Leather")</t>
  </si>
  <si>
    <t>Guard Dossier: Yakhtu gra-Orkulg (AE)</t>
  </si>
  <si>
    <t>A report on a criminal. (From Creation "Alternative Armors - Orcish Plate")</t>
  </si>
  <si>
    <t>Halvar's Journal (AE)</t>
  </si>
  <si>
    <t>Halvar</t>
  </si>
  <si>
    <t>The personal diary of a traveling farmhand. (From Creation "Pets of Skyrim")</t>
  </si>
  <si>
    <t>Hand Indobar's Journal (AE)</t>
  </si>
  <si>
    <t>Hand Kydren Indobar</t>
  </si>
  <si>
    <t>A Hand makes a painful compromise. (From Creation "Ghosts of the Tribunal")</t>
  </si>
  <si>
    <t>Hans's Journal (AE)</t>
  </si>
  <si>
    <t>Hans</t>
  </si>
  <si>
    <t>The journal of a Nord hoping to break the seal of Myrwatch. (From Creation "Myrwatch")</t>
  </si>
  <si>
    <t>Helm of Oreyn Bearclaw (AE)</t>
  </si>
  <si>
    <t>A necromancer accidentally recovers the helm of Oreyn Bearclaw. (From Creation "Gallows Hall")</t>
  </si>
  <si>
    <t>Heretic Dossier: Blacksmith's Confessional (AE)</t>
  </si>
  <si>
    <t>A New Temple dossier with information on a potential heretic. (From Creation "Ghosts of the Tribunal")</t>
  </si>
  <si>
    <t>Heretical Thoughts (AE)</t>
  </si>
  <si>
    <t>The ideals and ways of the Heretic. (From Creation "Saints &amp; Seducers")</t>
  </si>
  <si>
    <t>Hugin Ice-Shaper's Notebook (AE)</t>
  </si>
  <si>
    <t>Hugin Ice-Shaper</t>
  </si>
  <si>
    <t>The ruined journal of a traditional Nordic jeweller. (From Creation "Nordic Jewelry")</t>
  </si>
  <si>
    <t>Hyenril's Journal (AE)</t>
  </si>
  <si>
    <t>Hyenril</t>
  </si>
  <si>
    <t>The journal of a young mage. (From Creation "Armos of Chaos")</t>
  </si>
  <si>
    <t>Janus' Journal (AE)</t>
  </si>
  <si>
    <t>Janus</t>
  </si>
  <si>
    <t>Journal detailing the search for a powerful stone &amp; Ayelid artifact. (From Creation "The Cause")</t>
  </si>
  <si>
    <t>Joften's Notes (AE)</t>
  </si>
  <si>
    <t>Joften</t>
  </si>
  <si>
    <t>Instructions on forging Golden and Dark equipment. (From Creation "Saints &amp; Seducers")</t>
  </si>
  <si>
    <t>Jonquil's Journal (AE)</t>
  </si>
  <si>
    <t>Jonquil</t>
  </si>
  <si>
    <t>Jonquil descends into grief and madness. (From Creation "Farming")</t>
  </si>
  <si>
    <t>Kinthal's Journal (AE)</t>
  </si>
  <si>
    <t>Kinthal</t>
  </si>
  <si>
    <t>Journal of the leader of the Saints bandits. (From Creation "Saints &amp; Seducers")</t>
  </si>
  <si>
    <t>Letter to Clexius (AE)</t>
  </si>
  <si>
    <t>Avanessa Calladius</t>
  </si>
  <si>
    <t>A letter about Cyrodiilic goblins invading Skyrim. (From Creation "Goblins")</t>
  </si>
  <si>
    <t>The Light and the Dark (AE)</t>
  </si>
  <si>
    <t>Irek Unterge</t>
  </si>
  <si>
    <t>A Breton man describes the Light and Dark to his two grandchildren. (From Creation "Staff of Hasedoki")</t>
  </si>
  <si>
    <t>Line and Lure (AE)</t>
  </si>
  <si>
    <t>Aland Sea-Bird</t>
  </si>
  <si>
    <t>An introduction to fishing that teaches the basics to aspiring anglers. (From Creation "Fishing")</t>
  </si>
  <si>
    <t>Log of Elberon the Great, Vol 2 (AE)</t>
  </si>
  <si>
    <t>Elberon the Great</t>
  </si>
  <si>
    <t>Log of Elberon's journey into a Dwemer ruin, Spring volume. (From Creation "Forgotten Seasons")</t>
  </si>
  <si>
    <t>Log of Elberon the Great, Vol 3 (AE)</t>
  </si>
  <si>
    <t>Log of Elberon's journey into a Dwemer ruin, Summer volume. (From Creation "Forgotten Seasons")</t>
  </si>
  <si>
    <t>Log of Elberon the Great, Vol 4 (AE)</t>
  </si>
  <si>
    <t>Log of Elberon's journey into a Dwemer ruin, Autumn volume. (From Creation "Forgotten Seasons")</t>
  </si>
  <si>
    <t>Log of Elberon the Great, Vol 5 (AE)</t>
  </si>
  <si>
    <t>Log of Elberon's journey into a Dwemer ruin, Winter volume. (From Creation "Forgotten Seasons")</t>
  </si>
  <si>
    <t>Matriarch Drevlan's Journal (AE)</t>
  </si>
  <si>
    <t>Drevlan</t>
  </si>
  <si>
    <t>The Matriarch reminisces on her journey so far. (From Creation "Ghosts of the Tribunal")</t>
  </si>
  <si>
    <t>Mysterious Altar (AE)</t>
  </si>
  <si>
    <t>Rulnik Wind-Strider</t>
  </si>
  <si>
    <t>Rulnik Wind-Strider laments ataxia cutting his quest short. (From Creation "Bittercup")</t>
  </si>
  <si>
    <t>Naara's Journal (AE)</t>
  </si>
  <si>
    <t>Naara</t>
  </si>
  <si>
    <t>An apprentice and master play a game. (From Creation "Gallows Hall")</t>
  </si>
  <si>
    <t>Necromancer's Journal (Bone Wolf) (AE)</t>
  </si>
  <si>
    <t>A necromancer binds an undead wolf to his service. (From Creation "Bone Wolf")</t>
  </si>
  <si>
    <t>Necromancer's Journal (Plague of Dead) (AE)</t>
  </si>
  <si>
    <t>A journal documenting the summoning of zombie hordes to Skyrim. (From Creation "Plague of the Dead")</t>
  </si>
  <si>
    <t>journal</t>
  </si>
  <si>
    <t>Nivenor's Journal (AE)</t>
  </si>
  <si>
    <t>Nivenor</t>
  </si>
  <si>
    <t>Nivenor's Journal. (From Creation "The Gray Cowl Returns!")</t>
  </si>
  <si>
    <t>Notes on the Bone Forge (AE)</t>
  </si>
  <si>
    <t>A short guide on how to use the Bone Forge. (From Creation "Gallows Hall")</t>
  </si>
  <si>
    <t>Pale-Eyes' Journal (AE)</t>
  </si>
  <si>
    <t>Pale-Eyes</t>
  </si>
  <si>
    <t>An Argonian recounts the tale that made him dedicated to his egg-brother. (From Creation "Alternative Armors - Iron")</t>
  </si>
  <si>
    <t>Peddler's Journal (AE)</t>
  </si>
  <si>
    <t>A Peddler's Journal. (From Creation "Netch Leather Armor")</t>
  </si>
  <si>
    <t>Pickpocket's Journal (AE)</t>
  </si>
  <si>
    <t>The journal of a failed Riften pickpocket. (From Creation "Pets of Skyrim")</t>
  </si>
  <si>
    <t>Priest Drureth's Journal (AE)</t>
  </si>
  <si>
    <t>Drureth</t>
  </si>
  <si>
    <t>A priest worries about the attrition their order has endured. (From Creation "Ghosts of the Tribunal")</t>
  </si>
  <si>
    <t>Reclamation Priest's Journal (AE)</t>
  </si>
  <si>
    <t>A Reclamation priest complains about Tribunal heretics. (From Creation "Ghosts of the Tribunal")</t>
  </si>
  <si>
    <t>Report on Atronach Forge Experiments (AE)</t>
  </si>
  <si>
    <t>Thoron</t>
  </si>
  <si>
    <t>The Secrets to binding Aureal and Mazken. (From Creation "Saints &amp; Seducers")</t>
  </si>
  <si>
    <t>The Restless (AE)</t>
  </si>
  <si>
    <t>A book in the later life of Cyrus. (From Creation "Dead Man's Dread")</t>
  </si>
  <si>
    <t>Rin's Journal (AE)</t>
  </si>
  <si>
    <t>Rin</t>
  </si>
  <si>
    <t>Rin decides to leave home to prove he is an adult. (From Creation "Farming")</t>
  </si>
  <si>
    <t>Saints and Seducers (AE)</t>
  </si>
  <si>
    <t>Andoche Marie</t>
  </si>
  <si>
    <t>Sentinels of the Isles: A treatise on Golden Saint / Dark Seducer culture and history within the Shivering Isles. (From Creation "Saints &amp; Seducers")</t>
  </si>
  <si>
    <t>Saints Bandit Leader's Journal (AE)</t>
  </si>
  <si>
    <t>Saints Bandit Leader</t>
  </si>
  <si>
    <t>The journal of a Saints bandit group's leader. (From Creation "Saints &amp; Seducers")</t>
  </si>
  <si>
    <t>Sculptor Visthar's Journal (AE)</t>
  </si>
  <si>
    <t>Visthar</t>
  </si>
  <si>
    <t>A sculptor expresses the worries they feel. (From Creation "Ghosts of the Tribunal")</t>
  </si>
  <si>
    <t>Seducers Bandit Leader's Journal (AE)</t>
  </si>
  <si>
    <t>Seducers Bandit Leader</t>
  </si>
  <si>
    <t>The journal of a Seducers bandit group's leader. (From Creation "Saints &amp; Seducers")</t>
  </si>
  <si>
    <t>Seeks-Ancient-Artifacts' Journal, v1 (AE)</t>
  </si>
  <si>
    <t>Seeks-Ancient-Artifacts</t>
  </si>
  <si>
    <t>Seeks-Ancient-Artifacts discovers a Dwemer ruin. (From Creation "Nchuanthumz: Dwarven Home")</t>
  </si>
  <si>
    <t>Seeks-Ancient-Artifacts' Journal, v2 (AE)</t>
  </si>
  <si>
    <t>Seeks-Ancient-Artifacts hits a roadblock. (From Creation "Nchuanthumz: Dwarven Home")</t>
  </si>
  <si>
    <t>Sellonus's Confession (AE)</t>
  </si>
  <si>
    <t>Sellonus</t>
  </si>
  <si>
    <t>A dying father's last wishes. (From Creation "Dawnfang &amp; Duskfang")</t>
  </si>
  <si>
    <t>Sellonus's Journal Vol. 1 (AE)</t>
  </si>
  <si>
    <t>A mage's plan to ensnare a dangerous man in a trap, part one. (From Creation "Dawnfang &amp; Duskfang")</t>
  </si>
  <si>
    <t>Sellonus's Journal Vol. 2 (AE)</t>
  </si>
  <si>
    <t>A mage's plan to ensnare a dangerous man in a trap, part two. (From Creation "Dawnfang &amp; Duskfang")</t>
  </si>
  <si>
    <t>Sellonus's Journal Vol. 3 (AE)</t>
  </si>
  <si>
    <t>A mage's plan to ensnare a dangerous man in a trap, part three. (From Creation "Dawnfang &amp; Duskfang")</t>
  </si>
  <si>
    <t>Seviur's Journal (AE)</t>
  </si>
  <si>
    <t>Seviur</t>
  </si>
  <si>
    <t>A necromancer's experiments with mudcrabs. (From Creation "Fishing")</t>
  </si>
  <si>
    <t>Shogarz's Journal (AE)</t>
  </si>
  <si>
    <t>Shogarz</t>
  </si>
  <si>
    <t>A historical betrayal is made again. (From Creation "Headman's Cleaver")</t>
  </si>
  <si>
    <t>Skjol's Journal (AE)</t>
  </si>
  <si>
    <t>Skjol the Tongueless</t>
  </si>
  <si>
    <t>The journal of a mute barbarian. (From Creation "Alternative Armors - Stahlrim Fur")</t>
  </si>
  <si>
    <t>Soran's Journal (AE)</t>
  </si>
  <si>
    <t>Soran Hariksen, Wildlife Scholar</t>
  </si>
  <si>
    <t>A wildlife scholar's journey to find a Unicorn. (From Creation "Wild Horses")</t>
  </si>
  <si>
    <t>Stranger's Journal (AE)</t>
  </si>
  <si>
    <t>Pjofr Ice-Blade</t>
  </si>
  <si>
    <t>A tale of greed and remorse. (From Creation "The Gray Cowl Returns!")</t>
  </si>
  <si>
    <t>Svarig's Journal (AE)</t>
  </si>
  <si>
    <t>Svarig</t>
  </si>
  <si>
    <t>Journal of the leader of the Seducers bandits. (From Creation "Saints &amp; Seducers")</t>
  </si>
  <si>
    <t>Thief's Journal (AE)</t>
  </si>
  <si>
    <t>An unlucky thief's final days. (From Creation "Pets of Skyrim")</t>
  </si>
  <si>
    <t>Thoron's Journal - Volume 1 (AE)</t>
  </si>
  <si>
    <t>The journal of a mad man bridging the gap between Tamriel and the Shivering Isles, volume 1. (From Creation "Saints &amp; Seducers")</t>
  </si>
  <si>
    <t>Thoron's Journal - Volume 2 (AE)</t>
  </si>
  <si>
    <t>The journal of a mad man bridging the gap between Tamriel and the Shivering Isles, volume 2. (From Creation "Saints &amp; Seducers")</t>
  </si>
  <si>
    <t>Thoron's Journal - Volume 3 (AE)</t>
  </si>
  <si>
    <t>The journal of a mad man bridging the gap between Tamriel and the Shivering Isles, volume 3. (From Creation "Saints &amp; Seducers")</t>
  </si>
  <si>
    <t>To Raise the Living (AE)</t>
  </si>
  <si>
    <t>Shagrub Gilgar</t>
  </si>
  <si>
    <t>A descendant of Koffutto Gilgar tells her son about Hasedoki. (From Creation "Staff of Hasedoki")</t>
  </si>
  <si>
    <t>Tolif's Journal (AE)</t>
  </si>
  <si>
    <t>Tolif</t>
  </si>
  <si>
    <t>A wizard casts an evil spell on mudcrabs and takes over Tolif's home. (From Creation "Fishing")</t>
  </si>
  <si>
    <t>Treasure Hunter's Journal (AE)</t>
  </si>
  <si>
    <t>Cresitus</t>
  </si>
  <si>
    <t>A man's descent into madness as his mind is claimed by Umbra. (From Creation "Umbra")</t>
  </si>
  <si>
    <t>Undercover Guard's Journal (AE)</t>
  </si>
  <si>
    <t>A guard investigates if the inns are providing shelter to the Crimson Dirks. (From Creation "Alternative Armors - Iron")</t>
  </si>
  <si>
    <t>Urval's Journal (AE)</t>
  </si>
  <si>
    <t>Urval</t>
  </si>
  <si>
    <t>Urval descends into grief and madness. (From Creation "Farming")</t>
  </si>
  <si>
    <t>Urzog's Journal (AE)</t>
  </si>
  <si>
    <t>Urzog</t>
  </si>
  <si>
    <t>A brother plans to commit fratricide. (From Creation "Headsman's Cleaver")</t>
  </si>
  <si>
    <t>Vampire Naturalist's Journal (AE)</t>
  </si>
  <si>
    <t>Vampire Naturalist</t>
  </si>
  <si>
    <t>Notes on a cruel vampire's experiments in pain. (From Creation "Pets of Skyrim")</t>
  </si>
  <si>
    <t>Vesparth's Journal (AE)</t>
  </si>
  <si>
    <t>Vesparth</t>
  </si>
  <si>
    <t>A descendant of Armigers aggravates and Ordinator. (From Creation "Ghosts of the Tribunal")</t>
  </si>
  <si>
    <t>Vigilant Enforcer's Journal (AE)</t>
  </si>
  <si>
    <t>As Vigililants of Stendarr go missing, are the Mythic Dawn to blame? (From Creation "The Cause")</t>
  </si>
  <si>
    <t>Vigilant's Report (AE)</t>
  </si>
  <si>
    <t>An official report on Umbra's return to Tamriel. (From Creation "Umbra")</t>
  </si>
  <si>
    <t>Viparth's Journal (AE)</t>
  </si>
  <si>
    <t>Viparth</t>
  </si>
  <si>
    <t>A journal detailing a bandits haul of a mysterious set of armor. (From Creation "Divine Crusader")</t>
  </si>
  <si>
    <t>Vonos' Journal (AE)</t>
  </si>
  <si>
    <t>Vonos</t>
  </si>
  <si>
    <t>Journal of a member of the Mythic Dawn. (From Creation "The Cause")</t>
  </si>
  <si>
    <t>Wild Horse Notes (AE)</t>
  </si>
  <si>
    <t>Notes on where to find wild horses. (From Creation "Wild Horses")</t>
  </si>
  <si>
    <t>Yakhtu's Journal (AE)</t>
  </si>
  <si>
    <t>Yakhtu gra-Orkulg</t>
  </si>
  <si>
    <t>A bandit blacksmith's diary. (From Creation "Alternate Armors - Orcish Plate")</t>
  </si>
  <si>
    <t>Bugs in a Jar</t>
  </si>
  <si>
    <t>Dragon Claws</t>
  </si>
  <si>
    <t>Treasure Maps (Map Only)</t>
  </si>
  <si>
    <t>Miscellaneous</t>
  </si>
  <si>
    <t>Paragons (DG)</t>
  </si>
  <si>
    <t>Item Name</t>
  </si>
  <si>
    <t>Related Quest</t>
  </si>
  <si>
    <t>Found at unmarked bandit camp just south of the Guardian Stones.</t>
  </si>
  <si>
    <t>Found at Journeyman's Nook southeast of Winterhold.</t>
  </si>
  <si>
    <t>Found at Riverside Shack west of Kynesgrove.</t>
  </si>
  <si>
    <t>Found inside Redoran's Retreat northwest of Whiterun.</t>
  </si>
  <si>
    <t>Found at Angi's Camp south of Falkreath.</t>
  </si>
  <si>
    <t>Found on corpse on top of a mountain SE of Shrine of Mehrunes Dagon and west of Stonehill Bluff.</t>
  </si>
  <si>
    <t>Given to you by Balbus if you have Gourmet's Writ of Passage. Can be stolen from him.</t>
  </si>
  <si>
    <t>Found at Traitor's Post east of Windhelm.</t>
  </si>
  <si>
    <t>Found on Dead Hunter southeast of Bleakcoast Cave east of Winterhold.</t>
  </si>
  <si>
    <t>On Lucky Lorenz's corpse, across river from the Abandoned Prison, underneath rubble of house.</t>
  </si>
  <si>
    <t>Found inside Stony Creek Cave far north of Shor's Stone.</t>
  </si>
  <si>
    <t>Found on tower on top of Fort Neugrad southeast of Helgen.</t>
  </si>
  <si>
    <t>Given to you by Velehk Sain.</t>
  </si>
  <si>
    <t>Reward for delivering a letter by Glover Mallory to Sapphire.</t>
  </si>
  <si>
    <t>Recruited?</t>
  </si>
  <si>
    <t>Prerequisite Quest</t>
  </si>
  <si>
    <t>Primary Skills</t>
  </si>
  <si>
    <t>Max Level</t>
  </si>
  <si>
    <t>Marry</t>
  </si>
  <si>
    <t>Steward (HF)</t>
  </si>
  <si>
    <t>Pet</t>
  </si>
  <si>
    <t>Trainer</t>
  </si>
  <si>
    <t>A female Imperial who works for the East Empire Company.</t>
  </si>
  <si>
    <t>Rise in the East</t>
  </si>
  <si>
    <t>Alchemy, Enchanting, Smithing, Archery, Light Armor, One-handed, Sneak, Speech</t>
  </si>
  <si>
    <t>A female Nord Thief and expert Archery trainer.</t>
  </si>
  <si>
    <t>Must complete companions questline</t>
  </si>
  <si>
    <t>Archery, Light Armor, Sneak, One-handed, Speech</t>
  </si>
  <si>
    <t>Archery</t>
  </si>
  <si>
    <t>A male Nord found in Fort Dawnguard. (Bandit class)</t>
  </si>
  <si>
    <t>Dawnguard follower</t>
  </si>
  <si>
    <t>One-handed, Two-handed, Block, Light Armor</t>
  </si>
  <si>
    <t>A male Redguard Warrior who is found in Solitude.</t>
  </si>
  <si>
    <t>Kill the Bandit Leader†</t>
  </si>
  <si>
    <t>Heavy Armor, Two-handed, Archery, Block</t>
  </si>
  <si>
    <t>A female Nord Ranger found in Darkwater Crossing.</t>
  </si>
  <si>
    <t>Archery, Light Armor, Block, One-handed</t>
  </si>
  <si>
    <t>A female Dunmer Conjuration Mage found at the Shrine of Azura.</t>
  </si>
  <si>
    <t>The Black Star (in her favor)</t>
  </si>
  <si>
    <t>Destruction, Restoration, Alteration, Conjuration</t>
  </si>
  <si>
    <t>A male Nord found in Markarth.</t>
  </si>
  <si>
    <t>Become Thane of the Reach</t>
  </si>
  <si>
    <t>Heavy Armor, One-handed, Archery, Block</t>
  </si>
  <si>
    <t>Can be purchased from Gunmar in Fort Dawnguard for 500 gold. You may be given an Armored Troll instead.  (Dawnguard)</t>
  </si>
  <si>
    <t>Can be purchased from Gunmar in Fort Dawnguard for 500 gold. You may be given an Armored Frost Troll instead. (Dawnguard)</t>
  </si>
  <si>
    <t>A male Dunmer Warrior (1H) and expert One-handed trainer.</t>
  </si>
  <si>
    <t>One-handed</t>
  </si>
  <si>
    <t>A female Bosmer found in Fort Dawnguard. (Bandit class)</t>
  </si>
  <si>
    <t>A male Nord Spellsword found in the Winking Skeever in Solitude.</t>
  </si>
  <si>
    <t>Hireling</t>
  </si>
  <si>
    <t>Destruction, Light Armor, One-handed, Restoration</t>
  </si>
  <si>
    <t>A male Nord Warrior found in Morthal.</t>
  </si>
  <si>
    <t>Fight! Fight!</t>
  </si>
  <si>
    <t>A female Orc Warrior found in Mor Khazgur.</t>
  </si>
  <si>
    <t>Pay her dowry or pass a persuade check.</t>
  </si>
  <si>
    <t>Heavy Armor, One-handed, Archery, Sneak</t>
  </si>
  <si>
    <t>An armored husky in Fort Dawnguard.  (Dawnguard)</t>
  </si>
  <si>
    <t>A female Dunmer Mystic.</t>
  </si>
  <si>
    <t>Brelyna's Practice</t>
  </si>
  <si>
    <t>Alteration, Illusion, Conjuration, Sneak</t>
  </si>
  <si>
    <t>A male Nord found in Windhelm.</t>
  </si>
  <si>
    <t>Become Thane of Eastmarch</t>
  </si>
  <si>
    <t>A male Breton found in Fort Dawnguard. (Warrior(1H) class)</t>
  </si>
  <si>
    <t>None</t>
  </si>
  <si>
    <t>A male Imperial Assassin found at the Dawnstar Sanctuary.</t>
  </si>
  <si>
    <t>Must complete dark brotherhood questline</t>
  </si>
  <si>
    <t>One-handed, Sneak, Archery, Light Armor</t>
  </si>
  <si>
    <t>An alcoholic male Breton Warrior found in Markarth.</t>
  </si>
  <si>
    <t>Quest all Drunks Have (or) Fight! Fight!</t>
  </si>
  <si>
    <t>A Death Hound in Volkihar Keep.  (Dawnguard)</t>
  </si>
  <si>
    <t>A Nord Assassin found at the Dawnstar Sanctuary.</t>
  </si>
  <si>
    <t>A male Argonian Ranger found in Darkwater Pass.</t>
  </si>
  <si>
    <t>Extracting an Argonian</t>
  </si>
  <si>
    <t>A male Orc found in Fort Dawnguard. (Ranger class)</t>
  </si>
  <si>
    <t>A female Breton Nightblade found in Markarth's Hall of the Dead.</t>
  </si>
  <si>
    <t>The Taste of Death</t>
  </si>
  <si>
    <t>Destruction, Sneak, Alteration, One-handed</t>
  </si>
  <si>
    <t>A male Dunmer Priest found in Dawnstar.</t>
  </si>
  <si>
    <t>Waking Nightmare (in his favor)</t>
  </si>
  <si>
    <t>Restoration, Speech, Alchemy, Conjuration, Smithing</t>
  </si>
  <si>
    <t>A male Nord Barbarian found in Rorikstead at the Frostfruit Inn after completing his quest.</t>
  </si>
  <si>
    <t>Light Armor, Two-handed, Archery, Block</t>
  </si>
  <si>
    <t>A male Bosmer Thief found in Riverwood. He is a common 
Archery trainer.</t>
  </si>
  <si>
    <t>A Lovely Letter (in his favor)</t>
  </si>
  <si>
    <t>A male Nord of the Blacksmith class, and master Heavy Armor trainer.</t>
  </si>
  <si>
    <t>Smithing, Speech, One-handed, Pickpocket</t>
  </si>
  <si>
    <t>A female Nord warrior from Skaal Village. Temporary follower during The Temple of Miraak.</t>
  </si>
  <si>
    <t>The Fate of the Skaal</t>
  </si>
  <si>
    <t>One-handed, Alteration, Light Armor, Restoration</t>
  </si>
  <si>
    <t>A male Orc Ranger found in Dushnikh Yal.</t>
  </si>
  <si>
    <t>Convince him (via brawl, persuade check, or bribe).</t>
  </si>
  <si>
    <t>A male Nord Warrior (1H) found in Hillgrund's Tomb.</t>
  </si>
  <si>
    <t>A male Nord found in Dawnstar.</t>
  </si>
  <si>
    <t>Become Thane of the Pale</t>
  </si>
  <si>
    <t>A female Imperial Mage found in Darklight Tower.</t>
  </si>
  <si>
    <t>A female Nord in Fort Dawnguard. (Warrior(2H) class)</t>
  </si>
  <si>
    <t>A female Nord found in Riften.</t>
  </si>
  <si>
    <t>Become Thane of the Rift</t>
  </si>
  <si>
    <t>A male Khajiit Sorcerer.</t>
  </si>
  <si>
    <t>J'zargo's Experiment</t>
  </si>
  <si>
    <t>Destruction, Illusion, Heavy Armor, One-handed</t>
  </si>
  <si>
    <t>A female Dunmer Ranger found inside the Drunken Huntsman in Whiterun.</t>
  </si>
  <si>
    <t>A female Nord found in Solitude.</t>
  </si>
  <si>
    <t>Become Thane of Haafingar</t>
  </si>
  <si>
    <t>A male Khajiit Warrior traveling between cities in Ahkari's Khajiit caravan.</t>
  </si>
  <si>
    <t>Amulet of the Moon</t>
  </si>
  <si>
    <t>A male Orc Ranger found in Largashbur.</t>
  </si>
  <si>
    <t>The Cursed Tribe</t>
  </si>
  <si>
    <t>A female Nord found in Whiterun.</t>
  </si>
  <si>
    <t>Dragon Rising</t>
  </si>
  <si>
    <t>A male Imperial Destruction Mage found at The Bee and Barb in Riften.</t>
  </si>
  <si>
    <t>Destruction, Restoration, Alteration, Sneak</t>
  </si>
  <si>
    <t>A dog that can be found at Meeko's Shack.</t>
  </si>
  <si>
    <t>A female Nord Warrior found in Riften.</t>
  </si>
  <si>
    <t>Grimsever's Return</t>
  </si>
  <si>
    <t>A female Nord Warrior (1H) and expert Block trainer.</t>
  </si>
  <si>
    <t>Block, One-handed, Speech, Pickpocket</t>
  </si>
  <si>
    <t>Block</t>
  </si>
  <si>
    <t>A male Orc Warrior found in Largashbur.</t>
  </si>
  <si>
    <t>A male Nord Sorcerer.</t>
  </si>
  <si>
    <t>Onmund's Request</t>
  </si>
  <si>
    <t>A male Dunmer miner initially found at Kolbjorn Barrow.</t>
  </si>
  <si>
    <t>Unearthed</t>
  </si>
  <si>
    <t>One-handed, Light Armor, Block, Sneak</t>
  </si>
  <si>
    <t>A female Redguard found in Falkreath.</t>
  </si>
  <si>
    <t>Become Thane of Falkreath</t>
  </si>
  <si>
    <t>A female Imperial Warrior (1H).</t>
  </si>
  <si>
    <t>A Riekling</t>
  </si>
  <si>
    <t>Can be recruited at Thirsk Mead Hall after completing The Chief of Thirsk Hall.</t>
  </si>
  <si>
    <t>A male Nord Miner found in Kynesgrove.</t>
  </si>
  <si>
    <t>Dungeon Delving (Caves)†</t>
  </si>
  <si>
    <t>Alchemy, Enchanting, Smithing, Archery, One-handed, Two-handed</t>
  </si>
  <si>
    <t>A female Nord vampire found during the quest Awakening. Forced follower during Bloodline, Chasing Echoes‎, Beyond Death‎, Unseen Visions‎, Touching the Sky‎, Kindred Judgment‎.</t>
  </si>
  <si>
    <t>Sneak, Conjuration, Light Armor, One-handed</t>
  </si>
  <si>
    <t>Friendly Dwarven automaton</t>
  </si>
  <si>
    <t>Friendly Dwarven automatons found in Kagrumez during The Kagrumez Gauntlet.</t>
  </si>
  <si>
    <t>A male Nord Warrior (2H) in Windhelm (usually on the second floor of Candlehearth Hall).</t>
  </si>
  <si>
    <t>These can be found in a random encounter in the wilderness. If you talk to one, it will become your follower. Note: Will disappear if told to wait and you enter a dungeon.</t>
  </si>
  <si>
    <t>A male Nord Bard found in Riverwood.</t>
  </si>
  <si>
    <t>A male Dunmer conjurer found in Tel Mithryn.</t>
  </si>
  <si>
    <t>From the Ashes</t>
  </si>
  <si>
    <t>Conjuration, Restoration, Destruction, Alteration, Sneak</t>
  </si>
  <si>
    <t>A male Dunmer spellsword found in the Retching Netch in Raven Rock. Can be hired for 500 gold.</t>
  </si>
  <si>
    <t>One-handed, Light Armor, Destruction, Conjuration</t>
  </si>
  <si>
    <t>A male Nord Warrior (1H).</t>
  </si>
  <si>
    <t>A female Orc Ranger in Largashbur.</t>
  </si>
  <si>
    <t>A female Nord Warrior found in The Bannered Mare in Whiterun.</t>
  </si>
  <si>
    <t>A male Nord found in Morthal.</t>
  </si>
  <si>
    <t>Become Thane of Hjaalmarch</t>
  </si>
  <si>
    <t>Heavy Armor, One-handed, Alteration, Destruction, Restoration</t>
  </si>
  <si>
    <t>A dog which can be purchased from Banning at the Markarth stables for 500 gold. If you dismiss him, he will return to Banning and you must pay the 500 gold again to get him back.</t>
  </si>
  <si>
    <t>A male Nord Warrior (2H) and master Two-handed trainer.</t>
  </si>
  <si>
    <t>Two-handed</t>
  </si>
  <si>
    <t>A male Nord Warrior (1H) found at the Silver-Blood Inn in Markarth.</t>
  </si>
  <si>
    <t>Horses</t>
  </si>
  <si>
    <t>Advantages over other mounts: he can't be permanently killed, he costs no money, and you don't need to worry about losing him.  The only horse that can be used in Blackreach or on Solstheim.</t>
  </si>
  <si>
    <t>Soul Cairn Horse</t>
  </si>
  <si>
    <t>One of three unique horses in Skyrim and appears outside Black Briar Lodge once the quest Promises to Keep has been initiated. Can be obtained at the end of the quest if you persuade Louis Letrush to give him to you.</t>
  </si>
  <si>
    <t>Promises to Keep</t>
  </si>
  <si>
    <t>Astrid's personal horse, has more health than any of the other horses in Skyrim and regenerates health extremely quickly.</t>
  </si>
  <si>
    <t>The Cure for Madness</t>
  </si>
  <si>
    <t>Learned?</t>
  </si>
  <si>
    <t>Effect</t>
  </si>
  <si>
    <t>Duration</t>
  </si>
  <si>
    <t>Profit</t>
  </si>
  <si>
    <t>Garden</t>
  </si>
  <si>
    <t>Alocasia Fruit (AE)</t>
  </si>
  <si>
    <t>Light (AE)</t>
  </si>
  <si>
    <t>Ambrosia (AE)</t>
  </si>
  <si>
    <t>Cure Poison (AE)</t>
  </si>
  <si>
    <t>Angelfish (AE)</t>
  </si>
  <si>
    <t>Angler Larvae (AE)</t>
  </si>
  <si>
    <t>Aster Bloom Core (AE)</t>
  </si>
  <si>
    <t>Bittergreen Petals (AE)</t>
  </si>
  <si>
    <t>Blind Watcher's Eye (AE)</t>
  </si>
  <si>
    <t>Spell Absorption (AE)</t>
  </si>
  <si>
    <t>Bliss Bug Thorax (AE)</t>
  </si>
  <si>
    <t>Blister Pod Cap (AE)</t>
  </si>
  <si>
    <t>Night Eye (AE)</t>
  </si>
  <si>
    <t>Bloodgrass (AE)</t>
  </si>
  <si>
    <t>Bog Beacon (AE)</t>
  </si>
  <si>
    <t>Bungler's Bane (AE)</t>
  </si>
  <si>
    <t>Chokeberry (AE)</t>
  </si>
  <si>
    <t>Chokeweed (AE)</t>
  </si>
  <si>
    <t>Coda Flower (AE)</t>
  </si>
  <si>
    <t>Comberry (AE)</t>
  </si>
  <si>
    <t>Congealed Putrescence (AE)</t>
  </si>
  <si>
    <t>Corkbulb Root (AE)</t>
  </si>
  <si>
    <t>Daedra Silk (AE)</t>
  </si>
  <si>
    <t>Daedra Venin (AE)</t>
  </si>
  <si>
    <t>Daedroth Teeth (AE)</t>
  </si>
  <si>
    <t>Dreugh Wax (AE)</t>
  </si>
  <si>
    <t>Elytra Ichor (AE)</t>
  </si>
  <si>
    <t>Fire Petal (AE)</t>
  </si>
  <si>
    <t>Flame Stalk (AE)</t>
  </si>
  <si>
    <t>Fungus Stalk (AE)</t>
  </si>
  <si>
    <t>Glassfish (AE)</t>
  </si>
  <si>
    <t>Fortify Persuasion (AE)</t>
  </si>
  <si>
    <t>Gnarl Bark (AE)</t>
  </si>
  <si>
    <t>Goldfish (AE)</t>
  </si>
  <si>
    <t>Gold Kanet (AE)</t>
  </si>
  <si>
    <t>Green Butterfly Wing (AE)</t>
  </si>
  <si>
    <t>Hackle-Lo Leaf (AE)</t>
  </si>
  <si>
    <t>Harrada (AE)</t>
  </si>
  <si>
    <t>Heart of Order (AE)</t>
  </si>
  <si>
    <t>Hunger Tongue (AE)</t>
  </si>
  <si>
    <t>Hydnum Azure Giant Spore (AE)</t>
  </si>
  <si>
    <t>Hypha Facia (AE)</t>
  </si>
  <si>
    <t>Imp Gall (AE)</t>
  </si>
  <si>
    <t>Ironwood Fruit (AE)</t>
  </si>
  <si>
    <t>Juvenile Mudcrab (AE)</t>
  </si>
  <si>
    <t>Kagouti Hide (AE)</t>
  </si>
  <si>
    <t>Kesh Fiber (AE)</t>
  </si>
  <si>
    <t>Lichor (AE)</t>
  </si>
  <si>
    <t>Luminous Russula (AE)</t>
  </si>
  <si>
    <t>Lyretail Anthias (AE)</t>
  </si>
  <si>
    <t>Marshmerrow (AE)</t>
  </si>
  <si>
    <t>Minotaur Horn (AE)</t>
  </si>
  <si>
    <t>Mort Flesh (AE)</t>
  </si>
  <si>
    <t>Ogre's Teeth (AE)</t>
  </si>
  <si>
    <t>Pearlfish (AE)</t>
  </si>
  <si>
    <t>Purple Butterfly Wing (AE)</t>
  </si>
  <si>
    <t>Pygmy Sunfish (AE)</t>
  </si>
  <si>
    <t>Red Kelp Gas Bladder (AE)</t>
  </si>
  <si>
    <t>Redwort Flower (AE)</t>
  </si>
  <si>
    <t>Roobrush (AE)</t>
  </si>
  <si>
    <t>Rot Scale (AE)</t>
  </si>
  <si>
    <t>Saltrice (AE)</t>
  </si>
  <si>
    <t>Scalon Fin (AE)</t>
  </si>
  <si>
    <t>Screaming Maw (AE)</t>
  </si>
  <si>
    <t>Scrib Jelly (AE)</t>
  </si>
  <si>
    <t>Scrib Jerky (AE)</t>
  </si>
  <si>
    <t>Sload Soap (AE)</t>
  </si>
  <si>
    <t>Spadefish (AE)</t>
  </si>
  <si>
    <t>Spiddal Stick (AE)</t>
  </si>
  <si>
    <t>Steel-Blue Entoloma (AE)</t>
  </si>
  <si>
    <t>Stoneflower Petals (AE)</t>
  </si>
  <si>
    <t>Thorn Hook (AE)</t>
  </si>
  <si>
    <t>Void Essence (AE)</t>
  </si>
  <si>
    <t>Watcher's Eye (AE)</t>
  </si>
  <si>
    <t>Wild Grass Pod (AE)</t>
  </si>
  <si>
    <t>Wisp Stalk Caps (AE)</t>
  </si>
  <si>
    <t>Withering Moon (AE)</t>
  </si>
  <si>
    <t>Worm's Head Cap (AE)</t>
  </si>
  <si>
    <t>Req.</t>
  </si>
  <si>
    <t>Perk</t>
  </si>
  <si>
    <t>Prereq.</t>
  </si>
  <si>
    <t>Stealth Skills</t>
  </si>
  <si>
    <t>Prerequisite</t>
  </si>
  <si>
    <t>Alchemist 1</t>
  </si>
  <si>
    <t>Agile Defender 1</t>
  </si>
  <si>
    <t>Novice</t>
  </si>
  <si>
    <t>Alchemist 2</t>
  </si>
  <si>
    <t>Agile Defender 2</t>
  </si>
  <si>
    <t>Agile Def 1</t>
  </si>
  <si>
    <t>Apprentice</t>
  </si>
  <si>
    <t>Physician</t>
  </si>
  <si>
    <t>Custom Fit</t>
  </si>
  <si>
    <t>Agile Def1</t>
  </si>
  <si>
    <t>Quick Hands</t>
  </si>
  <si>
    <t>Benefactor</t>
  </si>
  <si>
    <t>Agile Defender 3</t>
  </si>
  <si>
    <t>Agile Def2</t>
  </si>
  <si>
    <t>Wax Key</t>
  </si>
  <si>
    <t>Poisoner</t>
  </si>
  <si>
    <t>Unhindered</t>
  </si>
  <si>
    <t>Adept</t>
  </si>
  <si>
    <t>Alchemist 3</t>
  </si>
  <si>
    <t>Agile Defender 4</t>
  </si>
  <si>
    <t>Agile Def 3</t>
  </si>
  <si>
    <t>Golden Touch</t>
  </si>
  <si>
    <t>Experimenter 1</t>
  </si>
  <si>
    <t>Windwalker</t>
  </si>
  <si>
    <t>Treasure Hunter</t>
  </si>
  <si>
    <t>Alchemist 4</t>
  </si>
  <si>
    <t>Matching Set</t>
  </si>
  <si>
    <t>Expert</t>
  </si>
  <si>
    <t>ConcenPoison</t>
  </si>
  <si>
    <t>Agile Defender 5</t>
  </si>
  <si>
    <t>Agile Def 4</t>
  </si>
  <si>
    <t>Locksmith</t>
  </si>
  <si>
    <t>Experimenter 2</t>
  </si>
  <si>
    <t>Deft Movement</t>
  </si>
  <si>
    <t>M Set/W Walker</t>
  </si>
  <si>
    <t>Unbreakable</t>
  </si>
  <si>
    <t>Green Thumb</t>
  </si>
  <si>
    <t>Concentrated Poison</t>
  </si>
  <si>
    <t>Master</t>
  </si>
  <si>
    <t>Alchemist 5</t>
  </si>
  <si>
    <t>Snake Blood</t>
  </si>
  <si>
    <t>Con P or Experim</t>
  </si>
  <si>
    <t>Experimenter 3</t>
  </si>
  <si>
    <t>Purity</t>
  </si>
  <si>
    <t>Light Fingers 1</t>
  </si>
  <si>
    <t>Stealth Rank 1</t>
  </si>
  <si>
    <t>Haggling 1</t>
  </si>
  <si>
    <t>Light Fingers 2</t>
  </si>
  <si>
    <t>Stealth Rank 2</t>
  </si>
  <si>
    <t>Haggling 2</t>
  </si>
  <si>
    <t>Night Thief</t>
  </si>
  <si>
    <t>Backstab</t>
  </si>
  <si>
    <t>Allure</t>
  </si>
  <si>
    <t>Light Fingers 3</t>
  </si>
  <si>
    <t>Muffled Moves</t>
  </si>
  <si>
    <t>Bribery</t>
  </si>
  <si>
    <t>Poisoned</t>
  </si>
  <si>
    <t>Stealth Rank 3</t>
  </si>
  <si>
    <t>Haggling 3</t>
  </si>
  <si>
    <t>Cutpurse</t>
  </si>
  <si>
    <t>Deadly Aim</t>
  </si>
  <si>
    <t>Merchant</t>
  </si>
  <si>
    <t>Extra Pockets</t>
  </si>
  <si>
    <t>Light Foot</t>
  </si>
  <si>
    <t>Muffled Move</t>
  </si>
  <si>
    <t>Persuasion</t>
  </si>
  <si>
    <t>Light Fingers 4</t>
  </si>
  <si>
    <t>Assassin's Blade</t>
  </si>
  <si>
    <t>Haggling 4</t>
  </si>
  <si>
    <t>Key Master(Gozer?)</t>
  </si>
  <si>
    <t>Silent Roll</t>
  </si>
  <si>
    <t>Light foot</t>
  </si>
  <si>
    <t>Investor</t>
  </si>
  <si>
    <t>Misdirection</t>
  </si>
  <si>
    <t>Stealth Rank 4</t>
  </si>
  <si>
    <t>Intimidation</t>
  </si>
  <si>
    <t>Light Fingers 5</t>
  </si>
  <si>
    <t>Silence</t>
  </si>
  <si>
    <t>Haggling 5</t>
  </si>
  <si>
    <t>Perfect Touch</t>
  </si>
  <si>
    <t>Stealth Rank 5</t>
  </si>
  <si>
    <t>Shadow Warrior</t>
  </si>
  <si>
    <t>Ass Bl or Silen</t>
  </si>
  <si>
    <t>Combat Skills</t>
  </si>
  <si>
    <t>Overdraw 1</t>
  </si>
  <si>
    <t>Shield Wall 1</t>
  </si>
  <si>
    <t>Juggernaut 1</t>
  </si>
  <si>
    <t>Overdraw 2</t>
  </si>
  <si>
    <t>Shield Wall 2</t>
  </si>
  <si>
    <t>Juggernaut 2</t>
  </si>
  <si>
    <t>Critical Shot 1</t>
  </si>
  <si>
    <t>Overdraw 5</t>
  </si>
  <si>
    <t>Quick Reflexes</t>
  </si>
  <si>
    <t>Fists of Steel</t>
  </si>
  <si>
    <t>Eagle Eye</t>
  </si>
  <si>
    <t>Deflect Arrows</t>
  </si>
  <si>
    <t>Well Fitted</t>
  </si>
  <si>
    <t>Overdraw 3</t>
  </si>
  <si>
    <t>Power Bash</t>
  </si>
  <si>
    <t>Juggernaut 3</t>
  </si>
  <si>
    <t>Steady Hand 1</t>
  </si>
  <si>
    <t>Shield Wall 3</t>
  </si>
  <si>
    <t>Cushioned</t>
  </si>
  <si>
    <t>Power Shot</t>
  </si>
  <si>
    <t>Deadly Bash</t>
  </si>
  <si>
    <t>Tower of Str.</t>
  </si>
  <si>
    <t xml:space="preserve">Hunter's Discipline </t>
  </si>
  <si>
    <t>Element Protect</t>
  </si>
  <si>
    <t>Juggernaut 4</t>
  </si>
  <si>
    <t>Critical Shot 2</t>
  </si>
  <si>
    <t>Shield Wall 4</t>
  </si>
  <si>
    <t>Conditioning</t>
  </si>
  <si>
    <t>Overdraw 4</t>
  </si>
  <si>
    <t>Block Runner</t>
  </si>
  <si>
    <t>Elem Protect</t>
  </si>
  <si>
    <t>Ranger</t>
  </si>
  <si>
    <t>Hunter's Dis</t>
  </si>
  <si>
    <t>Disarming Bash</t>
  </si>
  <si>
    <t>Juggernaut 5</t>
  </si>
  <si>
    <t>Steady Hand 2</t>
  </si>
  <si>
    <t>Shield Wall 5</t>
  </si>
  <si>
    <t>Reflective Blows</t>
  </si>
  <si>
    <t>Quick Shot</t>
  </si>
  <si>
    <t>Shield Charge</t>
  </si>
  <si>
    <t>B Run/Dis Bash</t>
  </si>
  <si>
    <t>Critical Shot 3</t>
  </si>
  <si>
    <t>Bullseye</t>
  </si>
  <si>
    <t>Quick S or Ran</t>
  </si>
  <si>
    <t>Armsman 1</t>
  </si>
  <si>
    <t>Steel Smith</t>
  </si>
  <si>
    <t>Barbarian 1</t>
  </si>
  <si>
    <t>Armsman 2</t>
  </si>
  <si>
    <t>Elven Smith</t>
  </si>
  <si>
    <t>Steel</t>
  </si>
  <si>
    <t>Barbarian 2</t>
  </si>
  <si>
    <t>Fighting Stance</t>
  </si>
  <si>
    <t>Dwarven Smith</t>
  </si>
  <si>
    <t>Champion Stance</t>
  </si>
  <si>
    <t>Dual Flurry 1</t>
  </si>
  <si>
    <t>Orcish Smith</t>
  </si>
  <si>
    <t>Dwarven</t>
  </si>
  <si>
    <t>Limbsplitter 1</t>
  </si>
  <si>
    <t>Bladesman 1</t>
  </si>
  <si>
    <t>Adv. Armors</t>
  </si>
  <si>
    <t>Elven</t>
  </si>
  <si>
    <t>Skullcrusher 1</t>
  </si>
  <si>
    <t>Hack and Slash 1</t>
  </si>
  <si>
    <t>Arcane Smith</t>
  </si>
  <si>
    <t>Deep Wounds 1</t>
  </si>
  <si>
    <t>Bone Breaker 1</t>
  </si>
  <si>
    <t>Glass Smith</t>
  </si>
  <si>
    <t>Adv.Armors</t>
  </si>
  <si>
    <t>Barbarian 3</t>
  </si>
  <si>
    <t>Armsman 3</t>
  </si>
  <si>
    <t>Ebony Smith</t>
  </si>
  <si>
    <t>Orcish</t>
  </si>
  <si>
    <t>Devastating Blow</t>
  </si>
  <si>
    <t>Champ Stance</t>
  </si>
  <si>
    <t>Dual Flurry 2</t>
  </si>
  <si>
    <t>Daedric Smith</t>
  </si>
  <si>
    <t>Ebony</t>
  </si>
  <si>
    <t>Great Crit Char</t>
  </si>
  <si>
    <t>Savage Strike</t>
  </si>
  <si>
    <t>Dragon Armor</t>
  </si>
  <si>
    <t>Daedric/Glass</t>
  </si>
  <si>
    <t>Barbarian 4</t>
  </si>
  <si>
    <t>Critical Charge</t>
  </si>
  <si>
    <t>Limbsplitter 2</t>
  </si>
  <si>
    <t>Armsman 4</t>
  </si>
  <si>
    <t>Skullcrusher 2</t>
  </si>
  <si>
    <t>Bladesman 2</t>
  </si>
  <si>
    <t>Deep Wounds 2</t>
  </si>
  <si>
    <t>Hack and Slash 2</t>
  </si>
  <si>
    <t>Sweep</t>
  </si>
  <si>
    <t>Dev Blow/GCC</t>
  </si>
  <si>
    <t>Bone Breaker 2</t>
  </si>
  <si>
    <t>Barbarian 5</t>
  </si>
  <si>
    <t>Dual Savagery</t>
  </si>
  <si>
    <t>Limbsplitter 3</t>
  </si>
  <si>
    <t>Armsman 5</t>
  </si>
  <si>
    <t>Skullcrusher 3</t>
  </si>
  <si>
    <t>Bladesman 3</t>
  </si>
  <si>
    <t>Deep Wounds 3</t>
  </si>
  <si>
    <t>Hack and Slash 3</t>
  </si>
  <si>
    <t>Warmaster</t>
  </si>
  <si>
    <t>Bone Breaker 3</t>
  </si>
  <si>
    <t>Paralysing Strike</t>
  </si>
  <si>
    <t>C Charge or S Strike</t>
  </si>
  <si>
    <t>Magic Skills</t>
  </si>
  <si>
    <t>Skill</t>
  </si>
  <si>
    <t>Dual Casting</t>
  </si>
  <si>
    <t>Mystic Binding</t>
  </si>
  <si>
    <t>Mage Armor 1</t>
  </si>
  <si>
    <t>Aug. Flames 1</t>
  </si>
  <si>
    <t>Magic Res 1</t>
  </si>
  <si>
    <t>Summoner 1</t>
  </si>
  <si>
    <t>Aug.Frost 1</t>
  </si>
  <si>
    <t>Soul Stealer</t>
  </si>
  <si>
    <t>Aug.Shock 1</t>
  </si>
  <si>
    <t>Mage Armor 2</t>
  </si>
  <si>
    <t>Atromancy</t>
  </si>
  <si>
    <t>Impact</t>
  </si>
  <si>
    <t>Magic Res 2</t>
  </si>
  <si>
    <t>Necromancy</t>
  </si>
  <si>
    <t>Rune Master</t>
  </si>
  <si>
    <t>Stability</t>
  </si>
  <si>
    <t>Summoner 2</t>
  </si>
  <si>
    <t>Aug. Flames 2</t>
  </si>
  <si>
    <t>Mage Armor 3</t>
  </si>
  <si>
    <t>Oblivion binding</t>
  </si>
  <si>
    <t>Intense Flames</t>
  </si>
  <si>
    <t>Magic Res 3</t>
  </si>
  <si>
    <t>Dark Souls</t>
  </si>
  <si>
    <t>Aug.Frost 2</t>
  </si>
  <si>
    <t>Aug. Shock 2</t>
  </si>
  <si>
    <t>Atronach</t>
  </si>
  <si>
    <t>Elemental Potency</t>
  </si>
  <si>
    <t>Deep Freeze</t>
  </si>
  <si>
    <t>Disintegrate</t>
  </si>
  <si>
    <t>Twin Souls</t>
  </si>
  <si>
    <t>Enchanter 1</t>
  </si>
  <si>
    <t>Enchanter 2</t>
  </si>
  <si>
    <t>Soul Squeezer</t>
  </si>
  <si>
    <t>Animage</t>
  </si>
  <si>
    <t>Regeneration</t>
  </si>
  <si>
    <t>Fire Enchanter</t>
  </si>
  <si>
    <t>Enchanter 3</t>
  </si>
  <si>
    <t>Hypnotic Gaze</t>
  </si>
  <si>
    <t>Recovery 1</t>
  </si>
  <si>
    <t>Soul Siphon</t>
  </si>
  <si>
    <t>Kindred Mage</t>
  </si>
  <si>
    <t>Respite</t>
  </si>
  <si>
    <t>Frost Enchanter</t>
  </si>
  <si>
    <t>Storm Enchanter</t>
  </si>
  <si>
    <t>Aspect of Terror</t>
  </si>
  <si>
    <t>Recovery 2</t>
  </si>
  <si>
    <t>Insight Enchanter</t>
  </si>
  <si>
    <t>Quiet Casting</t>
  </si>
  <si>
    <t>Ward Absorb</t>
  </si>
  <si>
    <t>Enchanter 4</t>
  </si>
  <si>
    <t>Rage</t>
  </si>
  <si>
    <t>Necromage</t>
  </si>
  <si>
    <t>Corpus Enchanter</t>
  </si>
  <si>
    <t>Insightful</t>
  </si>
  <si>
    <t>Enchanter 5</t>
  </si>
  <si>
    <t>Master Mind</t>
  </si>
  <si>
    <t>Rage/Quiet</t>
  </si>
  <si>
    <t>Avoid Death</t>
  </si>
  <si>
    <t>Extra Effect</t>
  </si>
  <si>
    <t>Storm or Corpus</t>
  </si>
  <si>
    <t>Dawnguard DLC perks</t>
  </si>
  <si>
    <t>Quest  Perks</t>
  </si>
  <si>
    <t>Vampire Lord Perks</t>
  </si>
  <si>
    <t>Werewolf Perks</t>
  </si>
  <si>
    <t>Feedings</t>
  </si>
  <si>
    <t>Power of the Grave</t>
  </si>
  <si>
    <t>Bestial Strength 1</t>
  </si>
  <si>
    <t>Sinderion's Serendipity</t>
  </si>
  <si>
    <t>Detect All Creatures</t>
  </si>
  <si>
    <t>Bestial Strength 2</t>
  </si>
  <si>
    <t>Sailor's Repose</t>
  </si>
  <si>
    <t>Mist Form</t>
  </si>
  <si>
    <t>Bestial Strength 3</t>
  </si>
  <si>
    <t>Prowler's Profit</t>
  </si>
  <si>
    <t>No Stone Unturned</t>
  </si>
  <si>
    <t>Supernatural Reflexes</t>
  </si>
  <si>
    <t>Bestial Strength 4</t>
  </si>
  <si>
    <t>Agent of Mara</t>
  </si>
  <si>
    <t>The Book of Love</t>
  </si>
  <si>
    <t>Blood Healing</t>
  </si>
  <si>
    <t>Totem of Ice Brothers</t>
  </si>
  <si>
    <t>Bestial Strength</t>
  </si>
  <si>
    <t>Agent of Dibella</t>
  </si>
  <si>
    <t>The Heart of Dibella</t>
  </si>
  <si>
    <t>Unearthly Will</t>
  </si>
  <si>
    <t>Totem of the Moon</t>
  </si>
  <si>
    <t>Nightingale Armor</t>
  </si>
  <si>
    <t>Trinity Restored</t>
  </si>
  <si>
    <t>Poison Talons</t>
  </si>
  <si>
    <t>Un Will / Bl Heal</t>
  </si>
  <si>
    <t>Totem of the Predator</t>
  </si>
  <si>
    <t>Ancient Knowledge</t>
  </si>
  <si>
    <t>Unfathomable Depths</t>
  </si>
  <si>
    <t>Night Cloak</t>
  </si>
  <si>
    <t>Totem of Terror</t>
  </si>
  <si>
    <t>Dragon Infusion</t>
  </si>
  <si>
    <t>Dragon Research</t>
  </si>
  <si>
    <t>Vampiric Grip</t>
  </si>
  <si>
    <t>Animal Vigor</t>
  </si>
  <si>
    <t>Turn of the Seasons (AE)</t>
  </si>
  <si>
    <t>Summon Gargoyle</t>
  </si>
  <si>
    <t>Gorging</t>
  </si>
  <si>
    <t>Corpse Curse</t>
  </si>
  <si>
    <t>Savage Feeding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</si>
</sst>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numFmt numFmtId="165" formatCode="M/d/yyyy"/>
    <numFmt numFmtId="166" formatCode="&quot;$&quot;#,##0.00"/>
    <numFmt numFmtId="167" formatCode="h:mm:ss am/pm"/>
    <numFmt numFmtId="168" formatCode="m/d"/>
  </numFmts>
  <fonts count="164">
    <font>
      <sz val="11.0"/>
      <color rgb="FF000000"/>
      <name val="Calibri"/>
    </font>
    <font>
      <b/>
      <sz val="14.0"/>
      <color rgb="FFFFFFFF"/>
      <name val="Calibri"/>
    </font>
    <font>
      <name val="Calibri"/>
    </font>
    <font>
      <sz val="24.0"/>
      <color rgb="FFFF0000"/>
      <name val="Calibri"/>
    </font>
    <font>
      <u/>
      <color rgb="FF0000FF"/>
      <name val="Calibri"/>
    </font>
    <font>
      <color rgb="FFFF0000"/>
    </font>
    <font>
      <color rgb="FF000000"/>
    </font>
    <font>
      <color rgb="FF000000"/>
      <name val="Calibri"/>
    </font>
    <font>
      <u/>
      <color rgb="FF0000FF"/>
      <name val="Calibri"/>
    </font>
    <font>
      <u/>
      <color rgb="FF0000FF"/>
      <name val="Calibri"/>
    </font>
    <font>
      <u/>
      <sz val="11.0"/>
      <color rgb="FF0000FF"/>
      <name val="Calibri"/>
    </font>
    <font>
      <sz val="14.0"/>
      <color rgb="FFFFFFFF"/>
      <name val="Calibri"/>
    </font>
    <font>
      <b/>
      <name val="Calibri"/>
    </font>
    <font>
      <color rgb="FFFF0000"/>
      <name val="Calibri"/>
    </font>
    <font>
      <sz val="11.0"/>
      <color rgb="FFFF0000"/>
      <name val="Calibri"/>
    </font>
    <font/>
    <font>
      <sz val="14.0"/>
      <color rgb="FFFFFFFF"/>
    </font>
    <font>
      <b/>
      <sz val="11.0"/>
      <color rgb="FFFFFFFF"/>
      <name val="Calibri"/>
    </font>
    <font>
      <sz val="11.0"/>
      <name val="Calibri"/>
    </font>
    <font>
      <sz val="11.0"/>
      <color rgb="FFFFFFFF"/>
      <name val="Calibri"/>
    </font>
    <font>
      <u/>
      <sz val="11.0"/>
      <color rgb="FF0000FF"/>
      <name val="Inconsolata"/>
    </font>
    <font>
      <sz val="11.0"/>
      <name val="Inconsolata"/>
    </font>
    <font>
      <u/>
      <sz val="11.0"/>
      <color rgb="FF0000FF"/>
      <name val="Inconsolata"/>
    </font>
    <font>
      <sz val="11.0"/>
      <color rgb="FF1155CC"/>
      <name val="Inconsolata"/>
    </font>
    <font>
      <sz val="11.0"/>
      <color rgb="FF000000"/>
      <name val="Docs-Calibri"/>
    </font>
    <font>
      <u/>
      <color rgb="FF0000FF"/>
      <name val="Calibri"/>
    </font>
    <font>
      <u/>
      <color rgb="FF0000FF"/>
      <name val="Calibri"/>
    </font>
    <font>
      <b/>
      <sz val="11.0"/>
      <color rgb="FF000000"/>
      <name val="Calibri"/>
    </font>
    <font>
      <b/>
      <sz val="8.0"/>
      <color rgb="FF000000"/>
      <name val="Calibri"/>
    </font>
    <font>
      <sz val="24.0"/>
      <color rgb="FF000000"/>
      <name val="Calibri"/>
    </font>
    <font>
      <sz val="13.0"/>
      <color rgb="FF000000"/>
      <name val="Calibri"/>
    </font>
    <font>
      <sz val="8.0"/>
      <color rgb="FF000000"/>
      <name val="Calibri"/>
    </font>
    <font>
      <sz val="8.0"/>
      <name val="Calibri"/>
    </font>
    <font>
      <b/>
      <sz val="9.0"/>
      <color rgb="FFFFFFFF"/>
      <name val="&quot;Google Sans Mono&quot;"/>
    </font>
    <font>
      <b/>
      <u/>
      <sz val="11.0"/>
      <color rgb="FF000000"/>
      <name val="Calibri"/>
    </font>
    <font>
      <sz val="10.0"/>
      <color rgb="FF000000"/>
      <name val="Calibri"/>
    </font>
    <font>
      <u/>
      <sz val="8.0"/>
      <color rgb="FF000000"/>
      <name val="Calibri"/>
    </font>
    <font>
      <u/>
      <sz val="8.0"/>
      <color rgb="FF000000"/>
      <name val="Calibri"/>
    </font>
    <font>
      <u/>
      <sz val="8.0"/>
      <color rgb="FF000000"/>
      <name val="Calibri"/>
    </font>
    <font>
      <u/>
      <sz val="8.0"/>
      <color rgb="FF000000"/>
      <name val="Calibri"/>
    </font>
    <font>
      <u/>
      <sz val="8.0"/>
      <color rgb="FF000000"/>
      <name val="Calibri"/>
    </font>
    <font>
      <u/>
      <sz val="8.0"/>
      <color rgb="FF000000"/>
      <name val="Calibri"/>
    </font>
    <font>
      <u/>
      <sz val="8.0"/>
      <color rgb="FF000000"/>
      <name val="Calibri"/>
    </font>
    <font>
      <sz val="8.0"/>
    </font>
    <font>
      <u/>
      <sz val="8.0"/>
      <color rgb="FF000000"/>
      <name val="Calibri"/>
    </font>
    <font>
      <b/>
      <u/>
      <sz val="8.0"/>
      <color rgb="FF000000"/>
      <name val="Calibri"/>
    </font>
    <font>
      <sz val="8.0"/>
      <color rgb="FF000000"/>
      <name val="Docs-Calibri"/>
    </font>
    <font>
      <u/>
      <sz val="8.0"/>
      <color rgb="FF000000"/>
      <name val="Calibri"/>
    </font>
    <font>
      <u/>
      <sz val="8.0"/>
      <color rgb="FF000000"/>
      <name val="Calibri"/>
    </font>
    <font>
      <b/>
      <sz val="9.0"/>
      <name val="&quot;Google Sans Mono&quot;"/>
    </font>
    <font>
      <b/>
      <sz val="9.0"/>
      <color rgb="FF000000"/>
      <name val="&quot;Google Sans Mono&quot;"/>
    </font>
    <font>
      <u/>
      <sz val="8.0"/>
      <color rgb="FF000000"/>
      <name val="Calibri"/>
    </font>
    <font>
      <u/>
      <sz val="8.0"/>
      <color rgb="FF000000"/>
      <name val="Calibri"/>
    </font>
    <font>
      <sz val="10.0"/>
      <name val="Calibri"/>
    </font>
    <font>
      <u/>
      <sz val="8.0"/>
      <color rgb="FF000000"/>
      <name val="Calibri"/>
    </font>
    <font>
      <u/>
      <sz val="8.0"/>
      <color rgb="FF000000"/>
      <name val="Calibri"/>
    </font>
    <font>
      <u/>
      <sz val="8.0"/>
      <color rgb="FF000000"/>
      <name val="Calibri"/>
    </font>
    <font>
      <u/>
      <sz val="8.0"/>
      <color rgb="FF000000"/>
      <name val="Calibri"/>
    </font>
    <font>
      <u/>
      <sz val="10.0"/>
      <color rgb="FF000000"/>
      <name val="Calibri"/>
    </font>
    <font>
      <u/>
      <sz val="8.0"/>
      <color rgb="FF0000FF"/>
      <name val="Calibri"/>
    </font>
    <font>
      <u/>
      <sz val="8.0"/>
      <color rgb="FF000000"/>
      <name val="Calibri"/>
    </font>
    <font>
      <u/>
      <sz val="14.0"/>
      <color rgb="FFFFFFFF"/>
      <name val="Calibri"/>
    </font>
    <font>
      <u/>
      <sz val="8.0"/>
      <color rgb="FF0000FF"/>
      <name val="Calibri"/>
    </font>
    <font>
      <b/>
      <u/>
      <sz val="10.0"/>
      <color rgb="FF0000FF"/>
      <name val="Calibri"/>
    </font>
    <font>
      <u/>
      <sz val="8.0"/>
      <color rgb="FF0000FF"/>
      <name val="Calibri"/>
    </font>
    <font>
      <u/>
      <sz val="8.0"/>
      <color rgb="FF1155CC"/>
      <name val="Calibri"/>
    </font>
    <font>
      <u/>
      <sz val="8.0"/>
      <color rgb="FF1155CC"/>
      <name val="Calibri"/>
    </font>
    <font>
      <sz val="11.0"/>
      <color rgb="FFFFFFFF"/>
    </font>
    <font>
      <u/>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sz val="11.0"/>
      <color rgb="FF1155CC"/>
      <name val="Calibri"/>
    </font>
    <font>
      <u/>
      <sz val="11.0"/>
      <color rgb="FF000000"/>
      <name val="Calibri"/>
    </font>
    <font>
      <b/>
      <u/>
      <sz val="11.0"/>
      <color rgb="FF000000"/>
      <name val="Calibri"/>
    </font>
    <font>
      <u/>
      <sz val="11.0"/>
      <color rgb="FF000000"/>
      <name val="Calibri"/>
    </font>
    <font>
      <b/>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b/>
      <u/>
      <sz val="11.0"/>
      <color rgb="FF000000"/>
      <name val="Calibri"/>
    </font>
    <font>
      <u/>
      <sz val="11.0"/>
      <color rgb="FF000000"/>
      <name val="Calibri"/>
    </font>
    <font>
      <u/>
      <sz val="11.0"/>
      <color rgb="FF000000"/>
      <name val="Calibri"/>
    </font>
    <font>
      <b/>
      <u/>
      <sz val="11.0"/>
      <color rgb="FF000000"/>
      <name val="Calibri"/>
    </font>
    <font>
      <b/>
      <u/>
      <sz val="11.0"/>
      <color rgb="FF000000"/>
      <name val="Calibri"/>
    </font>
    <font>
      <u/>
      <sz val="11.0"/>
      <color rgb="FF000000"/>
      <name val="Calibri"/>
    </font>
    <font>
      <sz val="14.0"/>
      <name val="Calibri"/>
    </font>
    <font>
      <b/>
      <i/>
      <sz val="11.0"/>
      <color rgb="FF000000"/>
      <name val="Calibri"/>
    </font>
    <font>
      <sz val="24.0"/>
      <name val="Calibri"/>
    </font>
    <font>
      <b/>
      <color rgb="FFFFFFFF"/>
      <name val="Calibri"/>
    </font>
    <font>
      <u/>
      <color rgb="FF0000FF"/>
      <name val="Calibri"/>
    </font>
    <font>
      <u/>
      <color rgb="FF0000FF"/>
      <name val="Calibri"/>
    </font>
    <font>
      <u/>
      <sz val="11.0"/>
      <color rgb="FF1155CC"/>
      <name val="Calibri"/>
    </font>
    <font>
      <u/>
      <sz val="11.0"/>
      <color rgb="FF1155CC"/>
      <name val="Calibri"/>
    </font>
    <font>
      <u/>
      <color rgb="FF1155CC"/>
      <name val="Calibri"/>
    </font>
    <font>
      <u/>
      <color rgb="FF0000FF"/>
      <name val="Calibri"/>
    </font>
    <font>
      <u/>
      <color rgb="FF0000FF"/>
      <name val="Calibri"/>
    </font>
    <font>
      <u/>
      <color rgb="FF0000FF"/>
      <name val="Calibri"/>
    </font>
    <font>
      <b/>
      <sz val="14.0"/>
      <color rgb="FF000000"/>
      <name val="Calibri"/>
    </font>
    <font>
      <u/>
      <sz val="11.0"/>
      <color rgb="FF1155CC"/>
      <name val="Calibri"/>
    </font>
    <font>
      <u/>
      <sz val="11.0"/>
      <color rgb="FF1155CC"/>
      <name val="Calibri"/>
    </font>
    <font>
      <u/>
      <color rgb="FF0000FF"/>
      <name val="Calibri"/>
    </font>
    <font>
      <u/>
      <color rgb="FF0000FF"/>
      <name val="Calibri"/>
    </font>
    <font>
      <color rgb="FFFFFFFF"/>
      <name val="Calibri"/>
    </font>
    <font>
      <u/>
      <sz val="11.0"/>
      <color rgb="FF1155CC"/>
      <name val="Calibri"/>
    </font>
    <font>
      <u/>
      <color rgb="FF0000FF"/>
      <name val="Calibri"/>
    </font>
    <font>
      <u/>
      <sz val="11.0"/>
      <color rgb="FF1155CC"/>
      <name val="Calibri"/>
    </font>
    <font>
      <color rgb="FF1155CC"/>
      <name val="Calibri"/>
    </font>
    <font>
      <u/>
      <color rgb="FF1155CC"/>
      <name val="Calibri"/>
    </font>
    <font>
      <u/>
      <color rgb="FF0000FF"/>
      <name val="Calibri"/>
    </font>
    <font>
      <u/>
      <color rgb="FF0000FF"/>
      <name val="Calibri"/>
    </font>
    <font>
      <u/>
      <sz val="11.0"/>
      <color rgb="FF1155CC"/>
      <name val="Calibri"/>
    </font>
    <font>
      <u/>
      <sz val="11.0"/>
      <color rgb="FF1155CC"/>
      <name val="Calibri"/>
    </font>
    <font>
      <u/>
      <color rgb="FF0000FF"/>
      <name val="Calibri"/>
    </font>
    <font>
      <u/>
      <color rgb="FF0000FF"/>
      <name val="Calibri"/>
    </font>
    <font>
      <u/>
      <color rgb="FF0000FF"/>
      <name val="Calibri"/>
    </font>
    <font>
      <u/>
      <sz val="11.0"/>
      <color rgb="FF1155CC"/>
      <name val="Calibri"/>
    </font>
    <font>
      <u/>
      <color rgb="FF0000FF"/>
      <name val="Calibri"/>
    </font>
    <font>
      <u/>
      <sz val="11.0"/>
      <color rgb="FF1155CC"/>
      <name val="Calibri"/>
    </font>
    <font>
      <u/>
      <sz val="11.0"/>
      <color rgb="FF1155CC"/>
      <name val="Calibri"/>
    </font>
    <font>
      <u/>
      <sz val="11.0"/>
      <color rgb="FF1155CC"/>
      <name val="Calibri"/>
    </font>
    <font>
      <u/>
      <sz val="14.0"/>
      <color rgb="FFFFFF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b/>
      <sz val="11.0"/>
      <name val="Calibri"/>
    </font>
    <font>
      <u/>
      <sz val="11.0"/>
      <color rgb="FF1155CC"/>
      <name val="Calibri"/>
    </font>
    <font>
      <u/>
      <sz val="11.0"/>
      <color rgb="FF1155CC"/>
      <name val="Calibri"/>
    </font>
    <font>
      <u/>
      <sz val="11.0"/>
      <color rgb="FF1155CC"/>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b/>
      <sz val="13.0"/>
      <color rgb="FFFFFFFF"/>
      <name val="Calibri"/>
    </font>
    <font>
      <b/>
      <i/>
      <sz val="13.0"/>
      <color rgb="FF000000"/>
      <name val="Calibri"/>
    </font>
    <font>
      <b/>
      <u/>
      <sz val="11.0"/>
      <color rgb="FFFFFFFF"/>
      <name val="Calibri"/>
    </font>
    <font>
      <sz val="11.0"/>
      <color rgb="FF222222"/>
      <name val="Calibri"/>
    </font>
    <font>
      <u/>
      <sz val="11.0"/>
      <color rgb="FF0000FF"/>
      <name val="Calibri"/>
    </font>
    <font>
      <u/>
      <sz val="11.0"/>
      <color rgb="FF0000FF"/>
      <name val="Calibri"/>
    </font>
  </fonts>
  <fills count="32">
    <fill>
      <patternFill patternType="none"/>
    </fill>
    <fill>
      <patternFill patternType="lightGray"/>
    </fill>
    <fill>
      <patternFill patternType="solid">
        <fgColor rgb="FF366092"/>
        <bgColor rgb="FF366092"/>
      </patternFill>
    </fill>
    <fill>
      <patternFill patternType="solid">
        <fgColor rgb="FFFFFFFF"/>
        <bgColor rgb="FFFFFFFF"/>
      </patternFill>
    </fill>
    <fill>
      <patternFill patternType="solid">
        <fgColor rgb="FF000000"/>
        <bgColor rgb="FF000000"/>
      </patternFill>
    </fill>
    <fill>
      <patternFill patternType="solid">
        <fgColor rgb="FF17365D"/>
        <bgColor rgb="FF17365D"/>
      </patternFill>
    </fill>
    <fill>
      <patternFill patternType="solid">
        <fgColor rgb="FF95B3D7"/>
        <bgColor rgb="FF95B3D7"/>
      </patternFill>
    </fill>
    <fill>
      <patternFill patternType="solid">
        <fgColor rgb="FFFABF8F"/>
        <bgColor rgb="FFFABF8F"/>
      </patternFill>
    </fill>
    <fill>
      <patternFill patternType="solid">
        <fgColor rgb="FFFFFF99"/>
        <bgColor rgb="FFFFFF99"/>
      </patternFill>
    </fill>
    <fill>
      <patternFill patternType="solid">
        <fgColor rgb="FFD99594"/>
        <bgColor rgb="FFD99594"/>
      </patternFill>
    </fill>
    <fill>
      <patternFill patternType="solid">
        <fgColor rgb="FF1F497D"/>
        <bgColor rgb="FF1F497D"/>
      </patternFill>
    </fill>
    <fill>
      <patternFill patternType="solid">
        <fgColor rgb="FFFFFF66"/>
        <bgColor rgb="FFFFFF66"/>
      </patternFill>
    </fill>
    <fill>
      <patternFill patternType="solid">
        <fgColor rgb="FFFFFF00"/>
        <bgColor rgb="FFFFFF00"/>
      </patternFill>
    </fill>
    <fill>
      <patternFill patternType="solid">
        <fgColor rgb="FFBFBFBF"/>
        <bgColor rgb="FFBFBFBF"/>
      </patternFill>
    </fill>
    <fill>
      <patternFill patternType="solid">
        <fgColor rgb="FFB8CCE4"/>
        <bgColor rgb="FFB8CCE4"/>
      </patternFill>
    </fill>
    <fill>
      <patternFill patternType="solid">
        <fgColor rgb="FF9BBB59"/>
        <bgColor rgb="FF9BBB59"/>
      </patternFill>
    </fill>
    <fill>
      <patternFill patternType="solid">
        <fgColor rgb="FFD9D2E9"/>
        <bgColor rgb="FFD9D2E9"/>
      </patternFill>
    </fill>
    <fill>
      <patternFill patternType="solid">
        <fgColor rgb="FFF4CCCC"/>
        <bgColor rgb="FFF4CCCC"/>
      </patternFill>
    </fill>
    <fill>
      <patternFill patternType="solid">
        <fgColor rgb="FFFBD4B4"/>
        <bgColor rgb="FFFBD4B4"/>
      </patternFill>
    </fill>
    <fill>
      <patternFill patternType="solid">
        <fgColor rgb="FFB6DDE8"/>
        <bgColor rgb="FFB6DDE8"/>
      </patternFill>
    </fill>
    <fill>
      <patternFill patternType="solid">
        <fgColor rgb="FFD6E3BC"/>
        <bgColor rgb="FFD6E3BC"/>
      </patternFill>
    </fill>
    <fill>
      <patternFill patternType="solid">
        <fgColor rgb="FFF4C7C3"/>
        <bgColor rgb="FFF4C7C3"/>
      </patternFill>
    </fill>
    <fill>
      <patternFill patternType="solid">
        <fgColor rgb="FF8E7CC3"/>
        <bgColor rgb="FF8E7CC3"/>
      </patternFill>
    </fill>
    <fill>
      <patternFill patternType="solid">
        <fgColor rgb="FFB45F06"/>
        <bgColor rgb="FFB45F06"/>
      </patternFill>
    </fill>
    <fill>
      <patternFill patternType="solid">
        <fgColor rgb="FF3D85C6"/>
        <bgColor rgb="FF3D85C6"/>
      </patternFill>
    </fill>
    <fill>
      <patternFill patternType="solid">
        <fgColor rgb="FFE06666"/>
        <bgColor rgb="FFE06666"/>
      </patternFill>
    </fill>
    <fill>
      <patternFill patternType="solid">
        <fgColor rgb="FF93C47D"/>
        <bgColor rgb="FF93C47D"/>
      </patternFill>
    </fill>
    <fill>
      <patternFill patternType="solid">
        <fgColor rgb="FF3C78D8"/>
        <bgColor rgb="FF3C78D8"/>
      </patternFill>
    </fill>
    <fill>
      <patternFill patternType="solid">
        <fgColor rgb="FF674EA7"/>
        <bgColor rgb="FF674EA7"/>
      </patternFill>
    </fill>
    <fill>
      <patternFill patternType="solid">
        <fgColor rgb="FF38761D"/>
        <bgColor rgb="FF38761D"/>
      </patternFill>
    </fill>
    <fill>
      <patternFill patternType="solid">
        <fgColor rgb="FFD9EAD3"/>
        <bgColor rgb="FFD9EAD3"/>
      </patternFill>
    </fill>
    <fill>
      <patternFill patternType="solid">
        <fgColor rgb="FF0B5394"/>
        <bgColor rgb="FF0B5394"/>
      </patternFill>
    </fill>
  </fills>
  <borders count="8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right/>
      <bottom style="thin">
        <color rgb="FF000000"/>
      </bottom>
    </border>
    <border>
      <left/>
      <bottom style="thin">
        <color rgb="FF000000"/>
      </bottom>
    </border>
    <border>
      <left style="thin">
        <color rgb="FF000000"/>
      </left>
      <right/>
      <bottom style="thin">
        <color rgb="FF000000"/>
      </bottom>
    </border>
    <border>
      <right style="thin">
        <color rgb="FF000000"/>
      </right>
      <bottom style="thin">
        <color rgb="FF000000"/>
      </bottom>
    </border>
    <border>
      <left/>
      <right/>
    </border>
    <border>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right style="thin">
        <color rgb="FFFFFFFF"/>
      </right>
      <top style="thin">
        <color rgb="FFFFFFFF"/>
      </top>
      <bottom/>
    </border>
    <border>
      <left style="thin">
        <color rgb="FFFFFFFF"/>
      </left>
      <right style="thin">
        <color rgb="FFFFFFFF"/>
      </right>
      <top style="thin">
        <color rgb="FFFFFFFF"/>
      </top>
      <bottom/>
    </border>
    <border>
      <left style="thin">
        <color rgb="FFFFFFFF"/>
      </left>
      <right style="thin">
        <color rgb="FF000000"/>
      </right>
      <top style="thin">
        <color rgb="FFFFFFFF"/>
      </top>
      <bottom/>
    </border>
    <border>
      <left/>
      <right/>
      <top/>
    </border>
    <border>
      <left/>
      <right/>
      <bottom/>
    </border>
    <border>
      <left/>
      <right style="thin">
        <color rgb="FF000000"/>
      </right>
      <top/>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top/>
      <bottom/>
    </border>
    <border>
      <left style="thin">
        <color rgb="FF000000"/>
      </left>
      <right style="thin">
        <color rgb="FF000000"/>
      </right>
      <bottom style="thin">
        <color rgb="FF000000"/>
      </bottom>
    </border>
    <border>
      <left style="thin">
        <color rgb="FF000000"/>
      </left>
      <right style="thin">
        <color rgb="FF000000"/>
      </right>
    </border>
    <border>
      <left/>
      <right style="thin">
        <color rgb="FF000000"/>
      </right>
      <top/>
      <bottom/>
    </border>
    <border>
      <left style="thin">
        <color rgb="FF000000"/>
      </left>
    </border>
    <border>
      <right style="thin">
        <color rgb="FF000000"/>
      </right>
    </border>
    <border>
      <left style="thin">
        <color rgb="FFFFFFFF"/>
      </left>
      <right style="thin">
        <color rgb="FFFFFFFF"/>
      </right>
      <bottom style="thin">
        <color rgb="FFFFFFFF"/>
      </bottom>
    </border>
    <border>
      <left style="thin">
        <color rgb="FFFFFFFF"/>
      </left>
      <bottom style="thin">
        <color rgb="FFFFFFFF"/>
      </bottom>
    </border>
    <border>
      <left style="thin">
        <color rgb="FFFFFFFF"/>
      </lef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left style="thin">
        <color rgb="FFFFFFFF"/>
      </left>
      <right style="thin">
        <color rgb="FFFFFFFF"/>
      </right>
      <top style="thin">
        <color rgb="FF000000"/>
      </top>
      <bottom style="thin">
        <color rgb="FF000000"/>
      </bottom>
    </border>
    <border>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right style="thin">
        <color rgb="FFFFFFFF"/>
      </right>
      <bottom style="thin">
        <color rgb="FFFFFFFF"/>
      </bottom>
    </border>
    <border>
      <left style="thin">
        <color rgb="FFFFFFFF"/>
      </left>
      <right style="thin">
        <color rgb="FF000000"/>
      </right>
      <bottom style="thin">
        <color rgb="FFFFFFFF"/>
      </bottom>
    </border>
    <border>
      <left/>
      <right style="thin">
        <color rgb="FF000000"/>
      </right>
      <bottom/>
    </border>
    <border>
      <left/>
      <right style="thin">
        <color rgb="FF000000"/>
      </right>
      <top style="thin">
        <color rgb="FF000000"/>
      </top>
      <bottom style="thin">
        <color rgb="FF000000"/>
      </bottom>
    </border>
    <border>
      <left style="thin">
        <color rgb="FF000000"/>
      </left>
      <bottom/>
    </border>
    <border>
      <bottom/>
    </border>
    <border>
      <right style="thin">
        <color rgb="FF000000"/>
      </right>
      <bottom/>
    </border>
    <border>
      <left style="thin">
        <color rgb="FF000000"/>
      </left>
      <top/>
      <bottom style="thin">
        <color rgb="FF000000"/>
      </bottom>
    </border>
    <border>
      <top/>
      <bottom style="thin">
        <color rgb="FF000000"/>
      </bottom>
    </border>
    <border>
      <left style="thin">
        <color rgb="FFFFFFFF"/>
      </left>
      <right style="thin">
        <color rgb="FF000000"/>
      </right>
      <bottom style="thin">
        <color rgb="FF000000"/>
      </bottom>
    </border>
    <border>
      <left style="thin">
        <color rgb="FFFFFFFF"/>
      </left>
      <right style="thin">
        <color rgb="FF000000"/>
      </right>
    </border>
    <border>
      <left style="thin">
        <color rgb="FFFFFFFF"/>
      </left>
      <right style="thin">
        <color rgb="FF000000"/>
      </right>
      <top style="thin">
        <color rgb="FFFFFFFF"/>
      </top>
      <bottom style="thin">
        <color rgb="FF000000"/>
      </bottom>
    </border>
    <border>
      <left/>
      <right/>
      <top/>
      <bottom style="thin">
        <color rgb="FF000000"/>
      </bottom>
    </border>
    <border>
      <left style="thin">
        <color rgb="FF000000"/>
      </left>
      <top style="thin">
        <color rgb="FFFFFFFF"/>
      </top>
      <bottom style="thin">
        <color rgb="FF000000"/>
      </bottom>
    </border>
    <border>
      <top style="thin">
        <color rgb="FFFFFFFF"/>
      </top>
      <bottom style="thin">
        <color rgb="FF000000"/>
      </bottom>
    </border>
    <border>
      <left style="thin">
        <color rgb="FFFFFFFF"/>
      </left>
      <right style="thin">
        <color rgb="FF000000"/>
      </right>
      <top style="thin">
        <color rgb="FFFFFFFF"/>
      </top>
    </border>
    <border>
      <right style="thin">
        <color rgb="FFFFFFFF"/>
      </right>
      <bottom style="thin">
        <color rgb="FF000000"/>
      </bottom>
    </border>
    <border>
      <left style="thin">
        <color rgb="FFFFFFFF"/>
      </left>
      <right style="thin">
        <color rgb="FFFFFFFF"/>
      </right>
      <bottom style="thin">
        <color rgb="FF000000"/>
      </bottom>
    </border>
    <border>
      <left style="thin">
        <color rgb="FF366092"/>
      </left>
      <right style="thin">
        <color rgb="FF000000"/>
      </right>
      <top style="thin">
        <color rgb="FF000000"/>
      </top>
      <bottom style="thin">
        <color rgb="FF000000"/>
      </bottom>
    </border>
    <border>
      <left style="thin">
        <color rgb="FFFFFFFF"/>
      </left>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FFFFFF"/>
      </left>
      <top style="thin">
        <color rgb="FF000000"/>
      </top>
      <bottom style="thin">
        <color rgb="FF000000"/>
      </bottom>
    </border>
    <border>
      <left style="thin">
        <color rgb="FFFFFFFF"/>
      </left>
      <bottom style="thin">
        <color rgb="FF000000"/>
      </bottom>
    </border>
    <border>
      <right style="hair">
        <color rgb="FFFFFFFF"/>
      </right>
      <bottom style="hair">
        <color rgb="FFFFFFFF"/>
      </bottom>
    </border>
    <border>
      <left style="hair">
        <color rgb="FFFFFFFF"/>
      </left>
      <right style="hair">
        <color rgb="FFFFFFFF"/>
      </right>
      <bottom style="hair">
        <color rgb="FFFFFFFF"/>
      </bottom>
    </border>
    <border>
      <right style="hair">
        <color rgb="FFFFFFFF"/>
      </right>
      <top style="hair">
        <color rgb="FFFFFFFF"/>
      </top>
      <bottom style="hair">
        <color rgb="FFFFFFFF"/>
      </bottom>
    </border>
    <border>
      <left style="hair">
        <color rgb="FFFFFFFF"/>
      </left>
      <right style="hair">
        <color rgb="FFFFFFFF"/>
      </right>
      <top style="hair">
        <color rgb="FFFFFFFF"/>
      </top>
      <bottom style="hair">
        <color rgb="FFFFFFFF"/>
      </bottom>
    </border>
    <border>
      <right style="hair">
        <color rgb="FFFFFFFF"/>
      </right>
      <top style="hair">
        <color rgb="FFFFFFFF"/>
      </top>
    </border>
    <border>
      <left style="hair">
        <color rgb="FFFFFFFF"/>
      </left>
      <right style="hair">
        <color rgb="FFFFFFFF"/>
      </right>
      <top style="hair">
        <color rgb="FFFFFFFF"/>
      </top>
    </border>
    <border>
      <left style="thin">
        <color rgb="FFA2A9B1"/>
      </left>
      <right style="thin">
        <color rgb="FFA2A9B1"/>
      </right>
      <top style="thin">
        <color rgb="FFA2A9B1"/>
      </top>
      <bottom style="thin">
        <color rgb="FFA2A9B1"/>
      </bottom>
    </border>
    <border>
      <right style="thin">
        <color rgb="FFA2A9B1"/>
      </right>
      <top style="thin">
        <color rgb="FFA2A9B1"/>
      </top>
      <bottom style="thin">
        <color rgb="FFA2A9B1"/>
      </bottom>
    </border>
  </borders>
  <cellStyleXfs count="1">
    <xf borderId="0" fillId="0" fontId="0" numFmtId="0" applyAlignment="1" applyFont="1"/>
  </cellStyleXfs>
  <cellXfs count="66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right" readingOrder="0"/>
    </xf>
    <xf borderId="0" fillId="2" fontId="1" numFmtId="0" xfId="0" applyAlignment="1" applyFont="1">
      <alignment readingOrder="0" shrinkToFit="0" wrapText="1"/>
    </xf>
    <xf borderId="0" fillId="0" fontId="2" numFmtId="0" xfId="0" applyAlignment="1" applyFont="1">
      <alignment readingOrder="0"/>
    </xf>
    <xf borderId="0" fillId="0" fontId="2" numFmtId="164" xfId="0" applyAlignment="1" applyFont="1" applyNumberFormat="1">
      <alignment horizontal="right" readingOrder="0"/>
    </xf>
    <xf borderId="0" fillId="0" fontId="3" numFmtId="0" xfId="0" applyAlignment="1" applyFont="1">
      <alignment readingOrder="0" shrinkToFit="0" vertical="center" wrapText="1"/>
    </xf>
    <xf borderId="0" fillId="0" fontId="4" numFmtId="0" xfId="0" applyAlignment="1" applyFont="1">
      <alignment readingOrder="0" shrinkToFit="0"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horizontal="right" readingOrder="0" vertical="bottom"/>
    </xf>
    <xf borderId="0" fillId="0" fontId="7" numFmtId="0" xfId="0" applyAlignment="1" applyFont="1">
      <alignment readingOrder="0" shrinkToFit="0" wrapText="1"/>
    </xf>
    <xf borderId="0" fillId="0" fontId="2" numFmtId="165" xfId="0" applyAlignment="1" applyFont="1" applyNumberFormat="1">
      <alignment horizontal="right" readingOrder="0"/>
    </xf>
    <xf borderId="0" fillId="0" fontId="2" numFmtId="0" xfId="0" applyAlignment="1" applyFont="1">
      <alignment readingOrder="0" shrinkToFit="0" vertical="top" wrapText="1"/>
    </xf>
    <xf borderId="0" fillId="0" fontId="8"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2" numFmtId="0" xfId="0" applyAlignment="1" applyFont="1">
      <alignment horizontal="right" readingOrder="0"/>
    </xf>
    <xf borderId="0" fillId="0" fontId="2" numFmtId="0" xfId="0" applyAlignment="1" applyFont="1">
      <alignment shrinkToFit="0" wrapText="1"/>
    </xf>
    <xf borderId="0" fillId="0" fontId="2" numFmtId="0" xfId="0" applyAlignment="1" applyFont="1">
      <alignment readingOrder="0" shrinkToFit="0" vertical="bottom" wrapText="1"/>
    </xf>
    <xf borderId="0" fillId="3" fontId="10" numFmtId="0" xfId="0" applyAlignment="1" applyFill="1" applyFont="1">
      <alignment horizontal="left" readingOrder="0" shrinkToFit="0" wrapText="1"/>
    </xf>
    <xf borderId="1" fillId="2" fontId="11" numFmtId="0" xfId="0" applyAlignment="1" applyBorder="1" applyFont="1">
      <alignment readingOrder="0"/>
    </xf>
    <xf borderId="1" fillId="0" fontId="12" numFmtId="0" xfId="0" applyAlignment="1" applyBorder="1" applyFont="1">
      <alignment readingOrder="0"/>
    </xf>
    <xf borderId="1" fillId="0" fontId="2" numFmtId="0" xfId="0" applyBorder="1" applyFont="1"/>
    <xf borderId="1" fillId="4" fontId="12" numFmtId="0" xfId="0" applyAlignment="1" applyBorder="1" applyFill="1" applyFont="1">
      <alignment readingOrder="0"/>
    </xf>
    <xf borderId="1" fillId="0" fontId="13" numFmtId="0" xfId="0" applyAlignment="1" applyBorder="1" applyFont="1">
      <alignment readingOrder="0" shrinkToFit="0" wrapText="1"/>
    </xf>
    <xf borderId="1" fillId="4" fontId="2" numFmtId="9" xfId="0" applyAlignment="1" applyBorder="1" applyFont="1" applyNumberFormat="1">
      <alignment horizontal="right" readingOrder="0"/>
    </xf>
    <xf borderId="1" fillId="3" fontId="14" numFmtId="0" xfId="0" applyAlignment="1" applyBorder="1" applyFont="1">
      <alignment horizontal="left" readingOrder="0"/>
    </xf>
    <xf borderId="1" fillId="0" fontId="7" numFmtId="0" xfId="0" applyAlignment="1" applyBorder="1" applyFont="1">
      <alignment readingOrder="0"/>
    </xf>
    <xf borderId="1" fillId="0" fontId="2" numFmtId="0" xfId="0" applyAlignment="1" applyBorder="1" applyFont="1">
      <alignment readingOrder="0"/>
    </xf>
    <xf borderId="1" fillId="0" fontId="2" numFmtId="9" xfId="0" applyAlignment="1" applyBorder="1" applyFont="1" applyNumberFormat="1">
      <alignment horizontal="right" readingOrder="0"/>
    </xf>
    <xf borderId="1" fillId="0" fontId="2" numFmtId="9" xfId="0" applyAlignment="1" applyBorder="1" applyFont="1" applyNumberFormat="1">
      <alignment readingOrder="0"/>
    </xf>
    <xf borderId="2" fillId="0" fontId="2" numFmtId="9" xfId="0" applyAlignment="1" applyBorder="1" applyFont="1" applyNumberFormat="1">
      <alignment readingOrder="0"/>
    </xf>
    <xf borderId="2" fillId="0" fontId="2" numFmtId="0" xfId="0" applyAlignment="1" applyBorder="1" applyFont="1">
      <alignment readingOrder="0"/>
    </xf>
    <xf borderId="1" fillId="2" fontId="11" numFmtId="0" xfId="0" applyAlignment="1" applyBorder="1" applyFont="1">
      <alignment horizontal="center" readingOrder="0"/>
    </xf>
    <xf borderId="3" fillId="2" fontId="11" numFmtId="0" xfId="0" applyAlignment="1" applyBorder="1" applyFont="1">
      <alignment horizontal="center" readingOrder="0"/>
    </xf>
    <xf borderId="4" fillId="0" fontId="15" numFmtId="0" xfId="0" applyBorder="1" applyFont="1"/>
    <xf borderId="5" fillId="0" fontId="15" numFmtId="0" xfId="0" applyBorder="1" applyFont="1"/>
    <xf borderId="6" fillId="2" fontId="16" numFmtId="0" xfId="0" applyAlignment="1" applyBorder="1" applyFont="1">
      <alignment horizontal="center" readingOrder="0"/>
    </xf>
    <xf borderId="1" fillId="2" fontId="17" numFmtId="0" xfId="0" applyAlignment="1" applyBorder="1" applyFont="1">
      <alignment horizontal="center" readingOrder="0" vertical="center"/>
    </xf>
    <xf borderId="1" fillId="0" fontId="18" numFmtId="0" xfId="0" applyAlignment="1" applyBorder="1" applyFont="1">
      <alignment horizontal="center" readingOrder="0" vertical="center"/>
    </xf>
    <xf borderId="3" fillId="0" fontId="18" numFmtId="0" xfId="0" applyAlignment="1" applyBorder="1" applyFont="1">
      <alignment horizontal="center" vertical="center"/>
    </xf>
    <xf borderId="1" fillId="0" fontId="0" numFmtId="10" xfId="0" applyAlignment="1" applyBorder="1" applyFont="1" applyNumberFormat="1">
      <alignment horizontal="center" readingOrder="0" vertical="center"/>
    </xf>
    <xf borderId="0" fillId="0" fontId="6" numFmtId="0" xfId="0" applyAlignment="1" applyFont="1">
      <alignment horizontal="center" readingOrder="0" vertical="center"/>
    </xf>
    <xf borderId="1" fillId="2" fontId="19" numFmtId="0" xfId="0" applyAlignment="1" applyBorder="1" applyFont="1">
      <alignment horizontal="center" readingOrder="0" vertical="center"/>
    </xf>
    <xf borderId="1" fillId="3" fontId="0" numFmtId="10" xfId="0" applyAlignment="1" applyBorder="1" applyFont="1" applyNumberFormat="1">
      <alignment horizontal="center" readingOrder="0" vertical="center"/>
    </xf>
    <xf borderId="1" fillId="3" fontId="0" numFmtId="10" xfId="0" applyAlignment="1" applyBorder="1" applyFont="1" applyNumberFormat="1">
      <alignment horizontal="center" vertical="center"/>
    </xf>
    <xf borderId="1" fillId="2" fontId="1" numFmtId="0" xfId="0" applyAlignment="1" applyBorder="1" applyFont="1">
      <alignment readingOrder="0"/>
    </xf>
    <xf borderId="1" fillId="2" fontId="1" numFmtId="0" xfId="0" applyAlignment="1" applyBorder="1" applyFont="1">
      <alignment horizontal="left" readingOrder="0" shrinkToFit="0" vertical="center" wrapText="1"/>
    </xf>
    <xf borderId="0" fillId="3" fontId="20" numFmtId="0" xfId="0" applyAlignment="1" applyFont="1">
      <alignment readingOrder="0"/>
    </xf>
    <xf borderId="1" fillId="0" fontId="2" numFmtId="0" xfId="0" applyAlignment="1" applyBorder="1" applyFont="1">
      <alignment readingOrder="0"/>
    </xf>
    <xf borderId="1" fillId="0" fontId="2" numFmtId="0" xfId="0" applyAlignment="1" applyBorder="1" applyFont="1">
      <alignment horizontal="left" readingOrder="0" shrinkToFit="0" vertical="center" wrapText="1"/>
    </xf>
    <xf borderId="1" fillId="3" fontId="21" numFmtId="0" xfId="0" applyAlignment="1" applyBorder="1" applyFont="1">
      <alignment readingOrder="0"/>
    </xf>
    <xf borderId="0" fillId="3" fontId="0" numFmtId="0" xfId="0" applyAlignment="1" applyFont="1">
      <alignment horizontal="left" readingOrder="0"/>
    </xf>
    <xf borderId="1" fillId="3" fontId="22" numFmtId="0" xfId="0" applyAlignment="1" applyBorder="1" applyFont="1">
      <alignment readingOrder="0"/>
    </xf>
    <xf borderId="1" fillId="3" fontId="23" numFmtId="0" xfId="0" applyBorder="1" applyFont="1"/>
    <xf borderId="0" fillId="3" fontId="24" numFmtId="0" xfId="0" applyAlignment="1" applyFont="1">
      <alignment horizontal="left" readingOrder="0"/>
    </xf>
    <xf borderId="1" fillId="0" fontId="25" numFmtId="0" xfId="0" applyAlignment="1" applyBorder="1" applyFont="1">
      <alignment readingOrder="0"/>
    </xf>
    <xf borderId="1" fillId="0" fontId="2" numFmtId="0" xfId="0" applyAlignment="1" applyBorder="1" applyFont="1">
      <alignment horizontal="left" readingOrder="0" shrinkToFit="0" vertical="center" wrapText="1"/>
    </xf>
    <xf borderId="3" fillId="0" fontId="12" numFmtId="0" xfId="0" applyAlignment="1" applyBorder="1" applyFont="1">
      <alignment readingOrder="0"/>
    </xf>
    <xf borderId="3" fillId="0" fontId="26" numFmtId="0" xfId="0" applyAlignment="1" applyBorder="1" applyFont="1">
      <alignment readingOrder="0"/>
    </xf>
    <xf borderId="1" fillId="0" fontId="27" numFmtId="0" xfId="0" applyAlignment="1" applyBorder="1" applyFont="1">
      <alignment horizontal="center" readingOrder="0" vertical="center"/>
    </xf>
    <xf borderId="1" fillId="3" fontId="28" numFmtId="0" xfId="0" applyAlignment="1" applyBorder="1" applyFont="1">
      <alignment horizontal="center" readingOrder="0" shrinkToFit="0" vertical="center" wrapText="1"/>
    </xf>
    <xf borderId="3" fillId="3" fontId="29" numFmtId="0" xfId="0" applyAlignment="1" applyBorder="1" applyFont="1">
      <alignment horizontal="center" readingOrder="0" vertical="center"/>
    </xf>
    <xf borderId="1" fillId="3" fontId="30" numFmtId="10" xfId="0" applyAlignment="1" applyBorder="1" applyFont="1" applyNumberFormat="1">
      <alignment horizontal="center" vertical="center"/>
    </xf>
    <xf borderId="7" fillId="3" fontId="31" numFmtId="0" xfId="0" applyAlignment="1" applyBorder="1" applyFont="1">
      <alignment horizontal="left" shrinkToFit="0" vertical="center" wrapText="0"/>
    </xf>
    <xf borderId="7" fillId="3" fontId="31" numFmtId="0" xfId="0" applyAlignment="1" applyBorder="1" applyFont="1">
      <alignment horizontal="left" vertical="center"/>
    </xf>
    <xf borderId="8" fillId="3" fontId="31" numFmtId="0" xfId="0" applyAlignment="1" applyBorder="1" applyFont="1">
      <alignment horizontal="center" vertical="center"/>
    </xf>
    <xf borderId="9" fillId="3" fontId="31" numFmtId="0" xfId="0" applyAlignment="1" applyBorder="1" applyFont="1">
      <alignment horizontal="left" vertical="center"/>
    </xf>
    <xf borderId="8" fillId="3" fontId="31" numFmtId="0" xfId="0" applyAlignment="1" applyBorder="1" applyFont="1">
      <alignment horizontal="left" readingOrder="0" vertical="center"/>
    </xf>
    <xf borderId="10" fillId="0" fontId="15" numFmtId="0" xfId="0" applyBorder="1" applyFont="1"/>
    <xf borderId="1" fillId="3" fontId="31" numFmtId="0" xfId="0" applyAlignment="1" applyBorder="1" applyFont="1">
      <alignment horizontal="center" vertical="center"/>
    </xf>
    <xf borderId="3" fillId="3" fontId="31" numFmtId="0" xfId="0" applyAlignment="1" applyBorder="1" applyFont="1">
      <alignment horizontal="left" shrinkToFit="0" vertical="center" wrapText="1"/>
    </xf>
    <xf borderId="3" fillId="3" fontId="32" numFmtId="0" xfId="0" applyAlignment="1" applyBorder="1" applyFont="1">
      <alignment horizontal="left" shrinkToFit="0" vertical="center" wrapText="1"/>
    </xf>
    <xf borderId="1" fillId="3" fontId="31" numFmtId="0" xfId="0" applyAlignment="1" applyBorder="1" applyFont="1">
      <alignment shrinkToFit="0" vertical="center" wrapText="1"/>
    </xf>
    <xf borderId="3" fillId="5" fontId="11" numFmtId="0" xfId="0" applyAlignment="1" applyBorder="1" applyFill="1" applyFont="1">
      <alignment horizontal="center" vertical="center"/>
    </xf>
    <xf borderId="0" fillId="5" fontId="33" numFmtId="10" xfId="0" applyFont="1" applyNumberFormat="1"/>
    <xf borderId="3" fillId="3" fontId="34" numFmtId="0" xfId="0" applyAlignment="1" applyBorder="1" applyFont="1">
      <alignment horizontal="left" shrinkToFit="0" vertical="center" wrapText="1"/>
    </xf>
    <xf borderId="3" fillId="3" fontId="0" numFmtId="0" xfId="0" applyAlignment="1" applyBorder="1" applyFont="1">
      <alignment horizontal="left" shrinkToFit="0" vertical="center" wrapText="1"/>
    </xf>
    <xf borderId="1" fillId="3" fontId="31" numFmtId="0" xfId="0" applyAlignment="1" applyBorder="1" applyFont="1">
      <alignment horizontal="left" readingOrder="0" shrinkToFit="0" vertical="center" wrapText="1"/>
    </xf>
    <xf borderId="1" fillId="3" fontId="31" numFmtId="0" xfId="0" applyAlignment="1" applyBorder="1" applyFont="1">
      <alignment horizontal="left" shrinkToFit="0" vertical="center" wrapText="1"/>
    </xf>
    <xf borderId="11" fillId="3" fontId="31" numFmtId="0" xfId="0" applyAlignment="1" applyBorder="1" applyFont="1">
      <alignment horizontal="center" vertical="center"/>
    </xf>
    <xf borderId="11" fillId="3" fontId="31" numFmtId="0" xfId="0" applyAlignment="1" applyBorder="1" applyFont="1">
      <alignment horizontal="left" shrinkToFit="0" vertical="center" wrapText="1"/>
    </xf>
    <xf borderId="11" fillId="3" fontId="0" numFmtId="0" xfId="0" applyBorder="1" applyFont="1"/>
    <xf borderId="12" fillId="3" fontId="31" numFmtId="0" xfId="0" applyAlignment="1" applyBorder="1" applyFont="1">
      <alignment horizontal="left" shrinkToFit="0" vertical="center" wrapText="1"/>
    </xf>
    <xf borderId="13" fillId="3" fontId="29" numFmtId="0" xfId="0" applyAlignment="1" applyBorder="1" applyFont="1">
      <alignment horizontal="center" vertical="center"/>
    </xf>
    <xf borderId="14" fillId="0" fontId="15" numFmtId="0" xfId="0" applyBorder="1" applyFont="1"/>
    <xf borderId="15" fillId="0" fontId="15" numFmtId="0" xfId="0" applyBorder="1" applyFont="1"/>
    <xf borderId="16" fillId="0" fontId="15" numFmtId="0" xfId="0" applyBorder="1" applyFont="1"/>
    <xf borderId="17" fillId="0" fontId="15" numFmtId="0" xfId="0" applyBorder="1" applyFont="1"/>
    <xf borderId="3" fillId="2" fontId="11" numFmtId="0" xfId="0" applyAlignment="1" applyBorder="1" applyFont="1">
      <alignment horizontal="center" vertical="center"/>
    </xf>
    <xf borderId="0" fillId="2" fontId="33" numFmtId="10" xfId="0" applyFont="1" applyNumberFormat="1"/>
    <xf borderId="3" fillId="6" fontId="35" numFmtId="0" xfId="0" applyAlignment="1" applyBorder="1" applyFill="1" applyFont="1">
      <alignment horizontal="center" vertical="center"/>
    </xf>
    <xf borderId="1" fillId="4" fontId="0" numFmtId="0" xfId="0" applyBorder="1" applyFont="1"/>
    <xf borderId="1" fillId="3" fontId="36" numFmtId="0" xfId="0" applyAlignment="1" applyBorder="1" applyFont="1">
      <alignment horizontal="left" shrinkToFit="0" vertical="center" wrapText="1"/>
    </xf>
    <xf borderId="2" fillId="3" fontId="37" numFmtId="0" xfId="0" applyAlignment="1" applyBorder="1" applyFont="1">
      <alignment horizontal="left" shrinkToFit="0" vertical="center" wrapText="1"/>
    </xf>
    <xf borderId="2" fillId="3" fontId="31" numFmtId="0" xfId="0" applyAlignment="1" applyBorder="1" applyFont="1">
      <alignment horizontal="left" shrinkToFit="0" vertical="center" wrapText="1"/>
    </xf>
    <xf borderId="18" fillId="3" fontId="35" numFmtId="0" xfId="0" applyAlignment="1" applyBorder="1" applyFont="1">
      <alignment horizontal="center" vertical="center"/>
    </xf>
    <xf borderId="19" fillId="3" fontId="35" numFmtId="0" xfId="0" applyAlignment="1" applyBorder="1" applyFont="1">
      <alignment horizontal="center" vertical="center"/>
    </xf>
    <xf borderId="19" fillId="3" fontId="35" numFmtId="0" xfId="0" applyAlignment="1" applyBorder="1" applyFont="1">
      <alignment horizontal="left" vertical="center"/>
    </xf>
    <xf borderId="20" fillId="3" fontId="35" numFmtId="0" xfId="0" applyAlignment="1" applyBorder="1" applyFont="1">
      <alignment horizontal="center" vertical="center"/>
    </xf>
    <xf borderId="21" fillId="3" fontId="35" numFmtId="0" xfId="0" applyAlignment="1" applyBorder="1" applyFont="1">
      <alignment horizontal="center" vertical="center"/>
    </xf>
    <xf borderId="22" fillId="3" fontId="35" numFmtId="0" xfId="0" applyAlignment="1" applyBorder="1" applyFont="1">
      <alignment horizontal="center" vertical="center"/>
    </xf>
    <xf borderId="22" fillId="3" fontId="35" numFmtId="0" xfId="0" applyAlignment="1" applyBorder="1" applyFont="1">
      <alignment horizontal="left" vertical="center"/>
    </xf>
    <xf borderId="23" fillId="3" fontId="35" numFmtId="0" xfId="0" applyAlignment="1" applyBorder="1" applyFont="1">
      <alignment horizontal="center" vertical="center"/>
    </xf>
    <xf borderId="24" fillId="3" fontId="35" numFmtId="0" xfId="0" applyAlignment="1" applyBorder="1" applyFont="1">
      <alignment horizontal="center" vertical="center"/>
    </xf>
    <xf borderId="25" fillId="3" fontId="35" numFmtId="0" xfId="0" applyAlignment="1" applyBorder="1" applyFont="1">
      <alignment horizontal="center" vertical="center"/>
    </xf>
    <xf borderId="25" fillId="3" fontId="35" numFmtId="0" xfId="0" applyAlignment="1" applyBorder="1" applyFont="1">
      <alignment horizontal="left" vertical="center"/>
    </xf>
    <xf borderId="26" fillId="3" fontId="35" numFmtId="0" xfId="0" applyAlignment="1" applyBorder="1" applyFont="1">
      <alignment horizontal="center" vertical="center"/>
    </xf>
    <xf borderId="27" fillId="3" fontId="31" numFmtId="0" xfId="0" applyAlignment="1" applyBorder="1" applyFont="1">
      <alignment horizontal="center" vertical="center"/>
    </xf>
    <xf borderId="27" fillId="3" fontId="31" numFmtId="0" xfId="0" applyAlignment="1" applyBorder="1" applyFont="1">
      <alignment horizontal="left" shrinkToFit="0" vertical="center" wrapText="1"/>
    </xf>
    <xf borderId="28" fillId="3" fontId="0" numFmtId="0" xfId="0" applyBorder="1" applyFont="1"/>
    <xf borderId="29" fillId="3" fontId="31" numFmtId="0" xfId="0" applyAlignment="1" applyBorder="1" applyFont="1">
      <alignment horizontal="left" shrinkToFit="0" vertical="center" wrapText="1"/>
    </xf>
    <xf borderId="0" fillId="2" fontId="33" numFmtId="9" xfId="0" applyFont="1" applyNumberFormat="1"/>
    <xf borderId="1" fillId="7" fontId="38" numFmtId="0" xfId="0" applyAlignment="1" applyBorder="1" applyFill="1" applyFont="1">
      <alignment horizontal="left" shrinkToFit="0" vertical="center" wrapText="1"/>
    </xf>
    <xf borderId="1" fillId="7" fontId="31" numFmtId="0" xfId="0" applyAlignment="1" applyBorder="1" applyFont="1">
      <alignment horizontal="left" shrinkToFit="0" vertical="center" wrapText="1"/>
    </xf>
    <xf borderId="1" fillId="3" fontId="39" numFmtId="0" xfId="0" applyAlignment="1" applyBorder="1" applyFont="1">
      <alignment horizontal="left" readingOrder="0" shrinkToFit="0" vertical="center" wrapText="1"/>
    </xf>
    <xf borderId="3" fillId="8" fontId="31" numFmtId="0" xfId="0" applyAlignment="1" applyBorder="1" applyFill="1" applyFont="1">
      <alignment horizontal="center" shrinkToFit="0" vertical="center" wrapText="1"/>
    </xf>
    <xf borderId="1" fillId="3" fontId="40" numFmtId="166" xfId="0" applyAlignment="1" applyBorder="1" applyFont="1" applyNumberFormat="1">
      <alignment horizontal="left" shrinkToFit="0" vertical="center" wrapText="1"/>
    </xf>
    <xf borderId="30" fillId="4" fontId="0" numFmtId="0" xfId="0" applyBorder="1" applyFont="1"/>
    <xf borderId="31" fillId="3" fontId="41" numFmtId="0" xfId="0" applyAlignment="1" applyBorder="1" applyFont="1">
      <alignment horizontal="left" shrinkToFit="0" vertical="center" wrapText="1"/>
    </xf>
    <xf borderId="31" fillId="3" fontId="31" numFmtId="0" xfId="0" applyAlignment="1" applyBorder="1" applyFont="1">
      <alignment horizontal="left" shrinkToFit="0" vertical="center" wrapText="1"/>
    </xf>
    <xf borderId="3" fillId="9" fontId="31" numFmtId="0" xfId="0" applyAlignment="1" applyBorder="1" applyFill="1" applyFont="1">
      <alignment horizontal="center" shrinkToFit="0" vertical="center" wrapText="1"/>
    </xf>
    <xf borderId="32" fillId="3" fontId="0" numFmtId="0" xfId="0" applyAlignment="1" applyBorder="1" applyFont="1">
      <alignment horizontal="center"/>
    </xf>
    <xf borderId="32" fillId="3" fontId="0" numFmtId="0" xfId="0" applyBorder="1" applyFont="1"/>
    <xf borderId="1" fillId="3" fontId="42" numFmtId="0" xfId="0" applyAlignment="1" applyBorder="1" applyFont="1">
      <alignment horizontal="left" readingOrder="0" shrinkToFit="0" vertical="center" wrapText="1"/>
    </xf>
    <xf borderId="32" fillId="3" fontId="31" numFmtId="0" xfId="0" applyAlignment="1" applyBorder="1" applyFont="1">
      <alignment horizontal="center" vertical="center"/>
    </xf>
    <xf borderId="32" fillId="3" fontId="31" numFmtId="0" xfId="0" applyAlignment="1" applyBorder="1" applyFont="1">
      <alignment horizontal="left" shrinkToFit="0" vertical="center" wrapText="1"/>
    </xf>
    <xf borderId="32" fillId="3" fontId="31" numFmtId="0" xfId="0" applyAlignment="1" applyBorder="1" applyFont="1">
      <alignment horizontal="center" shrinkToFit="0" vertical="center" wrapText="1"/>
    </xf>
    <xf borderId="27" fillId="3" fontId="0" numFmtId="0" xfId="0" applyBorder="1" applyFont="1"/>
    <xf borderId="27" fillId="3" fontId="31" numFmtId="0" xfId="0" applyAlignment="1" applyBorder="1" applyFont="1">
      <alignment horizontal="center" shrinkToFit="0" vertical="center" wrapText="1"/>
    </xf>
    <xf borderId="33" fillId="4" fontId="0" numFmtId="0" xfId="0" applyBorder="1" applyFont="1"/>
    <xf borderId="16" fillId="6" fontId="35" numFmtId="0" xfId="0" applyAlignment="1" applyBorder="1" applyFont="1">
      <alignment horizontal="center" vertical="center"/>
    </xf>
    <xf borderId="2" fillId="0" fontId="27" numFmtId="0" xfId="0" applyAlignment="1" applyBorder="1" applyFont="1">
      <alignment horizontal="center" readingOrder="0" vertical="center"/>
    </xf>
    <xf borderId="34" fillId="0" fontId="15" numFmtId="0" xfId="0" applyBorder="1" applyFont="1"/>
    <xf borderId="33" fillId="0" fontId="15" numFmtId="0" xfId="0" applyBorder="1" applyFont="1"/>
    <xf borderId="1" fillId="4" fontId="31" numFmtId="0" xfId="0" applyAlignment="1" applyBorder="1" applyFont="1">
      <alignment horizontal="left" shrinkToFit="0" vertical="center" wrapText="1"/>
    </xf>
    <xf borderId="32" fillId="3" fontId="0" numFmtId="0" xfId="0" applyAlignment="1" applyBorder="1" applyFont="1">
      <alignment horizontal="left"/>
    </xf>
    <xf borderId="35" fillId="3" fontId="0" numFmtId="0" xfId="0" applyBorder="1" applyFont="1"/>
    <xf borderId="27" fillId="3" fontId="0" numFmtId="0" xfId="0" applyAlignment="1" applyBorder="1" applyFont="1">
      <alignment horizontal="center"/>
    </xf>
    <xf borderId="27" fillId="3" fontId="0" numFmtId="0" xfId="0" applyAlignment="1" applyBorder="1" applyFont="1">
      <alignment horizontal="left"/>
    </xf>
    <xf borderId="29" fillId="3" fontId="0" numFmtId="0" xfId="0" applyBorder="1" applyFont="1"/>
    <xf borderId="3" fillId="10" fontId="11" numFmtId="0" xfId="0" applyAlignment="1" applyBorder="1" applyFill="1" applyFont="1">
      <alignment horizontal="center" vertical="center"/>
    </xf>
    <xf borderId="0" fillId="10" fontId="33" numFmtId="10" xfId="0" applyFont="1" applyNumberFormat="1"/>
    <xf borderId="13" fillId="9" fontId="31" numFmtId="0" xfId="0" applyAlignment="1" applyBorder="1" applyFont="1">
      <alignment horizontal="center" shrinkToFit="0" vertical="center" wrapText="1"/>
    </xf>
    <xf borderId="36" fillId="0" fontId="15" numFmtId="0" xfId="0" applyBorder="1" applyFont="1"/>
    <xf borderId="37" fillId="0" fontId="15" numFmtId="0" xfId="0" applyBorder="1" applyFont="1"/>
    <xf borderId="13" fillId="8" fontId="31" numFmtId="0" xfId="0" applyAlignment="1" applyBorder="1" applyFont="1">
      <alignment horizontal="center" shrinkToFit="0" wrapText="1"/>
    </xf>
    <xf borderId="3" fillId="11" fontId="31" numFmtId="0" xfId="0" applyAlignment="1" applyBorder="1" applyFill="1" applyFont="1">
      <alignment horizontal="center" readingOrder="0" shrinkToFit="0" vertical="center" wrapText="1"/>
    </xf>
    <xf borderId="3" fillId="0" fontId="43" numFmtId="0" xfId="0" applyAlignment="1" applyBorder="1" applyFont="1">
      <alignment horizontal="center" readingOrder="0" vertical="center"/>
    </xf>
    <xf borderId="3" fillId="0" fontId="43" numFmtId="0" xfId="0" applyAlignment="1" applyBorder="1" applyFont="1">
      <alignment horizontal="left" readingOrder="0" vertical="center"/>
    </xf>
    <xf borderId="3" fillId="11" fontId="31" numFmtId="0" xfId="0" applyAlignment="1" applyBorder="1" applyFont="1">
      <alignment horizontal="center" shrinkToFit="0" vertical="center" wrapText="1"/>
    </xf>
    <xf borderId="3" fillId="3" fontId="31" numFmtId="0" xfId="0" applyAlignment="1" applyBorder="1" applyFont="1">
      <alignment horizontal="center" readingOrder="0" vertical="center"/>
    </xf>
    <xf borderId="1" fillId="3" fontId="44" numFmtId="0" xfId="0" applyAlignment="1" applyBorder="1" applyFont="1">
      <alignment shrinkToFit="0" vertical="center" wrapText="1"/>
    </xf>
    <xf borderId="1" fillId="12" fontId="27" numFmtId="0" xfId="0" applyAlignment="1" applyBorder="1" applyFill="1" applyFont="1">
      <alignment horizontal="center" readingOrder="0" vertical="center"/>
    </xf>
    <xf borderId="1" fillId="12" fontId="45" numFmtId="0" xfId="0" applyAlignment="1" applyBorder="1" applyFont="1">
      <alignment horizontal="left" readingOrder="0" shrinkToFit="0" vertical="center" wrapText="1"/>
    </xf>
    <xf borderId="0" fillId="12" fontId="46" numFmtId="0" xfId="0" applyAlignment="1" applyFont="1">
      <alignment horizontal="center" readingOrder="0" shrinkToFit="0" vertical="center" wrapText="1"/>
    </xf>
    <xf borderId="1" fillId="12" fontId="31" numFmtId="0" xfId="0" applyAlignment="1" applyBorder="1" applyFont="1">
      <alignment shrinkToFit="0" vertical="center" wrapText="1"/>
    </xf>
    <xf borderId="1" fillId="8" fontId="47" numFmtId="0" xfId="0" applyAlignment="1" applyBorder="1" applyFont="1">
      <alignment horizontal="left" shrinkToFit="0" vertical="center" wrapText="1"/>
    </xf>
    <xf borderId="1" fillId="8" fontId="31" numFmtId="0" xfId="0" applyAlignment="1" applyBorder="1" applyFont="1">
      <alignment horizontal="left" shrinkToFit="0" vertical="center" wrapText="1"/>
    </xf>
    <xf borderId="3" fillId="13" fontId="31" numFmtId="0" xfId="0" applyAlignment="1" applyBorder="1" applyFill="1" applyFont="1">
      <alignment horizontal="center" vertical="center"/>
    </xf>
    <xf borderId="3" fillId="13" fontId="31" numFmtId="0" xfId="0" applyAlignment="1" applyBorder="1" applyFont="1">
      <alignment horizontal="left" shrinkToFit="0" vertical="center" wrapText="1"/>
    </xf>
    <xf borderId="1" fillId="4" fontId="31" numFmtId="0" xfId="0" applyBorder="1" applyFont="1"/>
    <xf borderId="2" fillId="8" fontId="48" numFmtId="0" xfId="0" applyAlignment="1" applyBorder="1" applyFont="1">
      <alignment horizontal="left" shrinkToFit="0" vertical="center" wrapText="1"/>
    </xf>
    <xf borderId="2" fillId="8" fontId="31" numFmtId="0" xfId="0" applyAlignment="1" applyBorder="1" applyFont="1">
      <alignment horizontal="left" shrinkToFit="0" vertical="center" wrapText="1"/>
    </xf>
    <xf borderId="5" fillId="4" fontId="0" numFmtId="0" xfId="0" applyBorder="1" applyFont="1"/>
    <xf borderId="38" fillId="3" fontId="31" numFmtId="0" xfId="0" applyAlignment="1" applyBorder="1" applyFont="1">
      <alignment horizontal="center" vertical="center"/>
    </xf>
    <xf borderId="38" fillId="3" fontId="31" numFmtId="0" xfId="0" applyAlignment="1" applyBorder="1" applyFont="1">
      <alignment horizontal="left" shrinkToFit="0" vertical="center" wrapText="1"/>
    </xf>
    <xf borderId="39" fillId="3" fontId="31" numFmtId="0" xfId="0" applyAlignment="1" applyBorder="1" applyFont="1">
      <alignment horizontal="left" shrinkToFit="0" vertical="center" wrapText="1"/>
    </xf>
    <xf borderId="22" fillId="3" fontId="15" numFmtId="0" xfId="0" applyAlignment="1" applyBorder="1" applyFont="1">
      <alignment horizontal="center"/>
    </xf>
    <xf borderId="22" fillId="3" fontId="15" numFmtId="0" xfId="0" applyBorder="1" applyFont="1"/>
    <xf borderId="40" fillId="3" fontId="15" numFmtId="0" xfId="0" applyBorder="1" applyFont="1"/>
    <xf borderId="22" fillId="3" fontId="31" numFmtId="0" xfId="0" applyAlignment="1" applyBorder="1" applyFont="1">
      <alignment horizontal="center" vertical="center"/>
    </xf>
    <xf borderId="22" fillId="3" fontId="31" numFmtId="0" xfId="0" applyAlignment="1" applyBorder="1" applyFont="1">
      <alignment horizontal="left" shrinkToFit="0" vertical="center" wrapText="1"/>
    </xf>
    <xf borderId="40" fillId="3" fontId="31" numFmtId="0" xfId="0" applyAlignment="1" applyBorder="1" applyFont="1">
      <alignment horizontal="left" shrinkToFit="0" vertical="center" wrapText="1"/>
    </xf>
    <xf borderId="41" fillId="3" fontId="31" numFmtId="0" xfId="0" applyAlignment="1" applyBorder="1" applyFont="1">
      <alignment horizontal="center" vertical="center"/>
    </xf>
    <xf borderId="41" fillId="3" fontId="31" numFmtId="0" xfId="0" applyAlignment="1" applyBorder="1" applyFont="1">
      <alignment horizontal="left" shrinkToFit="0" vertical="center" wrapText="1"/>
    </xf>
    <xf borderId="42" fillId="3" fontId="31" numFmtId="0" xfId="0" applyAlignment="1" applyBorder="1" applyFont="1">
      <alignment horizontal="left" shrinkToFit="0" vertical="center" wrapText="1"/>
    </xf>
    <xf borderId="43" fillId="3" fontId="31" numFmtId="0" xfId="0" applyAlignment="1" applyBorder="1" applyFont="1">
      <alignment horizontal="center" vertical="center"/>
    </xf>
    <xf borderId="44" fillId="3" fontId="0" numFmtId="0" xfId="0" applyBorder="1" applyFont="1"/>
    <xf borderId="45" fillId="3" fontId="28" numFmtId="0" xfId="0" applyAlignment="1" applyBorder="1" applyFont="1">
      <alignment horizontal="center" readingOrder="0" vertical="center"/>
    </xf>
    <xf borderId="44" fillId="3" fontId="31" numFmtId="0" xfId="0" applyAlignment="1" applyBorder="1" applyFont="1">
      <alignment horizontal="left" shrinkToFit="0" vertical="center" wrapText="1"/>
    </xf>
    <xf borderId="46" fillId="3" fontId="31" numFmtId="0" xfId="0" applyAlignment="1" applyBorder="1" applyFont="1">
      <alignment horizontal="left" shrinkToFit="0" vertical="center" wrapText="1"/>
    </xf>
    <xf borderId="2" fillId="0" fontId="49" numFmtId="10" xfId="0" applyBorder="1" applyFont="1" applyNumberFormat="1"/>
    <xf borderId="16" fillId="2" fontId="11" numFmtId="0" xfId="0" applyAlignment="1" applyBorder="1" applyFont="1">
      <alignment horizontal="center" vertical="center"/>
    </xf>
    <xf borderId="2" fillId="0" fontId="49" numFmtId="10" xfId="0" applyAlignment="1" applyBorder="1" applyFont="1" applyNumberFormat="1">
      <alignment horizontal="center"/>
    </xf>
    <xf borderId="3" fillId="14" fontId="31" numFmtId="0" xfId="0" applyAlignment="1" applyBorder="1" applyFill="1" applyFont="1">
      <alignment horizontal="center" vertical="center"/>
    </xf>
    <xf borderId="3" fillId="15" fontId="31" numFmtId="0" xfId="0" applyAlignment="1" applyBorder="1" applyFill="1" applyFont="1">
      <alignment horizontal="center" vertical="center"/>
    </xf>
    <xf borderId="47" fillId="0" fontId="15" numFmtId="0" xfId="0" applyBorder="1" applyFont="1"/>
    <xf borderId="48" fillId="15" fontId="31" numFmtId="0" xfId="0" applyAlignment="1" applyBorder="1" applyFont="1">
      <alignment horizontal="left" vertical="center"/>
    </xf>
    <xf borderId="48" fillId="15" fontId="31" numFmtId="0" xfId="0" applyAlignment="1" applyBorder="1" applyFont="1">
      <alignment horizontal="right" vertical="center"/>
    </xf>
    <xf borderId="3" fillId="14" fontId="31" numFmtId="0" xfId="0" applyAlignment="1" applyBorder="1" applyFont="1">
      <alignment horizontal="center" readingOrder="0" vertical="center"/>
    </xf>
    <xf borderId="38" fillId="0" fontId="27" numFmtId="0" xfId="0" applyAlignment="1" applyBorder="1" applyFont="1">
      <alignment horizontal="center" readingOrder="0" vertical="center"/>
    </xf>
    <xf borderId="2" fillId="3" fontId="50" numFmtId="10" xfId="0" applyAlignment="1" applyBorder="1" applyFont="1" applyNumberFormat="1">
      <alignment horizontal="center"/>
    </xf>
    <xf borderId="31" fillId="4" fontId="0" numFmtId="0" xfId="0" applyBorder="1" applyFont="1"/>
    <xf borderId="3" fillId="14" fontId="31" numFmtId="0" xfId="0" applyAlignment="1" applyBorder="1" applyFont="1">
      <alignment horizontal="center" shrinkToFit="0" vertical="center" wrapText="1"/>
    </xf>
    <xf borderId="1" fillId="4" fontId="0" numFmtId="0" xfId="0" applyAlignment="1" applyBorder="1" applyFont="1">
      <alignment shrinkToFit="0" wrapText="1"/>
    </xf>
    <xf borderId="1" fillId="7" fontId="51" numFmtId="0" xfId="0" applyAlignment="1" applyBorder="1" applyFont="1">
      <alignment horizontal="left" readingOrder="0" shrinkToFit="0" vertical="center" wrapText="1"/>
    </xf>
    <xf borderId="3" fillId="14" fontId="52" numFmtId="0" xfId="0" applyAlignment="1" applyBorder="1" applyFont="1">
      <alignment horizontal="center" readingOrder="0" shrinkToFit="0" vertical="center" wrapText="1"/>
    </xf>
    <xf borderId="3" fillId="14" fontId="31" numFmtId="0" xfId="0" applyAlignment="1" applyBorder="1" applyFont="1">
      <alignment horizontal="center" readingOrder="0" shrinkToFit="0" vertical="center" wrapText="1"/>
    </xf>
    <xf borderId="1" fillId="3" fontId="31" numFmtId="0" xfId="0" applyAlignment="1" applyBorder="1" applyFont="1">
      <alignment horizontal="center" readingOrder="0" shrinkToFit="0" vertical="center" wrapText="1"/>
    </xf>
    <xf borderId="1" fillId="3" fontId="32" numFmtId="0" xfId="0" applyAlignment="1" applyBorder="1" applyFont="1">
      <alignment horizontal="left" shrinkToFit="0" vertical="center" wrapText="1"/>
    </xf>
    <xf borderId="3" fillId="6" fontId="53" numFmtId="0" xfId="0" applyAlignment="1" applyBorder="1" applyFont="1">
      <alignment horizontal="center" vertical="center"/>
    </xf>
    <xf borderId="1" fillId="7" fontId="54" numFmtId="0" xfId="0" applyAlignment="1" applyBorder="1" applyFont="1">
      <alignment shrinkToFit="0" vertical="center" wrapText="1"/>
    </xf>
    <xf borderId="1" fillId="7" fontId="31" numFmtId="0" xfId="0" applyAlignment="1" applyBorder="1" applyFont="1">
      <alignment shrinkToFit="0" vertical="center" wrapText="1"/>
    </xf>
    <xf borderId="1" fillId="3" fontId="55" numFmtId="0" xfId="0" applyAlignment="1" applyBorder="1" applyFont="1">
      <alignment readingOrder="0" shrinkToFit="0" vertical="center" wrapText="1"/>
    </xf>
    <xf borderId="1" fillId="3" fontId="56" numFmtId="0" xfId="0" applyAlignment="1" applyBorder="1" applyFont="1">
      <alignment shrinkToFit="0" vertical="center" wrapText="1"/>
    </xf>
    <xf borderId="1" fillId="4" fontId="18" numFmtId="0" xfId="0" applyBorder="1" applyFont="1"/>
    <xf borderId="32" fillId="3" fontId="18" numFmtId="0" xfId="0" applyAlignment="1" applyBorder="1" applyFont="1">
      <alignment horizontal="center"/>
    </xf>
    <xf borderId="32" fillId="3" fontId="18" numFmtId="0" xfId="0" applyBorder="1" applyFont="1"/>
    <xf borderId="32" fillId="3" fontId="18" numFmtId="0" xfId="0" applyAlignment="1" applyBorder="1" applyFont="1">
      <alignment horizontal="left"/>
    </xf>
    <xf borderId="35" fillId="3" fontId="18" numFmtId="0" xfId="0" applyBorder="1" applyFont="1"/>
    <xf borderId="13" fillId="3" fontId="29" numFmtId="0" xfId="0" applyAlignment="1" applyBorder="1" applyFont="1">
      <alignment horizontal="center" readingOrder="0" vertical="center"/>
    </xf>
    <xf borderId="48" fillId="2" fontId="11" numFmtId="0" xfId="0" applyAlignment="1" applyBorder="1" applyFont="1">
      <alignment horizontal="center" vertical="center"/>
    </xf>
    <xf borderId="48" fillId="6" fontId="35" numFmtId="0" xfId="0" applyAlignment="1" applyBorder="1" applyFont="1">
      <alignment horizontal="center" vertical="center"/>
    </xf>
    <xf borderId="1" fillId="3" fontId="31" numFmtId="0" xfId="0" applyAlignment="1" applyBorder="1" applyFont="1">
      <alignment readingOrder="0" shrinkToFit="0" vertical="center" wrapText="1"/>
    </xf>
    <xf borderId="49" fillId="4" fontId="0" numFmtId="0" xfId="0" applyBorder="1" applyFont="1"/>
    <xf borderId="32" fillId="3" fontId="11" numFmtId="0" xfId="0" applyAlignment="1" applyBorder="1" applyFont="1">
      <alignment horizontal="center" vertical="center"/>
    </xf>
    <xf borderId="32" fillId="3" fontId="11" numFmtId="0" xfId="0" applyAlignment="1" applyBorder="1" applyFont="1">
      <alignment vertical="center"/>
    </xf>
    <xf borderId="32" fillId="3" fontId="11" numFmtId="0" xfId="0" applyAlignment="1" applyBorder="1" applyFont="1">
      <alignment horizontal="left" vertical="center"/>
    </xf>
    <xf borderId="35" fillId="3" fontId="11" numFmtId="0" xfId="0" applyAlignment="1" applyBorder="1" applyFont="1">
      <alignment vertical="center"/>
    </xf>
    <xf borderId="27" fillId="3" fontId="11" numFmtId="0" xfId="0" applyAlignment="1" applyBorder="1" applyFont="1">
      <alignment horizontal="center" vertical="center"/>
    </xf>
    <xf borderId="27" fillId="3" fontId="11" numFmtId="0" xfId="0" applyAlignment="1" applyBorder="1" applyFont="1">
      <alignment vertical="center"/>
    </xf>
    <xf borderId="27" fillId="3" fontId="11" numFmtId="0" xfId="0" applyAlignment="1" applyBorder="1" applyFont="1">
      <alignment horizontal="left" vertical="center"/>
    </xf>
    <xf borderId="29" fillId="3" fontId="11" numFmtId="0" xfId="0" applyAlignment="1" applyBorder="1" applyFont="1">
      <alignment vertical="center"/>
    </xf>
    <xf borderId="35" fillId="3" fontId="0" numFmtId="0" xfId="0" applyBorder="1" applyFont="1"/>
    <xf borderId="1" fillId="15" fontId="57" numFmtId="0" xfId="0" applyAlignment="1" applyBorder="1" applyFont="1">
      <alignment shrinkToFit="0" vertical="center" wrapText="1"/>
    </xf>
    <xf borderId="1" fillId="15" fontId="31" numFmtId="0" xfId="0" applyAlignment="1" applyBorder="1" applyFont="1">
      <alignment shrinkToFit="0" vertical="center" wrapText="1"/>
    </xf>
    <xf borderId="32" fillId="3" fontId="31" numFmtId="0" xfId="0" applyAlignment="1" applyBorder="1" applyFont="1">
      <alignment shrinkToFit="0" vertical="center" wrapText="1"/>
    </xf>
    <xf borderId="35" fillId="3" fontId="31" numFmtId="0" xfId="0" applyAlignment="1" applyBorder="1" applyFont="1">
      <alignment shrinkToFit="0" vertical="center" wrapText="1"/>
    </xf>
    <xf borderId="1" fillId="15" fontId="31" numFmtId="0" xfId="0" applyAlignment="1" applyBorder="1" applyFont="1">
      <alignment horizontal="left" shrinkToFit="0" vertical="center" wrapText="1"/>
    </xf>
    <xf borderId="1" fillId="4" fontId="31" numFmtId="0" xfId="0" applyAlignment="1" applyBorder="1" applyFont="1">
      <alignment vertical="center"/>
    </xf>
    <xf borderId="30" fillId="3" fontId="32" numFmtId="0" xfId="0" applyAlignment="1" applyBorder="1" applyFont="1">
      <alignment horizontal="left" shrinkToFit="0" vertical="center" wrapText="1"/>
    </xf>
    <xf borderId="30" fillId="3" fontId="31" numFmtId="0" xfId="0" applyAlignment="1" applyBorder="1" applyFont="1">
      <alignment shrinkToFit="0" vertical="center" wrapText="1"/>
    </xf>
    <xf borderId="32" fillId="3" fontId="35" numFmtId="0" xfId="0" applyAlignment="1" applyBorder="1" applyFont="1">
      <alignment horizontal="center" vertical="center"/>
    </xf>
    <xf borderId="32" fillId="3" fontId="35" numFmtId="0" xfId="0" applyAlignment="1" applyBorder="1" applyFont="1">
      <alignment vertical="center"/>
    </xf>
    <xf borderId="32" fillId="3" fontId="35" numFmtId="0" xfId="0" applyAlignment="1" applyBorder="1" applyFont="1">
      <alignment horizontal="left" vertical="center"/>
    </xf>
    <xf borderId="35" fillId="3" fontId="35" numFmtId="0" xfId="0" applyAlignment="1" applyBorder="1" applyFont="1">
      <alignment vertical="center"/>
    </xf>
    <xf borderId="3" fillId="3" fontId="31" numFmtId="0" xfId="0" applyAlignment="1" applyBorder="1" applyFont="1">
      <alignment shrinkToFit="0" vertical="center" wrapText="1"/>
    </xf>
    <xf borderId="50" fillId="3" fontId="15" numFmtId="0" xfId="0" applyBorder="1" applyFont="1"/>
    <xf borderId="38" fillId="3" fontId="15" numFmtId="0" xfId="0" applyBorder="1" applyFont="1"/>
    <xf borderId="51" fillId="3" fontId="15" numFmtId="0" xfId="0" applyBorder="1" applyFont="1"/>
    <xf borderId="28" fillId="3" fontId="31" numFmtId="0" xfId="0" applyAlignment="1" applyBorder="1" applyFont="1">
      <alignment horizontal="center" vertical="center"/>
    </xf>
    <xf borderId="28" fillId="3" fontId="31" numFmtId="0" xfId="0" applyAlignment="1" applyBorder="1" applyFont="1">
      <alignment shrinkToFit="0" vertical="center" wrapText="1"/>
    </xf>
    <xf borderId="28" fillId="3" fontId="31" numFmtId="0" xfId="0" applyAlignment="1" applyBorder="1" applyFont="1">
      <alignment horizontal="left" shrinkToFit="0" vertical="center" wrapText="1"/>
    </xf>
    <xf borderId="52" fillId="3" fontId="31" numFmtId="0" xfId="0" applyAlignment="1" applyBorder="1" applyFont="1">
      <alignment horizontal="left" shrinkToFit="0" vertical="center" wrapText="1"/>
    </xf>
    <xf borderId="35" fillId="3" fontId="31" numFmtId="0" xfId="0" applyAlignment="1" applyBorder="1" applyFont="1">
      <alignment horizontal="left" shrinkToFit="0" vertical="center" wrapText="1"/>
    </xf>
    <xf borderId="27" fillId="3" fontId="31" numFmtId="0" xfId="0" applyAlignment="1" applyBorder="1" applyFont="1">
      <alignment shrinkToFit="0" vertical="center" wrapText="1"/>
    </xf>
    <xf borderId="3" fillId="8" fontId="58" numFmtId="0" xfId="0" applyAlignment="1" applyBorder="1" applyFont="1">
      <alignment horizontal="center" vertical="center"/>
    </xf>
    <xf borderId="1" fillId="7" fontId="59" numFmtId="0" xfId="0" applyAlignment="1" applyBorder="1" applyFont="1">
      <alignment readingOrder="0" shrinkToFit="0" vertical="center" wrapText="1"/>
    </xf>
    <xf borderId="1" fillId="3" fontId="32" numFmtId="0" xfId="0" applyAlignment="1" applyBorder="1" applyFont="1">
      <alignment shrinkToFit="0" vertical="center" wrapText="1"/>
    </xf>
    <xf borderId="30" fillId="3" fontId="60" numFmtId="0" xfId="0" applyAlignment="1" applyBorder="1" applyFont="1">
      <alignment horizontal="left" vertical="center"/>
    </xf>
    <xf borderId="53" fillId="3" fontId="31" numFmtId="0" xfId="0" applyAlignment="1" applyBorder="1" applyFont="1">
      <alignment vertical="center"/>
    </xf>
    <xf borderId="2" fillId="3" fontId="31" numFmtId="0" xfId="0" applyAlignment="1" applyBorder="1" applyFont="1">
      <alignment horizontal="left" shrinkToFit="0" vertical="top" wrapText="1"/>
    </xf>
    <xf borderId="3" fillId="8" fontId="35" numFmtId="0" xfId="0" applyAlignment="1" applyBorder="1" applyFont="1">
      <alignment horizontal="center" readingOrder="0" vertical="center"/>
    </xf>
    <xf borderId="53" fillId="3" fontId="32" numFmtId="0" xfId="0" applyAlignment="1" applyBorder="1" applyFont="1">
      <alignment vertical="center"/>
    </xf>
    <xf borderId="3" fillId="3" fontId="31" numFmtId="0" xfId="0" applyAlignment="1" applyBorder="1" applyFont="1">
      <alignment horizontal="center" vertical="center"/>
    </xf>
    <xf borderId="28" fillId="3" fontId="31" numFmtId="0" xfId="0" applyAlignment="1" applyBorder="1" applyFont="1">
      <alignment horizontal="center" shrinkToFit="0" vertical="center" wrapText="1"/>
    </xf>
    <xf borderId="0" fillId="3" fontId="31" numFmtId="0" xfId="0" applyAlignment="1" applyFont="1">
      <alignment shrinkToFit="0" vertical="center" wrapText="1"/>
    </xf>
    <xf borderId="11" fillId="3" fontId="0" numFmtId="0" xfId="0" applyAlignment="1" applyBorder="1" applyFont="1">
      <alignment horizontal="center"/>
    </xf>
    <xf borderId="11" fillId="3" fontId="0" numFmtId="0" xfId="0" applyAlignment="1" applyBorder="1" applyFont="1">
      <alignment shrinkToFit="0" wrapText="1"/>
    </xf>
    <xf borderId="11" fillId="3" fontId="31" numFmtId="0" xfId="0" applyAlignment="1" applyBorder="1" applyFont="1">
      <alignment vertical="center"/>
    </xf>
    <xf borderId="11" fillId="3" fontId="31" numFmtId="0" xfId="0" applyAlignment="1" applyBorder="1" applyFont="1">
      <alignment horizontal="left" vertical="center"/>
    </xf>
    <xf borderId="12" fillId="3" fontId="31" numFmtId="0" xfId="0" applyAlignment="1" applyBorder="1" applyFont="1">
      <alignment vertical="center"/>
    </xf>
    <xf borderId="54" fillId="0" fontId="15" numFmtId="0" xfId="0" applyBorder="1" applyFont="1"/>
    <xf borderId="55" fillId="0" fontId="15" numFmtId="0" xfId="0" applyBorder="1" applyFont="1"/>
    <xf borderId="56" fillId="0" fontId="15" numFmtId="0" xfId="0" applyBorder="1" applyFont="1"/>
    <xf borderId="57" fillId="3" fontId="31" numFmtId="0" xfId="0" applyAlignment="1" applyBorder="1" applyFont="1">
      <alignment horizontal="center" readingOrder="0" vertical="center"/>
    </xf>
    <xf borderId="58" fillId="0" fontId="15" numFmtId="0" xfId="0" applyBorder="1" applyFont="1"/>
    <xf borderId="59" fillId="3" fontId="50" numFmtId="10" xfId="0" applyBorder="1" applyFont="1" applyNumberFormat="1"/>
    <xf borderId="30" fillId="3" fontId="31" numFmtId="0" xfId="0" applyAlignment="1" applyBorder="1" applyFont="1">
      <alignment horizontal="center" shrinkToFit="0" vertical="center" wrapText="1"/>
    </xf>
    <xf borderId="53" fillId="3" fontId="31" numFmtId="0" xfId="0" applyAlignment="1" applyBorder="1" applyFont="1">
      <alignment horizontal="left" shrinkToFit="0" vertical="center" wrapText="1"/>
    </xf>
    <xf borderId="30" fillId="3" fontId="31" numFmtId="0" xfId="0" applyAlignment="1" applyBorder="1" applyFont="1">
      <alignment horizontal="right" shrinkToFit="0" vertical="center" wrapText="1"/>
    </xf>
    <xf borderId="33" fillId="3" fontId="31" numFmtId="0" xfId="0" applyAlignment="1" applyBorder="1" applyFont="1">
      <alignment shrinkToFit="0" vertical="center" wrapText="1"/>
    </xf>
    <xf borderId="3" fillId="5" fontId="11" numFmtId="0" xfId="0" applyAlignment="1" applyBorder="1" applyFont="1">
      <alignment horizontal="center" shrinkToFit="0" vertical="center" wrapText="1"/>
    </xf>
    <xf borderId="3" fillId="2" fontId="11" numFmtId="0" xfId="0" applyAlignment="1" applyBorder="1" applyFont="1">
      <alignment horizontal="left" shrinkToFit="0" vertical="center" wrapText="1"/>
    </xf>
    <xf borderId="3" fillId="6" fontId="35" numFmtId="0" xfId="0" applyAlignment="1" applyBorder="1" applyFont="1">
      <alignment horizontal="left" shrinkToFit="0" vertical="center" wrapText="1"/>
    </xf>
    <xf borderId="3" fillId="2" fontId="11" numFmtId="0" xfId="0" applyAlignment="1" applyBorder="1" applyFont="1">
      <alignment horizontal="center" shrinkToFit="0" vertical="center" wrapText="1"/>
    </xf>
    <xf borderId="27" fillId="3" fontId="0" numFmtId="0" xfId="0" applyAlignment="1" applyBorder="1" applyFont="1">
      <alignment shrinkToFit="0" wrapText="1"/>
    </xf>
    <xf borderId="13" fillId="0" fontId="29" numFmtId="0" xfId="0" applyAlignment="1" applyBorder="1" applyFont="1">
      <alignment horizontal="center" readingOrder="0" vertical="center"/>
    </xf>
    <xf borderId="57" fillId="3" fontId="31" numFmtId="0" xfId="0" applyAlignment="1" applyBorder="1" applyFont="1">
      <alignment horizontal="center" readingOrder="0" shrinkToFit="0" vertical="center" wrapText="1"/>
    </xf>
    <xf borderId="60" fillId="3" fontId="50" numFmtId="10" xfId="0" applyBorder="1" applyFont="1" applyNumberFormat="1"/>
    <xf borderId="3" fillId="2" fontId="61" numFmtId="0" xfId="0" applyAlignment="1" applyBorder="1" applyFont="1">
      <alignment horizontal="center" shrinkToFit="0" vertical="center" wrapText="1"/>
    </xf>
    <xf borderId="30" fillId="3" fontId="31" numFmtId="0" xfId="0" applyAlignment="1" applyBorder="1" applyFont="1">
      <alignment horizontal="left" shrinkToFit="0" vertical="center" wrapText="1"/>
    </xf>
    <xf borderId="1" fillId="3" fontId="62" numFmtId="0" xfId="0" applyAlignment="1" applyBorder="1" applyFont="1">
      <alignment horizontal="left" readingOrder="0" shrinkToFit="0" vertical="center" wrapText="1"/>
    </xf>
    <xf borderId="32" fillId="3" fontId="0" numFmtId="0" xfId="0" applyAlignment="1" applyBorder="1" applyFont="1">
      <alignment horizontal="center" shrinkToFit="0" wrapText="1"/>
    </xf>
    <xf borderId="32" fillId="3" fontId="0" numFmtId="0" xfId="0" applyAlignment="1" applyBorder="1" applyFont="1">
      <alignment shrinkToFit="0" wrapText="1"/>
    </xf>
    <xf borderId="61" fillId="3" fontId="31" numFmtId="0" xfId="0" applyAlignment="1" applyBorder="1" applyFont="1">
      <alignment horizontal="left" shrinkToFit="0" vertical="center" wrapText="1"/>
    </xf>
    <xf borderId="62" fillId="3" fontId="0" numFmtId="0" xfId="0" applyAlignment="1" applyBorder="1" applyFont="1">
      <alignment horizontal="center" shrinkToFit="0" wrapText="1"/>
    </xf>
    <xf borderId="62" fillId="3" fontId="0" numFmtId="0" xfId="0" applyAlignment="1" applyBorder="1" applyFont="1">
      <alignment shrinkToFit="0" wrapText="1"/>
    </xf>
    <xf borderId="13" fillId="3" fontId="0" numFmtId="0" xfId="0" applyAlignment="1" applyBorder="1" applyFont="1">
      <alignment horizontal="center" shrinkToFit="0" wrapText="1"/>
    </xf>
    <xf borderId="63" fillId="3" fontId="31" numFmtId="0" xfId="0" applyAlignment="1" applyBorder="1" applyFont="1">
      <alignment horizontal="center" readingOrder="0" shrinkToFit="0" vertical="center" wrapText="1"/>
    </xf>
    <xf borderId="64" fillId="0" fontId="15" numFmtId="0" xfId="0" applyBorder="1" applyFont="1"/>
    <xf borderId="65" fillId="3" fontId="50" numFmtId="10" xfId="0" applyBorder="1" applyFont="1" applyNumberFormat="1"/>
    <xf borderId="3" fillId="6" fontId="63" numFmtId="0" xfId="0" applyAlignment="1" applyBorder="1" applyFont="1">
      <alignment horizontal="center" readingOrder="0" vertical="center"/>
    </xf>
    <xf borderId="3" fillId="7" fontId="35" numFmtId="0" xfId="0" applyAlignment="1" applyBorder="1" applyFont="1">
      <alignment horizontal="center" readingOrder="0" vertical="center"/>
    </xf>
    <xf borderId="1" fillId="3" fontId="64" numFmtId="0" xfId="0" applyAlignment="1" applyBorder="1" applyFont="1">
      <alignment readingOrder="0" shrinkToFit="0" vertical="center" wrapText="1"/>
    </xf>
    <xf borderId="0" fillId="4" fontId="0" numFmtId="0" xfId="0" applyAlignment="1" applyFont="1">
      <alignment shrinkToFit="0" wrapText="1"/>
    </xf>
    <xf borderId="3" fillId="9" fontId="31" numFmtId="0" xfId="0" applyAlignment="1" applyBorder="1" applyFont="1">
      <alignment horizontal="center" readingOrder="0" shrinkToFit="0" vertical="center" wrapText="1"/>
    </xf>
    <xf borderId="3" fillId="9" fontId="31" numFmtId="0" xfId="0" applyAlignment="1" applyBorder="1" applyFont="1">
      <alignment horizontal="center" shrinkToFit="0" vertical="center" wrapText="1"/>
    </xf>
    <xf borderId="10" fillId="3" fontId="65" numFmtId="0" xfId="0" applyAlignment="1" applyBorder="1" applyFont="1">
      <alignment shrinkToFit="0" wrapText="1"/>
    </xf>
    <xf borderId="10" fillId="3" fontId="31" numFmtId="0" xfId="0" applyAlignment="1" applyBorder="1" applyFont="1">
      <alignment shrinkToFit="0" wrapText="1"/>
    </xf>
    <xf borderId="16" fillId="9" fontId="31" numFmtId="0" xfId="0" applyAlignment="1" applyBorder="1" applyFont="1">
      <alignment horizontal="center" shrinkToFit="0" wrapText="1"/>
    </xf>
    <xf borderId="1" fillId="3" fontId="66" numFmtId="0" xfId="0" applyAlignment="1" applyBorder="1" applyFont="1">
      <alignment shrinkToFit="0" wrapText="1"/>
    </xf>
    <xf borderId="1" fillId="3" fontId="31" numFmtId="0" xfId="0" applyAlignment="1" applyBorder="1" applyFont="1">
      <alignment shrinkToFit="0" wrapText="1"/>
    </xf>
    <xf borderId="38" fillId="3" fontId="31" numFmtId="0" xfId="0" applyAlignment="1" applyBorder="1" applyFont="1">
      <alignment horizontal="left" readingOrder="0" shrinkToFit="0" vertical="center" wrapText="1"/>
    </xf>
    <xf borderId="22" fillId="0" fontId="27" numFmtId="0" xfId="0" applyAlignment="1" applyBorder="1" applyFont="1">
      <alignment horizontal="center" readingOrder="0" vertical="center"/>
    </xf>
    <xf borderId="22" fillId="3" fontId="31" numFmtId="0" xfId="0" applyAlignment="1" applyBorder="1" applyFont="1">
      <alignment horizontal="left" readingOrder="0" shrinkToFit="0" vertical="center" wrapText="1"/>
    </xf>
    <xf borderId="22" fillId="3" fontId="28" numFmtId="0" xfId="0" applyAlignment="1" applyBorder="1" applyFont="1">
      <alignment horizontal="center" readingOrder="0" vertical="center"/>
    </xf>
    <xf borderId="0" fillId="3" fontId="28" numFmtId="0" xfId="0" applyAlignment="1" applyFont="1">
      <alignment horizontal="center" readingOrder="0" vertical="center"/>
    </xf>
    <xf borderId="1" fillId="2" fontId="11" numFmtId="0" xfId="0" applyAlignment="1" applyBorder="1" applyFont="1">
      <alignment horizontal="center" readingOrder="0" vertical="center"/>
    </xf>
    <xf borderId="1" fillId="2" fontId="19" numFmtId="10" xfId="0" applyAlignment="1" applyBorder="1" applyFont="1" applyNumberFormat="1">
      <alignment horizontal="center" readingOrder="0" vertical="center"/>
    </xf>
    <xf borderId="0" fillId="2" fontId="67" numFmtId="0" xfId="0" applyAlignment="1" applyFont="1">
      <alignment horizontal="center" readingOrder="0" vertical="center"/>
    </xf>
    <xf borderId="1" fillId="0" fontId="68" numFmtId="0" xfId="0" applyAlignment="1" applyBorder="1" applyFont="1">
      <alignment horizontal="left" readingOrder="0" vertical="center"/>
    </xf>
    <xf borderId="1" fillId="0" fontId="2" numFmtId="0" xfId="0" applyAlignment="1" applyBorder="1" applyFont="1">
      <alignment horizontal="center" readingOrder="0" vertical="center"/>
    </xf>
    <xf borderId="1" fillId="0" fontId="2" numFmtId="49" xfId="0" applyAlignment="1" applyBorder="1" applyFont="1" applyNumberFormat="1">
      <alignment horizontal="center" readingOrder="0" vertical="center"/>
    </xf>
    <xf borderId="1" fillId="16" fontId="69" numFmtId="0" xfId="0" applyBorder="1" applyFill="1" applyFont="1"/>
    <xf borderId="1" fillId="17" fontId="27" numFmtId="0" xfId="0" applyAlignment="1" applyBorder="1" applyFill="1" applyFont="1">
      <alignment horizontal="center"/>
    </xf>
    <xf borderId="1" fillId="0" fontId="18" numFmtId="0" xfId="0" applyAlignment="1" applyBorder="1" applyFont="1">
      <alignment horizontal="center" vertical="center"/>
    </xf>
    <xf borderId="1" fillId="0" fontId="18" numFmtId="0" xfId="0" applyAlignment="1" applyBorder="1" applyFont="1">
      <alignment horizontal="center" readingOrder="0" shrinkToFit="0" vertical="center" wrapText="1"/>
    </xf>
    <xf borderId="1" fillId="2" fontId="19" numFmtId="0" xfId="0" applyAlignment="1" applyBorder="1" applyFont="1">
      <alignment horizontal="center" readingOrder="0"/>
    </xf>
    <xf borderId="1" fillId="2" fontId="19" numFmtId="10" xfId="0" applyAlignment="1" applyBorder="1" applyFont="1" applyNumberFormat="1">
      <alignment horizontal="center" readingOrder="0"/>
    </xf>
    <xf borderId="1" fillId="3" fontId="70" numFmtId="0" xfId="0" applyAlignment="1" applyBorder="1" applyFont="1">
      <alignment horizontal="left" readingOrder="0"/>
    </xf>
    <xf borderId="1" fillId="3" fontId="0" numFmtId="0" xfId="0" applyAlignment="1" applyBorder="1" applyFont="1">
      <alignment horizontal="center" readingOrder="0"/>
    </xf>
    <xf borderId="0" fillId="0" fontId="0" numFmtId="0" xfId="0" applyAlignment="1" applyFont="1">
      <alignment horizontal="center" vertical="bottom"/>
    </xf>
    <xf borderId="1" fillId="3" fontId="0" numFmtId="0" xfId="0" applyAlignment="1" applyBorder="1" applyFont="1">
      <alignment horizontal="left" readingOrder="0"/>
    </xf>
    <xf borderId="1" fillId="0" fontId="0" numFmtId="0" xfId="0" applyAlignment="1" applyBorder="1" applyFont="1">
      <alignment horizontal="center" vertical="bottom"/>
    </xf>
    <xf borderId="1" fillId="0" fontId="71" numFmtId="0" xfId="0" applyAlignment="1" applyBorder="1" applyFont="1">
      <alignment readingOrder="0"/>
    </xf>
    <xf borderId="1" fillId="3" fontId="0" numFmtId="49" xfId="0" applyAlignment="1" applyBorder="1" applyFont="1" applyNumberFormat="1">
      <alignment horizontal="center" readingOrder="0"/>
    </xf>
    <xf borderId="1" fillId="0" fontId="72" numFmtId="0" xfId="0" applyAlignment="1" applyBorder="1" applyFont="1">
      <alignment readingOrder="0"/>
    </xf>
    <xf borderId="1" fillId="3" fontId="73" numFmtId="0" xfId="0" applyAlignment="1" applyBorder="1" applyFont="1">
      <alignment horizontal="left" readingOrder="0"/>
    </xf>
    <xf borderId="1" fillId="0" fontId="0" numFmtId="0" xfId="0" applyAlignment="1" applyBorder="1" applyFont="1">
      <alignment horizontal="center" readingOrder="0" vertical="bottom"/>
    </xf>
    <xf borderId="0" fillId="3" fontId="24" numFmtId="0" xfId="0" applyAlignment="1" applyFont="1">
      <alignment horizontal="center" readingOrder="0"/>
    </xf>
    <xf borderId="1" fillId="16" fontId="74" numFmtId="0" xfId="0" applyAlignment="1" applyBorder="1" applyFont="1">
      <alignment horizontal="left" vertical="center"/>
    </xf>
    <xf borderId="1" fillId="17" fontId="27" numFmtId="0" xfId="0" applyAlignment="1" applyBorder="1" applyFont="1">
      <alignment horizontal="center" vertical="center"/>
    </xf>
    <xf borderId="1" fillId="3" fontId="0" numFmtId="0" xfId="0" applyAlignment="1" applyBorder="1" applyFont="1">
      <alignment horizontal="center" vertical="center"/>
    </xf>
    <xf borderId="0" fillId="0" fontId="0" numFmtId="0" xfId="0" applyAlignment="1" applyFont="1">
      <alignment horizontal="center" vertical="center"/>
    </xf>
    <xf borderId="1" fillId="3" fontId="0" numFmtId="0" xfId="0" applyAlignment="1" applyBorder="1" applyFont="1">
      <alignment horizontal="left" vertical="center"/>
    </xf>
    <xf borderId="1" fillId="0" fontId="0" numFmtId="0" xfId="0" applyAlignment="1" applyBorder="1" applyFont="1">
      <alignment horizontal="center" vertical="center"/>
    </xf>
    <xf borderId="1" fillId="16" fontId="75" numFmtId="0" xfId="0" applyAlignment="1" applyBorder="1" applyFont="1">
      <alignment horizontal="left" vertical="center"/>
    </xf>
    <xf borderId="0" fillId="3" fontId="76" numFmtId="0" xfId="0" applyAlignment="1" applyFont="1">
      <alignment horizontal="left" readingOrder="0" vertical="top"/>
    </xf>
    <xf borderId="1" fillId="4" fontId="15" numFmtId="0" xfId="0" applyBorder="1" applyFont="1"/>
    <xf borderId="0" fillId="18" fontId="77" numFmtId="0" xfId="0" applyAlignment="1" applyFill="1" applyFont="1">
      <alignment horizontal="center" vertical="center"/>
    </xf>
    <xf borderId="1" fillId="0" fontId="0" numFmtId="0" xfId="0" applyAlignment="1" applyBorder="1" applyFont="1">
      <alignment vertical="center"/>
    </xf>
    <xf borderId="1" fillId="0" fontId="78" numFmtId="0" xfId="0" applyAlignment="1" applyBorder="1" applyFont="1">
      <alignment shrinkToFit="0" vertical="center" wrapText="1"/>
    </xf>
    <xf borderId="3" fillId="18" fontId="79" numFmtId="0" xfId="0" applyAlignment="1" applyBorder="1" applyFont="1">
      <alignment horizontal="center" vertical="center"/>
    </xf>
    <xf borderId="1" fillId="0" fontId="80" numFmtId="0" xfId="0" applyAlignment="1" applyBorder="1" applyFont="1">
      <alignment shrinkToFit="0" vertical="center" wrapText="1"/>
    </xf>
    <xf borderId="2" fillId="0" fontId="81" numFmtId="0" xfId="0" applyAlignment="1" applyBorder="1" applyFont="1">
      <alignment shrinkToFit="0" vertical="center" wrapText="1"/>
    </xf>
    <xf borderId="2" fillId="0" fontId="82" numFmtId="0" xfId="0" applyAlignment="1" applyBorder="1" applyFont="1">
      <alignment shrinkToFit="0" vertical="center" wrapText="1"/>
    </xf>
    <xf borderId="1" fillId="0" fontId="83" numFmtId="0" xfId="0" applyAlignment="1" applyBorder="1" applyFont="1">
      <alignment shrinkToFit="0" vertical="center" wrapText="1"/>
    </xf>
    <xf borderId="2" fillId="0" fontId="84" numFmtId="0" xfId="0" applyAlignment="1" applyBorder="1" applyFont="1">
      <alignment shrinkToFit="0" vertical="center" wrapText="1"/>
    </xf>
    <xf borderId="1" fillId="0" fontId="85" numFmtId="0" xfId="0" applyAlignment="1" applyBorder="1" applyFont="1">
      <alignment shrinkToFit="0" vertical="center" wrapText="1"/>
    </xf>
    <xf borderId="3" fillId="18" fontId="86" numFmtId="0" xfId="0" applyAlignment="1" applyBorder="1" applyFont="1">
      <alignment horizontal="center" vertical="center"/>
    </xf>
    <xf borderId="1" fillId="3" fontId="87" numFmtId="0" xfId="0" applyAlignment="1" applyBorder="1" applyFont="1">
      <alignment vertical="center"/>
    </xf>
    <xf borderId="2" fillId="0" fontId="88" numFmtId="0" xfId="0" applyAlignment="1" applyBorder="1" applyFont="1">
      <alignment shrinkToFit="0" vertical="center" wrapText="1"/>
    </xf>
    <xf borderId="3" fillId="19" fontId="89" numFmtId="0" xfId="0" applyAlignment="1" applyBorder="1" applyFill="1" applyFont="1">
      <alignment horizontal="center" vertical="center"/>
    </xf>
    <xf borderId="3" fillId="20" fontId="90" numFmtId="0" xfId="0" applyAlignment="1" applyBorder="1" applyFill="1" applyFont="1">
      <alignment horizontal="center" vertical="center"/>
    </xf>
    <xf borderId="2" fillId="0" fontId="91" numFmtId="0" xfId="0" applyAlignment="1" applyBorder="1" applyFont="1">
      <alignment readingOrder="0" shrinkToFit="0" vertical="center" wrapText="1"/>
    </xf>
    <xf borderId="0" fillId="3" fontId="11" numFmtId="0" xfId="0" applyAlignment="1" applyFont="1">
      <alignment horizontal="center" readingOrder="0"/>
    </xf>
    <xf borderId="66" fillId="0" fontId="18" numFmtId="0" xfId="0" applyAlignment="1" applyBorder="1" applyFont="1">
      <alignment horizontal="left" readingOrder="0"/>
    </xf>
    <xf borderId="67" fillId="0" fontId="92" numFmtId="0" xfId="0" applyAlignment="1" applyBorder="1" applyFont="1">
      <alignment horizontal="center" readingOrder="0"/>
    </xf>
    <xf borderId="59" fillId="0" fontId="92" numFmtId="0" xfId="0" applyAlignment="1" applyBorder="1" applyFont="1">
      <alignment horizontal="center" readingOrder="0"/>
    </xf>
    <xf borderId="0" fillId="3" fontId="93" numFmtId="0" xfId="0" applyAlignment="1" applyFont="1">
      <alignment horizontal="center" readingOrder="0" vertical="center"/>
    </xf>
    <xf borderId="0" fillId="0" fontId="94" numFmtId="0" xfId="0" applyAlignment="1" applyFont="1">
      <alignment horizontal="center" readingOrder="0" vertical="center"/>
    </xf>
    <xf borderId="0" fillId="3" fontId="27" numFmtId="0" xfId="0" applyAlignment="1" applyFont="1">
      <alignment horizontal="center" readingOrder="0"/>
    </xf>
    <xf borderId="0" fillId="3" fontId="0" numFmtId="10" xfId="0" applyAlignment="1" applyFont="1" applyNumberFormat="1">
      <alignment horizontal="center" vertical="center"/>
    </xf>
    <xf borderId="1" fillId="2" fontId="95" numFmtId="0" xfId="0" applyAlignment="1" applyBorder="1" applyFont="1">
      <alignment horizontal="center" readingOrder="0"/>
    </xf>
    <xf borderId="1" fillId="2" fontId="95" numFmtId="10" xfId="0" applyAlignment="1" applyBorder="1" applyFont="1" applyNumberFormat="1">
      <alignment horizontal="center" readingOrder="0"/>
    </xf>
    <xf borderId="0" fillId="3" fontId="95" numFmtId="10" xfId="0" applyAlignment="1" applyFont="1" applyNumberFormat="1">
      <alignment horizontal="center" readingOrder="0"/>
    </xf>
    <xf borderId="1" fillId="0" fontId="96" numFmtId="0" xfId="0" applyAlignment="1" applyBorder="1" applyFont="1">
      <alignment readingOrder="0" vertical="center"/>
    </xf>
    <xf borderId="0" fillId="3" fontId="27" numFmtId="0" xfId="0" applyAlignment="1" applyFont="1">
      <alignment horizontal="center" readingOrder="0" vertical="center"/>
    </xf>
    <xf borderId="0" fillId="3" fontId="2" numFmtId="0" xfId="0" applyAlignment="1" applyFont="1">
      <alignment horizontal="center" readingOrder="0" vertical="center"/>
    </xf>
    <xf borderId="0" fillId="0" fontId="97" numFmtId="0" xfId="0" applyAlignment="1" applyFont="1">
      <alignment readingOrder="0" vertical="center"/>
    </xf>
    <xf borderId="1" fillId="3" fontId="98" numFmtId="0" xfId="0" applyBorder="1" applyFont="1"/>
    <xf borderId="1" fillId="0" fontId="99" numFmtId="0" xfId="0" applyBorder="1" applyFont="1"/>
    <xf borderId="1" fillId="0" fontId="18" numFmtId="0" xfId="0" applyAlignment="1" applyBorder="1" applyFont="1">
      <alignment horizontal="center"/>
    </xf>
    <xf borderId="1" fillId="3" fontId="18" numFmtId="0" xfId="0" applyAlignment="1" applyBorder="1" applyFont="1">
      <alignment horizontal="center"/>
    </xf>
    <xf borderId="1" fillId="3" fontId="2" numFmtId="0" xfId="0" applyAlignment="1" applyBorder="1" applyFont="1">
      <alignment horizontal="center" readingOrder="0" vertical="center"/>
    </xf>
    <xf borderId="0" fillId="3" fontId="18" numFmtId="0" xfId="0" applyAlignment="1" applyFont="1">
      <alignment horizontal="center"/>
    </xf>
    <xf borderId="1" fillId="0" fontId="100" numFmtId="0" xfId="0" applyAlignment="1" applyBorder="1" applyFont="1">
      <alignment readingOrder="0" vertical="center"/>
    </xf>
    <xf borderId="2" fillId="0" fontId="101" numFmtId="0" xfId="0" applyAlignment="1" applyBorder="1" applyFont="1">
      <alignment readingOrder="0" vertical="center"/>
    </xf>
    <xf borderId="2" fillId="0" fontId="2" numFmtId="0" xfId="0" applyAlignment="1" applyBorder="1" applyFont="1">
      <alignment horizontal="center" readingOrder="0" vertical="center"/>
    </xf>
    <xf borderId="2" fillId="0" fontId="102" numFmtId="0" xfId="0" applyAlignment="1" applyBorder="1" applyFont="1">
      <alignment readingOrder="0" vertical="center"/>
    </xf>
    <xf borderId="2" fillId="0" fontId="2" numFmtId="0" xfId="0" applyAlignment="1" applyBorder="1" applyFont="1">
      <alignment horizontal="center" readingOrder="0" vertical="center"/>
    </xf>
    <xf borderId="5" fillId="0" fontId="2" numFmtId="0" xfId="0" applyAlignment="1" applyBorder="1" applyFont="1">
      <alignment horizontal="center" readingOrder="0" vertical="center"/>
    </xf>
    <xf borderId="10" fillId="0" fontId="103" numFmtId="0" xfId="0" applyAlignment="1" applyBorder="1" applyFont="1">
      <alignment readingOrder="0" vertical="center"/>
    </xf>
    <xf borderId="10" fillId="0" fontId="2" numFmtId="0" xfId="0" applyAlignment="1" applyBorder="1" applyFont="1">
      <alignment horizontal="center" readingOrder="0" vertical="center"/>
    </xf>
    <xf borderId="0" fillId="3" fontId="104" numFmtId="0" xfId="0" applyAlignment="1" applyFont="1">
      <alignment horizontal="center" readingOrder="0" vertical="center"/>
    </xf>
    <xf borderId="12" fillId="3" fontId="31" numFmtId="0" xfId="0" applyAlignment="1" applyBorder="1" applyFont="1">
      <alignment horizontal="center" vertical="center"/>
    </xf>
    <xf borderId="0" fillId="3" fontId="31" numFmtId="0" xfId="0" applyAlignment="1" applyFont="1">
      <alignment horizontal="center" vertical="center"/>
    </xf>
    <xf borderId="0" fillId="3" fontId="94" numFmtId="0" xfId="0" applyAlignment="1" applyFont="1">
      <alignment horizontal="center" readingOrder="0" vertical="center"/>
    </xf>
    <xf borderId="1" fillId="2" fontId="95" numFmtId="49" xfId="0" applyAlignment="1" applyBorder="1" applyFont="1" applyNumberFormat="1">
      <alignment horizontal="center" readingOrder="0"/>
    </xf>
    <xf borderId="1" fillId="0" fontId="15" numFmtId="0" xfId="0" applyAlignment="1" applyBorder="1" applyFont="1">
      <alignment horizontal="center" readingOrder="0"/>
    </xf>
    <xf borderId="0" fillId="3" fontId="15" numFmtId="0" xfId="0" applyAlignment="1" applyFont="1">
      <alignment horizontal="center" readingOrder="0"/>
    </xf>
    <xf borderId="1" fillId="0" fontId="2" numFmtId="0" xfId="0" applyAlignment="1" applyBorder="1" applyFont="1">
      <alignment horizontal="center" readingOrder="0"/>
    </xf>
    <xf borderId="0" fillId="3" fontId="2" numFmtId="0" xfId="0" applyAlignment="1" applyFont="1">
      <alignment horizontal="center" readingOrder="0"/>
    </xf>
    <xf borderId="1" fillId="0" fontId="105" numFmtId="0" xfId="0" applyAlignment="1" applyBorder="1" applyFont="1">
      <alignment vertical="bottom"/>
    </xf>
    <xf borderId="1" fillId="0" fontId="18" numFmtId="0" xfId="0" applyAlignment="1" applyBorder="1" applyFont="1">
      <alignment horizontal="center" vertical="bottom"/>
    </xf>
    <xf borderId="1" fillId="3" fontId="106" numFmtId="0" xfId="0" applyAlignment="1" applyBorder="1" applyFont="1">
      <alignment vertical="bottom"/>
    </xf>
    <xf borderId="1" fillId="0" fontId="18" numFmtId="0" xfId="0" applyAlignment="1" applyBorder="1" applyFont="1">
      <alignment horizontal="center" readingOrder="0" vertical="bottom"/>
    </xf>
    <xf borderId="5" fillId="0" fontId="107" numFmtId="0" xfId="0" applyAlignment="1" applyBorder="1" applyFont="1">
      <alignment readingOrder="0"/>
    </xf>
    <xf borderId="5" fillId="0" fontId="2" numFmtId="0" xfId="0" applyAlignment="1" applyBorder="1" applyFont="1">
      <alignment horizontal="center" readingOrder="0"/>
    </xf>
    <xf borderId="33" fillId="0" fontId="108" numFmtId="0" xfId="0" applyAlignment="1" applyBorder="1" applyFont="1">
      <alignment readingOrder="0"/>
    </xf>
    <xf borderId="10" fillId="0" fontId="2" numFmtId="0" xfId="0" applyAlignment="1" applyBorder="1" applyFont="1">
      <alignment horizontal="center" readingOrder="0"/>
    </xf>
    <xf borderId="1" fillId="2" fontId="109" numFmtId="0" xfId="0" applyAlignment="1" applyBorder="1" applyFont="1">
      <alignment horizontal="center" readingOrder="0"/>
    </xf>
    <xf borderId="0" fillId="3" fontId="109" numFmtId="0" xfId="0" applyAlignment="1" applyFont="1">
      <alignment horizontal="center" readingOrder="0"/>
    </xf>
    <xf borderId="1" fillId="0" fontId="0" numFmtId="0" xfId="0" applyAlignment="1" applyBorder="1" applyFont="1">
      <alignment horizontal="center" readingOrder="0" vertical="center"/>
    </xf>
    <xf borderId="1" fillId="0" fontId="2" numFmtId="49" xfId="0" applyAlignment="1" applyBorder="1" applyFont="1" applyNumberFormat="1">
      <alignment horizontal="center" readingOrder="0"/>
    </xf>
    <xf borderId="0" fillId="3" fontId="2" numFmtId="49" xfId="0" applyAlignment="1" applyFont="1" applyNumberFormat="1">
      <alignment horizontal="center" readingOrder="0"/>
    </xf>
    <xf borderId="38" fillId="0" fontId="2" numFmtId="0" xfId="0" applyAlignment="1" applyBorder="1" applyFont="1">
      <alignment readingOrder="0"/>
    </xf>
    <xf borderId="38" fillId="0" fontId="2" numFmtId="0" xfId="0" applyAlignment="1" applyBorder="1" applyFont="1">
      <alignment horizontal="center" readingOrder="0"/>
    </xf>
    <xf borderId="38" fillId="0" fontId="0" numFmtId="0" xfId="0" applyAlignment="1" applyBorder="1" applyFont="1">
      <alignment horizontal="center" readingOrder="0" vertical="center"/>
    </xf>
    <xf borderId="51" fillId="0" fontId="2" numFmtId="49" xfId="0" applyAlignment="1" applyBorder="1" applyFont="1" applyNumberFormat="1">
      <alignment horizontal="center" readingOrder="0"/>
    </xf>
    <xf borderId="0" fillId="0" fontId="94" numFmtId="0" xfId="0" applyAlignment="1" applyFont="1">
      <alignment horizontal="center"/>
    </xf>
    <xf borderId="1" fillId="2" fontId="11" numFmtId="0" xfId="0" applyAlignment="1" applyBorder="1" applyFont="1">
      <alignment horizontal="center" vertical="bottom"/>
    </xf>
    <xf borderId="1" fillId="2" fontId="11" numFmtId="49" xfId="0" applyAlignment="1" applyBorder="1" applyFont="1" applyNumberFormat="1">
      <alignment horizontal="center" vertical="bottom"/>
    </xf>
    <xf borderId="2" fillId="2" fontId="17" numFmtId="0" xfId="0" applyAlignment="1" applyBorder="1" applyFont="1">
      <alignment horizontal="center" vertical="bottom"/>
    </xf>
    <xf borderId="2" fillId="2" fontId="17" numFmtId="10" xfId="0" applyAlignment="1" applyBorder="1" applyFont="1" applyNumberFormat="1">
      <alignment horizontal="center" vertical="bottom"/>
    </xf>
    <xf borderId="2" fillId="2" fontId="19" numFmtId="10" xfId="0" applyAlignment="1" applyBorder="1" applyFont="1" applyNumberFormat="1">
      <alignment horizontal="center" vertical="bottom"/>
    </xf>
    <xf borderId="1" fillId="16" fontId="110" numFmtId="0" xfId="0" applyAlignment="1" applyBorder="1" applyFont="1">
      <alignment vertical="bottom"/>
    </xf>
    <xf borderId="1" fillId="21" fontId="0" numFmtId="0" xfId="0" applyAlignment="1" applyBorder="1" applyFill="1" applyFont="1">
      <alignment horizontal="center"/>
    </xf>
    <xf borderId="1" fillId="0" fontId="18" numFmtId="49" xfId="0" applyAlignment="1" applyBorder="1" applyFont="1" applyNumberFormat="1">
      <alignment horizontal="center" vertical="bottom"/>
    </xf>
    <xf borderId="1" fillId="21" fontId="0" numFmtId="49" xfId="0" applyAlignment="1" applyBorder="1" applyFont="1" applyNumberFormat="1">
      <alignment horizontal="center"/>
    </xf>
    <xf borderId="1" fillId="2" fontId="11" numFmtId="0" xfId="0" applyAlignment="1" applyBorder="1" applyFont="1">
      <alignment horizontal="center" readingOrder="0" shrinkToFit="0" wrapText="1"/>
    </xf>
    <xf borderId="1" fillId="2" fontId="109" numFmtId="0" xfId="0" applyAlignment="1" applyBorder="1" applyFont="1">
      <alignment readingOrder="0" shrinkToFit="0" wrapText="0"/>
    </xf>
    <xf borderId="1" fillId="2" fontId="109" numFmtId="0" xfId="0" applyAlignment="1" applyBorder="1" applyFont="1">
      <alignment readingOrder="0" shrinkToFit="0" wrapText="1"/>
    </xf>
    <xf borderId="1" fillId="2" fontId="19" numFmtId="0" xfId="0" applyAlignment="1" applyBorder="1" applyFont="1">
      <alignment horizontal="center" readingOrder="0" shrinkToFit="0" wrapText="1"/>
    </xf>
    <xf borderId="1" fillId="2" fontId="19" numFmtId="10" xfId="0" applyAlignment="1" applyBorder="1" applyFont="1" applyNumberFormat="1">
      <alignment horizontal="center" shrinkToFit="0" wrapText="1"/>
    </xf>
    <xf borderId="1" fillId="0" fontId="111" numFmtId="0" xfId="0" applyAlignment="1" applyBorder="1" applyFont="1">
      <alignment horizontal="left" readingOrder="0" shrinkToFit="0" vertical="center" wrapText="1"/>
    </xf>
    <xf borderId="1" fillId="3" fontId="112" numFmtId="0" xfId="0" applyAlignment="1" applyBorder="1" applyFont="1">
      <alignment horizontal="left" readingOrder="0" vertical="center"/>
    </xf>
    <xf borderId="1" fillId="0" fontId="2" numFmtId="0" xfId="0" applyAlignment="1" applyBorder="1" applyFont="1">
      <alignment horizontal="center" readingOrder="0" shrinkToFit="0" wrapText="1"/>
    </xf>
    <xf borderId="1" fillId="0" fontId="2" numFmtId="0" xfId="0" applyAlignment="1" applyBorder="1" applyFont="1">
      <alignment horizontal="left" shrinkToFit="0" vertical="center" wrapText="1"/>
    </xf>
    <xf borderId="1" fillId="0" fontId="113" numFmtId="0" xfId="0" applyAlignment="1" applyBorder="1" applyFont="1">
      <alignment horizontal="left" readingOrder="0" shrinkToFit="0" vertical="center" wrapText="1"/>
    </xf>
    <xf borderId="1" fillId="0" fontId="114" numFmtId="0" xfId="0" applyAlignment="1" applyBorder="1" applyFont="1">
      <alignment horizontal="left" readingOrder="0" shrinkToFit="0" vertical="center" wrapText="1"/>
    </xf>
    <xf borderId="1" fillId="3" fontId="0" numFmtId="0" xfId="0" applyAlignment="1" applyBorder="1" applyFont="1">
      <alignment horizontal="left" readingOrder="0" vertical="center"/>
    </xf>
    <xf borderId="1" fillId="3" fontId="0" numFmtId="0" xfId="0" applyAlignment="1" applyBorder="1" applyFont="1">
      <alignment horizontal="left" readingOrder="0" vertical="center"/>
    </xf>
    <xf borderId="3" fillId="2" fontId="11" numFmtId="0" xfId="0" applyAlignment="1" applyBorder="1" applyFont="1">
      <alignment horizontal="center" readingOrder="0" vertical="center"/>
    </xf>
    <xf borderId="68" fillId="2" fontId="11" numFmtId="0" xfId="0" applyAlignment="1" applyBorder="1" applyFont="1">
      <alignment horizontal="center" readingOrder="0" vertical="center"/>
    </xf>
    <xf borderId="3" fillId="3" fontId="0" numFmtId="0" xfId="0" applyAlignment="1" applyBorder="1" applyFont="1">
      <alignment horizontal="left" readingOrder="0" vertical="center"/>
    </xf>
    <xf borderId="13" fillId="0" fontId="94" numFmtId="0" xfId="0" applyAlignment="1" applyBorder="1" applyFont="1">
      <alignment horizontal="center" readingOrder="0" vertical="center"/>
    </xf>
    <xf borderId="3" fillId="2" fontId="19" numFmtId="0" xfId="0" applyAlignment="1" applyBorder="1" applyFont="1">
      <alignment horizontal="center" readingOrder="0" vertical="center"/>
    </xf>
    <xf borderId="68" fillId="2" fontId="19" numFmtId="0" xfId="0" applyAlignment="1" applyBorder="1" applyFont="1">
      <alignment horizontal="center" readingOrder="0" vertical="center"/>
    </xf>
    <xf borderId="0" fillId="0" fontId="115" numFmtId="0" xfId="0" applyAlignment="1" applyFont="1">
      <alignment horizontal="left" readingOrder="0" vertical="center"/>
    </xf>
    <xf borderId="69" fillId="0" fontId="2" numFmtId="0" xfId="0" applyAlignment="1" applyBorder="1" applyFont="1">
      <alignment horizontal="left" readingOrder="0" vertical="center"/>
    </xf>
    <xf borderId="1" fillId="0" fontId="2" numFmtId="0" xfId="0" applyAlignment="1" applyBorder="1" applyFont="1">
      <alignment readingOrder="0" vertical="center"/>
    </xf>
    <xf borderId="3" fillId="0" fontId="116" numFmtId="0" xfId="0" applyAlignment="1" applyBorder="1" applyFont="1">
      <alignment horizontal="left" readingOrder="0" vertical="center"/>
    </xf>
    <xf borderId="46" fillId="0" fontId="2" numFmtId="0" xfId="0" applyAlignment="1" applyBorder="1" applyFont="1">
      <alignment horizontal="left" readingOrder="0" vertical="center"/>
    </xf>
    <xf borderId="46" fillId="22" fontId="2" numFmtId="0" xfId="0" applyAlignment="1" applyBorder="1" applyFill="1" applyFont="1">
      <alignment horizontal="left" readingOrder="0" vertical="center"/>
    </xf>
    <xf borderId="46" fillId="23" fontId="2" numFmtId="0" xfId="0" applyAlignment="1" applyBorder="1" applyFill="1" applyFont="1">
      <alignment horizontal="left" readingOrder="0" vertical="center"/>
    </xf>
    <xf borderId="3" fillId="0" fontId="117" numFmtId="0" xfId="0" applyAlignment="1" applyBorder="1" applyFont="1">
      <alignment vertical="center"/>
    </xf>
    <xf borderId="46" fillId="0" fontId="118" numFmtId="0" xfId="0" applyAlignment="1" applyBorder="1" applyFont="1">
      <alignment vertical="center"/>
    </xf>
    <xf borderId="1" fillId="0" fontId="18" numFmtId="0" xfId="0" applyAlignment="1" applyBorder="1" applyFont="1">
      <alignment vertical="center"/>
    </xf>
    <xf borderId="69" fillId="24" fontId="2" numFmtId="0" xfId="0" applyAlignment="1" applyBorder="1" applyFill="1" applyFont="1">
      <alignment horizontal="left" readingOrder="0" vertical="center"/>
    </xf>
    <xf borderId="3" fillId="0" fontId="119" numFmtId="0" xfId="0" applyAlignment="1" applyBorder="1" applyFont="1">
      <alignment vertical="center"/>
    </xf>
    <xf borderId="1" fillId="3" fontId="7" numFmtId="0" xfId="0" applyAlignment="1" applyBorder="1" applyFont="1">
      <alignment horizontal="left" readingOrder="0" vertical="center"/>
    </xf>
    <xf borderId="1" fillId="0" fontId="18" numFmtId="0" xfId="0" applyAlignment="1" applyBorder="1" applyFont="1">
      <alignment horizontal="left" vertical="center"/>
    </xf>
    <xf borderId="46" fillId="25" fontId="2" numFmtId="0" xfId="0" applyAlignment="1" applyBorder="1" applyFill="1" applyFont="1">
      <alignment horizontal="left" readingOrder="0" vertical="center"/>
    </xf>
    <xf borderId="1" fillId="0" fontId="2" numFmtId="0" xfId="0" applyAlignment="1" applyBorder="1" applyFont="1">
      <alignment readingOrder="0" vertical="center"/>
    </xf>
    <xf borderId="46" fillId="26" fontId="2" numFmtId="0" xfId="0" applyAlignment="1" applyBorder="1" applyFill="1" applyFont="1">
      <alignment horizontal="left" readingOrder="0" vertical="center"/>
    </xf>
    <xf borderId="46" fillId="27" fontId="2" numFmtId="0" xfId="0" applyAlignment="1" applyBorder="1" applyFill="1" applyFont="1">
      <alignment horizontal="left" readingOrder="0" vertical="center"/>
    </xf>
    <xf borderId="70" fillId="3" fontId="31" numFmtId="0" xfId="0" applyAlignment="1" applyBorder="1" applyFont="1">
      <alignment horizontal="left" vertical="center"/>
    </xf>
    <xf borderId="71" fillId="0" fontId="15" numFmtId="0" xfId="0" applyBorder="1" applyFont="1"/>
    <xf borderId="72" fillId="0" fontId="15" numFmtId="0" xfId="0" applyBorder="1" applyFont="1"/>
    <xf borderId="36" fillId="0" fontId="94" numFmtId="0" xfId="0" applyAlignment="1" applyBorder="1" applyFont="1">
      <alignment horizontal="center" readingOrder="0" vertical="center"/>
    </xf>
    <xf borderId="1" fillId="2" fontId="11" numFmtId="0" xfId="0" applyAlignment="1" applyBorder="1" applyFont="1">
      <alignment horizontal="left" readingOrder="0" vertical="center"/>
    </xf>
    <xf borderId="1" fillId="2" fontId="11" numFmtId="10" xfId="0" applyAlignment="1" applyBorder="1" applyFont="1" applyNumberFormat="1">
      <alignment horizontal="center" readingOrder="0" vertical="center"/>
    </xf>
    <xf borderId="1" fillId="2" fontId="11" numFmtId="10" xfId="0" applyAlignment="1" applyBorder="1" applyFont="1" applyNumberFormat="1">
      <alignment horizontal="left" readingOrder="0" vertical="center"/>
    </xf>
    <xf borderId="3" fillId="0" fontId="120" numFmtId="0" xfId="0" applyAlignment="1" applyBorder="1" applyFont="1">
      <alignment readingOrder="0" vertical="center"/>
    </xf>
    <xf borderId="46" fillId="28" fontId="2" numFmtId="0" xfId="0" applyAlignment="1" applyBorder="1" applyFill="1" applyFont="1">
      <alignment readingOrder="0" vertical="center"/>
    </xf>
    <xf borderId="1" fillId="0" fontId="2" numFmtId="0" xfId="0" applyAlignment="1" applyBorder="1" applyFont="1">
      <alignment horizontal="left" readingOrder="0" vertical="center"/>
    </xf>
    <xf borderId="1" fillId="0" fontId="18" numFmtId="0" xfId="0" applyAlignment="1" applyBorder="1" applyFont="1">
      <alignment readingOrder="0" vertical="center"/>
    </xf>
    <xf borderId="46" fillId="29" fontId="2" numFmtId="0" xfId="0" applyAlignment="1" applyBorder="1" applyFill="1" applyFont="1">
      <alignment readingOrder="0" vertical="center"/>
    </xf>
    <xf borderId="46" fillId="0" fontId="2" numFmtId="0" xfId="0" applyAlignment="1" applyBorder="1" applyFont="1">
      <alignment readingOrder="0" vertical="center"/>
    </xf>
    <xf borderId="1" fillId="0" fontId="2" numFmtId="49" xfId="0" applyAlignment="1" applyBorder="1" applyFont="1" applyNumberFormat="1">
      <alignment horizontal="left" readingOrder="0" shrinkToFit="0" vertical="center" wrapText="1"/>
    </xf>
    <xf borderId="1" fillId="3" fontId="27" numFmtId="0" xfId="0" applyAlignment="1" applyBorder="1" applyFont="1">
      <alignment horizontal="center" readingOrder="0" vertical="center"/>
    </xf>
    <xf borderId="17" fillId="0" fontId="121" numFmtId="0" xfId="0" applyAlignment="1" applyBorder="1" applyFont="1">
      <alignment readingOrder="0" vertical="center"/>
    </xf>
    <xf borderId="69" fillId="29" fontId="2" numFmtId="0" xfId="0" applyAlignment="1" applyBorder="1" applyFont="1">
      <alignment readingOrder="0" vertical="center"/>
    </xf>
    <xf borderId="73" fillId="0" fontId="122" numFmtId="0" xfId="0" applyAlignment="1" applyBorder="1" applyFont="1">
      <alignment vertical="center"/>
    </xf>
    <xf borderId="14" fillId="0" fontId="123" numFmtId="0" xfId="0" applyAlignment="1" applyBorder="1" applyFont="1">
      <alignment readingOrder="0" vertical="center"/>
    </xf>
    <xf borderId="74" fillId="0" fontId="2" numFmtId="0" xfId="0" applyAlignment="1" applyBorder="1" applyFont="1">
      <alignment readingOrder="0" vertical="center"/>
    </xf>
    <xf borderId="14" fillId="0" fontId="124" numFmtId="0" xfId="0" applyAlignment="1" applyBorder="1" applyFont="1">
      <alignment vertical="center"/>
    </xf>
    <xf borderId="74" fillId="0" fontId="125" numFmtId="0" xfId="0" applyAlignment="1" applyBorder="1" applyFont="1">
      <alignment vertical="center"/>
    </xf>
    <xf borderId="69" fillId="0" fontId="126" numFmtId="0" xfId="0" applyAlignment="1" applyBorder="1" applyFont="1">
      <alignment vertical="center"/>
    </xf>
    <xf borderId="1" fillId="0" fontId="18" numFmtId="0" xfId="0" applyAlignment="1" applyBorder="1" applyFont="1">
      <alignment readingOrder="0" shrinkToFit="0" vertical="center" wrapText="1"/>
    </xf>
    <xf borderId="3" fillId="2" fontId="95" numFmtId="0" xfId="0" applyAlignment="1" applyBorder="1" applyFont="1">
      <alignment horizontal="center" readingOrder="0" vertical="center"/>
    </xf>
    <xf borderId="68" fillId="2" fontId="95" numFmtId="0" xfId="0" applyAlignment="1" applyBorder="1" applyFont="1">
      <alignment horizontal="center" readingOrder="0" vertical="center"/>
    </xf>
    <xf borderId="1" fillId="2" fontId="95" numFmtId="0" xfId="0" applyAlignment="1" applyBorder="1" applyFont="1">
      <alignment horizontal="center" readingOrder="0" vertical="center"/>
    </xf>
    <xf borderId="1" fillId="2" fontId="95" numFmtId="10" xfId="0" applyAlignment="1" applyBorder="1" applyFont="1" applyNumberFormat="1">
      <alignment horizontal="center" readingOrder="0" vertical="center"/>
    </xf>
    <xf borderId="1" fillId="2" fontId="95" numFmtId="10" xfId="0" applyAlignment="1" applyBorder="1" applyFont="1" applyNumberFormat="1">
      <alignment horizontal="left" readingOrder="0" vertical="center"/>
    </xf>
    <xf borderId="1" fillId="0" fontId="2" numFmtId="0" xfId="0" applyAlignment="1" applyBorder="1" applyFont="1">
      <alignment readingOrder="0" vertical="center"/>
    </xf>
    <xf borderId="1" fillId="2" fontId="11" numFmtId="0" xfId="0" applyAlignment="1" applyBorder="1" applyFont="1">
      <alignment horizontal="center" readingOrder="0" vertical="bottom"/>
    </xf>
    <xf borderId="1" fillId="2" fontId="127" numFmtId="0" xfId="0" applyAlignment="1" applyBorder="1" applyFont="1">
      <alignment horizontal="center" readingOrder="0" vertical="bottom"/>
    </xf>
    <xf borderId="1" fillId="2" fontId="19" numFmtId="0" xfId="0" applyAlignment="1" applyBorder="1" applyFont="1">
      <alignment readingOrder="0" vertical="bottom"/>
    </xf>
    <xf borderId="1" fillId="2" fontId="18" numFmtId="0" xfId="0" applyAlignment="1" applyBorder="1" applyFont="1">
      <alignment vertical="bottom"/>
    </xf>
    <xf borderId="1" fillId="2" fontId="17" numFmtId="0" xfId="0" applyAlignment="1" applyBorder="1" applyFont="1">
      <alignment horizontal="center" vertical="bottom"/>
    </xf>
    <xf borderId="1" fillId="3" fontId="17" numFmtId="0" xfId="0" applyAlignment="1" applyBorder="1" applyFont="1">
      <alignment horizontal="center" vertical="bottom"/>
    </xf>
    <xf borderId="1" fillId="0" fontId="17" numFmtId="0" xfId="0" applyAlignment="1" applyBorder="1" applyFont="1">
      <alignment horizontal="center" vertical="bottom"/>
    </xf>
    <xf borderId="1" fillId="2" fontId="19" numFmtId="0" xfId="0" applyAlignment="1" applyBorder="1" applyFont="1">
      <alignment horizontal="center" readingOrder="0" vertical="bottom"/>
    </xf>
    <xf borderId="1" fillId="2" fontId="19" numFmtId="0" xfId="0" applyAlignment="1" applyBorder="1" applyFont="1">
      <alignment horizontal="center" vertical="bottom"/>
    </xf>
    <xf borderId="1" fillId="2" fontId="17" numFmtId="0" xfId="0" applyAlignment="1" applyBorder="1" applyFont="1">
      <alignment horizontal="center" readingOrder="0" vertical="bottom"/>
    </xf>
    <xf borderId="1" fillId="0" fontId="128" numFmtId="0" xfId="0" applyAlignment="1" applyBorder="1" applyFont="1">
      <alignment vertical="center"/>
    </xf>
    <xf borderId="1" fillId="0" fontId="18" numFmtId="0" xfId="0" applyAlignment="1" applyBorder="1" applyFont="1">
      <alignment vertical="center"/>
    </xf>
    <xf borderId="1" fillId="0" fontId="18" numFmtId="0" xfId="0" applyAlignment="1" applyBorder="1" applyFont="1">
      <alignment horizontal="center" vertical="center"/>
    </xf>
    <xf borderId="1" fillId="0" fontId="0" numFmtId="0" xfId="0" applyAlignment="1" applyBorder="1" applyFont="1">
      <alignment shrinkToFit="0" vertical="center" wrapText="1"/>
    </xf>
    <xf borderId="1" fillId="0" fontId="0" numFmtId="0" xfId="0" applyAlignment="1" applyBorder="1" applyFont="1">
      <alignment shrinkToFit="0" vertical="center" wrapText="1"/>
    </xf>
    <xf borderId="1" fillId="0" fontId="129" numFmtId="167" xfId="0" applyAlignment="1" applyBorder="1" applyFont="1" applyNumberFormat="1">
      <alignment vertical="center"/>
    </xf>
    <xf borderId="1" fillId="0" fontId="0" numFmtId="0" xfId="0" applyAlignment="1" applyBorder="1" applyFont="1">
      <alignment vertical="center"/>
    </xf>
    <xf borderId="1" fillId="0" fontId="0" numFmtId="0" xfId="0" applyAlignment="1" applyBorder="1" applyFont="1">
      <alignment readingOrder="0" vertical="center"/>
    </xf>
    <xf borderId="1" fillId="0" fontId="130" numFmtId="0" xfId="0" applyAlignment="1" applyBorder="1" applyFont="1">
      <alignment vertical="center"/>
    </xf>
    <xf borderId="1" fillId="0" fontId="18" numFmtId="168" xfId="0" applyAlignment="1" applyBorder="1" applyFont="1" applyNumberFormat="1">
      <alignment horizontal="center" readingOrder="0" vertical="center"/>
    </xf>
    <xf borderId="1" fillId="3" fontId="131" numFmtId="0" xfId="0" applyAlignment="1" applyBorder="1" applyFont="1">
      <alignment vertical="center"/>
    </xf>
    <xf borderId="1" fillId="3" fontId="24" numFmtId="0" xfId="0" applyAlignment="1" applyBorder="1" applyFont="1">
      <alignment vertical="center"/>
    </xf>
    <xf borderId="1" fillId="0" fontId="0" numFmtId="0" xfId="0" applyAlignment="1" applyBorder="1" applyFont="1">
      <alignment readingOrder="0" shrinkToFit="0" vertical="center" wrapText="1"/>
    </xf>
    <xf borderId="1" fillId="0" fontId="132" numFmtId="0" xfId="0" applyAlignment="1" applyBorder="1" applyFont="1">
      <alignment vertical="center"/>
    </xf>
    <xf borderId="1" fillId="0" fontId="15" numFmtId="0" xfId="0" applyAlignment="1" applyBorder="1" applyFont="1">
      <alignment readingOrder="0"/>
    </xf>
    <xf borderId="1" fillId="30" fontId="133" numFmtId="0" xfId="0" applyAlignment="1" applyBorder="1" applyFill="1" applyFont="1">
      <alignment vertical="center"/>
    </xf>
    <xf borderId="1" fillId="30" fontId="134" numFmtId="0" xfId="0" applyAlignment="1" applyBorder="1" applyFont="1">
      <alignment vertical="center"/>
    </xf>
    <xf borderId="1" fillId="0" fontId="0" numFmtId="0" xfId="0" applyAlignment="1" applyBorder="1" applyFont="1">
      <alignment horizontal="center" readingOrder="0" shrinkToFit="0" vertical="center" wrapText="1"/>
    </xf>
    <xf borderId="1" fillId="0" fontId="0" numFmtId="0" xfId="0" applyAlignment="1" applyBorder="1" applyFont="1">
      <alignment horizontal="left" readingOrder="0" vertical="center"/>
    </xf>
    <xf borderId="0" fillId="0" fontId="0" numFmtId="0" xfId="0" applyAlignment="1" applyFont="1">
      <alignment shrinkToFit="0" vertical="center" wrapText="1"/>
    </xf>
    <xf borderId="0" fillId="31" fontId="15" numFmtId="0" xfId="0" applyFill="1" applyFont="1"/>
    <xf borderId="1" fillId="3" fontId="135" numFmtId="0" xfId="0" applyAlignment="1" applyBorder="1" applyFont="1">
      <alignment horizontal="center" vertical="bottom"/>
    </xf>
    <xf borderId="1" fillId="2" fontId="18" numFmtId="0" xfId="0" applyAlignment="1" applyBorder="1" applyFont="1">
      <alignment horizontal="center" readingOrder="0" vertical="center"/>
    </xf>
    <xf borderId="1" fillId="2" fontId="17" numFmtId="0" xfId="0" applyAlignment="1" applyBorder="1" applyFont="1">
      <alignment horizontal="center" vertical="bottom"/>
    </xf>
    <xf borderId="1" fillId="3" fontId="18" numFmtId="0" xfId="0" applyAlignment="1" applyBorder="1" applyFont="1">
      <alignment horizontal="center" vertical="bottom"/>
    </xf>
    <xf borderId="1" fillId="0" fontId="135" numFmtId="0" xfId="0" applyAlignment="1" applyBorder="1" applyFont="1">
      <alignment horizontal="center" vertical="bottom"/>
    </xf>
    <xf borderId="1" fillId="0" fontId="136" numFmtId="0" xfId="0" applyAlignment="1" applyBorder="1" applyFont="1">
      <alignment readingOrder="0" vertical="center"/>
    </xf>
    <xf borderId="1" fillId="0" fontId="137" numFmtId="0" xfId="0" applyAlignment="1" applyBorder="1" applyFont="1">
      <alignment vertical="center"/>
    </xf>
    <xf borderId="1" fillId="0" fontId="18" numFmtId="0" xfId="0" applyAlignment="1" applyBorder="1" applyFont="1">
      <alignment horizontal="left" readingOrder="0" vertical="center"/>
    </xf>
    <xf borderId="1" fillId="2" fontId="19" numFmtId="0" xfId="0" applyAlignment="1" applyBorder="1" applyFont="1">
      <alignment vertical="bottom"/>
    </xf>
    <xf borderId="0" fillId="31" fontId="18" numFmtId="0" xfId="0" applyAlignment="1" applyFont="1">
      <alignment vertical="bottom"/>
    </xf>
    <xf borderId="1" fillId="2" fontId="18" numFmtId="0" xfId="0" applyBorder="1" applyFont="1"/>
    <xf borderId="1" fillId="2" fontId="18" numFmtId="0" xfId="0" applyAlignment="1" applyBorder="1" applyFont="1">
      <alignment vertical="bottom"/>
    </xf>
    <xf borderId="1" fillId="0" fontId="138" numFmtId="0" xfId="0" applyBorder="1" applyFont="1"/>
    <xf borderId="1" fillId="21" fontId="27" numFmtId="0" xfId="0" applyAlignment="1" applyBorder="1" applyFont="1">
      <alignment horizontal="center" readingOrder="0"/>
    </xf>
    <xf borderId="1" fillId="0" fontId="18" numFmtId="0" xfId="0" applyBorder="1" applyFont="1"/>
    <xf borderId="1" fillId="0" fontId="0" numFmtId="0" xfId="0" applyBorder="1" applyFont="1"/>
    <xf borderId="1" fillId="0" fontId="0" numFmtId="0" xfId="0" applyAlignment="1" applyBorder="1" applyFont="1">
      <alignment shrinkToFit="0" wrapText="1"/>
    </xf>
    <xf borderId="1" fillId="0" fontId="0" numFmtId="0" xfId="0" applyAlignment="1" applyBorder="1" applyFont="1">
      <alignment horizontal="center"/>
    </xf>
    <xf borderId="1" fillId="21" fontId="27" numFmtId="0" xfId="0" applyAlignment="1" applyBorder="1" applyFont="1">
      <alignment horizontal="center"/>
    </xf>
    <xf borderId="3" fillId="2" fontId="11" numFmtId="0" xfId="0" applyAlignment="1" applyBorder="1" applyFont="1">
      <alignment horizontal="center" readingOrder="0" vertical="bottom"/>
    </xf>
    <xf borderId="33" fillId="2" fontId="19" numFmtId="0" xfId="0" applyAlignment="1" applyBorder="1" applyFont="1">
      <alignment horizontal="center" readingOrder="0" vertical="bottom"/>
    </xf>
    <xf borderId="10" fillId="2" fontId="19" numFmtId="0" xfId="0" applyAlignment="1" applyBorder="1" applyFont="1">
      <alignment horizontal="center" vertical="bottom"/>
    </xf>
    <xf borderId="3" fillId="2" fontId="19" numFmtId="0" xfId="0" applyAlignment="1" applyBorder="1" applyFont="1">
      <alignment horizontal="center" readingOrder="0"/>
    </xf>
    <xf borderId="33" fillId="2" fontId="19" numFmtId="10" xfId="0" applyAlignment="1" applyBorder="1" applyFont="1" applyNumberFormat="1">
      <alignment horizontal="center" vertical="bottom"/>
    </xf>
    <xf borderId="1" fillId="3" fontId="139" numFmtId="0" xfId="0" applyAlignment="1" applyBorder="1" applyFont="1">
      <alignment shrinkToFit="0" vertical="center" wrapText="1"/>
    </xf>
    <xf borderId="30" fillId="3" fontId="140" numFmtId="0" xfId="0" applyAlignment="1" applyBorder="1" applyFont="1">
      <alignment shrinkToFit="0" vertical="center" wrapText="1"/>
    </xf>
    <xf borderId="1" fillId="3" fontId="141" numFmtId="0" xfId="0" applyAlignment="1" applyBorder="1" applyFont="1">
      <alignment readingOrder="0" shrinkToFit="0" vertical="center" wrapText="1"/>
    </xf>
    <xf borderId="30" fillId="3" fontId="142" numFmtId="0" xfId="0" applyAlignment="1" applyBorder="1" applyFont="1">
      <alignment readingOrder="0" shrinkToFit="0" vertical="center" wrapText="1"/>
    </xf>
    <xf borderId="1" fillId="3" fontId="143" numFmtId="0" xfId="0" applyAlignment="1" applyBorder="1" applyFont="1">
      <alignment shrinkToFit="0" vertical="center" wrapText="1"/>
    </xf>
    <xf borderId="3" fillId="3" fontId="0" numFmtId="0" xfId="0" applyAlignment="1" applyBorder="1" applyFont="1">
      <alignment horizontal="left" readingOrder="0" shrinkToFit="0" vertical="center" wrapText="1"/>
    </xf>
    <xf borderId="1" fillId="3" fontId="144" numFmtId="0" xfId="0" applyAlignment="1" applyBorder="1" applyFont="1">
      <alignment horizontal="left" shrinkToFit="0" vertical="center" wrapText="1"/>
    </xf>
    <xf borderId="10" fillId="3" fontId="145" numFmtId="0" xfId="0" applyAlignment="1" applyBorder="1" applyFont="1">
      <alignment horizontal="left" shrinkToFit="0" vertical="center" wrapText="1"/>
    </xf>
    <xf borderId="1" fillId="3" fontId="146" numFmtId="0" xfId="0" applyAlignment="1" applyBorder="1" applyFont="1">
      <alignment shrinkToFit="0" vertical="center" wrapText="1"/>
    </xf>
    <xf borderId="1" fillId="3" fontId="147" numFmtId="0" xfId="0" applyAlignment="1" applyBorder="1" applyFont="1">
      <alignment shrinkToFit="0" vertical="center" wrapText="1"/>
    </xf>
    <xf borderId="1" fillId="3" fontId="148" numFmtId="0" xfId="0" applyAlignment="1" applyBorder="1" applyFont="1">
      <alignment shrinkToFit="0" vertical="center" wrapText="1"/>
    </xf>
    <xf borderId="13" fillId="3" fontId="0" numFmtId="0" xfId="0" applyAlignment="1" applyBorder="1" applyFont="1">
      <alignment horizontal="left" shrinkToFit="0" vertical="center" wrapText="1"/>
    </xf>
    <xf borderId="32" fillId="3" fontId="0" numFmtId="0" xfId="0" applyAlignment="1" applyBorder="1" applyFont="1">
      <alignment shrinkToFit="0" vertical="center" wrapText="1"/>
    </xf>
    <xf borderId="3" fillId="3" fontId="149" numFmtId="0" xfId="0" applyAlignment="1" applyBorder="1" applyFont="1">
      <alignment shrinkToFit="0" vertical="center" wrapText="1"/>
    </xf>
    <xf borderId="1" fillId="3" fontId="0" numFmtId="0" xfId="0" applyAlignment="1" applyBorder="1" applyFont="1">
      <alignment horizontal="left" shrinkToFit="0" vertical="center" wrapText="1"/>
    </xf>
    <xf borderId="1" fillId="3" fontId="0" numFmtId="0" xfId="0" applyAlignment="1" applyBorder="1" applyFont="1">
      <alignment readingOrder="0" shrinkToFit="0" vertical="center" wrapText="1"/>
    </xf>
    <xf borderId="75" fillId="0" fontId="15" numFmtId="0" xfId="0" applyBorder="1" applyFont="1"/>
    <xf borderId="76" fillId="0" fontId="15" numFmtId="0" xfId="0" applyBorder="1" applyFont="1"/>
    <xf borderId="77" fillId="0" fontId="15" numFmtId="0" xfId="0" applyBorder="1" applyFont="1"/>
    <xf borderId="78" fillId="0" fontId="15" numFmtId="0" xfId="0" applyBorder="1" applyFont="1"/>
    <xf borderId="27" fillId="3" fontId="0" numFmtId="0" xfId="0" applyAlignment="1" applyBorder="1" applyFont="1">
      <alignment shrinkToFit="0" vertical="center" wrapText="1"/>
    </xf>
    <xf borderId="79" fillId="0" fontId="15" numFmtId="0" xfId="0" applyBorder="1" applyFont="1"/>
    <xf borderId="80" fillId="0" fontId="15" numFmtId="0" xfId="0" applyBorder="1" applyFont="1"/>
    <xf borderId="22" fillId="3" fontId="0" numFmtId="0" xfId="0" applyAlignment="1" applyBorder="1" applyFont="1">
      <alignment shrinkToFit="0" vertical="center" wrapText="1"/>
    </xf>
    <xf borderId="38" fillId="3" fontId="0" numFmtId="0" xfId="0" applyAlignment="1" applyBorder="1" applyFont="1">
      <alignment horizontal="center" readingOrder="0" vertical="center"/>
    </xf>
    <xf borderId="38" fillId="3" fontId="0" numFmtId="0" xfId="0" applyAlignment="1" applyBorder="1" applyFont="1">
      <alignment shrinkToFit="0" vertical="center" wrapText="1"/>
    </xf>
    <xf borderId="39" fillId="3" fontId="0" numFmtId="0" xfId="0" applyAlignment="1" applyBorder="1" applyFont="1">
      <alignment horizontal="left" shrinkToFit="0" vertical="center" wrapText="1"/>
    </xf>
    <xf borderId="21" fillId="0" fontId="15" numFmtId="0" xfId="0" applyBorder="1" applyFont="1"/>
    <xf borderId="22" fillId="0" fontId="15" numFmtId="0" xfId="0" applyBorder="1" applyFont="1"/>
    <xf borderId="22" fillId="3" fontId="0" numFmtId="0" xfId="0" applyAlignment="1" applyBorder="1" applyFont="1">
      <alignment horizontal="center" readingOrder="0" vertical="center"/>
    </xf>
    <xf borderId="22" fillId="3" fontId="0" numFmtId="0" xfId="0" applyAlignment="1" applyBorder="1" applyFont="1">
      <alignment shrinkToFit="0" vertical="center" wrapText="1"/>
    </xf>
    <xf borderId="40" fillId="3" fontId="0" numFmtId="0" xfId="0" applyAlignment="1" applyBorder="1" applyFont="1">
      <alignment horizontal="left" shrinkToFit="0" vertical="center" wrapText="1"/>
    </xf>
    <xf borderId="22" fillId="3" fontId="19" numFmtId="0" xfId="0" applyAlignment="1" applyBorder="1" applyFont="1">
      <alignment shrinkToFit="0" vertical="center" wrapText="1"/>
    </xf>
    <xf borderId="1" fillId="2" fontId="11" numFmtId="0" xfId="0" applyAlignment="1" applyBorder="1" applyFont="1">
      <alignment horizontal="center" readingOrder="0" shrinkToFit="0" wrapText="0"/>
    </xf>
    <xf borderId="1" fillId="2" fontId="11" numFmtId="0" xfId="0" applyAlignment="1" applyBorder="1" applyFont="1">
      <alignment horizontal="center" shrinkToFit="0" vertical="bottom" wrapText="1"/>
    </xf>
    <xf borderId="1" fillId="2" fontId="19" numFmtId="10" xfId="0" applyAlignment="1" applyBorder="1" applyFont="1" applyNumberFormat="1">
      <alignment horizontal="center" readingOrder="0" shrinkToFit="0" wrapText="0"/>
    </xf>
    <xf borderId="1" fillId="2" fontId="19" numFmtId="0" xfId="0" applyAlignment="1" applyBorder="1" applyFont="1">
      <alignment horizontal="center" shrinkToFit="0" vertical="bottom" wrapText="1"/>
    </xf>
    <xf borderId="0" fillId="0" fontId="150"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18" numFmtId="0" xfId="0" applyAlignment="1" applyFont="1">
      <alignment vertical="center"/>
    </xf>
    <xf borderId="0" fillId="0" fontId="2" numFmtId="0" xfId="0" applyAlignment="1" applyFont="1">
      <alignment horizontal="center" shrinkToFit="0" vertical="center" wrapText="1"/>
    </xf>
    <xf borderId="0" fillId="0" fontId="18" numFmtId="0" xfId="0" applyAlignment="1" applyFont="1">
      <alignment vertical="center"/>
    </xf>
    <xf borderId="0" fillId="0" fontId="151" numFmtId="0" xfId="0" applyAlignment="1" applyFont="1">
      <alignment horizontal="left" readingOrder="0" vertical="center"/>
    </xf>
    <xf borderId="0" fillId="3" fontId="0" numFmtId="0" xfId="0" applyAlignment="1" applyFont="1">
      <alignment horizontal="left" readingOrder="0" vertical="center"/>
    </xf>
    <xf borderId="0" fillId="0" fontId="18" numFmtId="0" xfId="0" applyAlignment="1" applyFont="1">
      <alignment readingOrder="0" shrinkToFit="0" vertical="center" wrapText="1"/>
    </xf>
    <xf borderId="0" fillId="3" fontId="24" numFmtId="0" xfId="0" applyAlignment="1" applyFont="1">
      <alignment horizontal="left" readingOrder="0" vertical="center"/>
    </xf>
    <xf borderId="0" fillId="0" fontId="18" numFmtId="0" xfId="0" applyAlignment="1" applyFont="1">
      <alignment horizontal="center" readingOrder="0" shrinkToFit="0" vertical="center" wrapText="1"/>
    </xf>
    <xf borderId="0" fillId="3" fontId="7" numFmtId="0" xfId="0" applyAlignment="1" applyFont="1">
      <alignment horizontal="left" readingOrder="0" shrinkToFit="0" vertical="center" wrapText="1"/>
    </xf>
    <xf borderId="0" fillId="0" fontId="152" numFmtId="0" xfId="0" applyAlignment="1" applyFont="1">
      <alignment readingOrder="0" shrinkToFit="0" vertical="center" wrapText="1"/>
    </xf>
    <xf borderId="0" fillId="0" fontId="18" numFmtId="0" xfId="0" applyAlignment="1" applyFont="1">
      <alignment readingOrder="0" vertical="center"/>
    </xf>
    <xf borderId="17" fillId="0" fontId="29" numFmtId="0" xfId="0" applyAlignment="1" applyBorder="1" applyFont="1">
      <alignment horizontal="center" readingOrder="0" vertical="center"/>
    </xf>
    <xf borderId="0" fillId="4" fontId="29" numFmtId="0" xfId="0" applyAlignment="1" applyFont="1">
      <alignment horizontal="left" readingOrder="0" vertical="center"/>
    </xf>
    <xf borderId="0" fillId="0" fontId="27" numFmtId="0" xfId="0" applyAlignment="1" applyFont="1">
      <alignment horizontal="center" readingOrder="0" vertical="center"/>
    </xf>
    <xf borderId="0" fillId="4" fontId="2" numFmtId="0" xfId="0" applyAlignment="1" applyFont="1">
      <alignment readingOrder="0" shrinkToFit="0" vertical="center" wrapText="1"/>
    </xf>
    <xf borderId="0" fillId="4" fontId="2" numFmtId="0" xfId="0" applyAlignment="1" applyFont="1">
      <alignment horizontal="center" readingOrder="0" shrinkToFit="0" vertical="center" wrapText="1"/>
    </xf>
    <xf borderId="0" fillId="4" fontId="2" numFmtId="0" xfId="0" applyAlignment="1" applyFont="1">
      <alignment horizontal="center" shrinkToFit="0" vertical="center" wrapText="1"/>
    </xf>
    <xf borderId="0" fillId="4" fontId="18" numFmtId="0" xfId="0" applyAlignment="1" applyFont="1">
      <alignment vertical="center"/>
    </xf>
    <xf borderId="1" fillId="2" fontId="11" numFmtId="4" xfId="0" applyAlignment="1" applyBorder="1" applyFont="1" applyNumberFormat="1">
      <alignment horizontal="center" readingOrder="0" vertical="center"/>
    </xf>
    <xf borderId="1" fillId="2" fontId="11" numFmtId="4" xfId="0" applyAlignment="1" applyBorder="1" applyFont="1" applyNumberFormat="1">
      <alignment horizontal="center" readingOrder="0" shrinkToFit="0" vertical="center" wrapText="0"/>
    </xf>
    <xf borderId="1" fillId="2" fontId="11" numFmtId="1" xfId="0" applyAlignment="1" applyBorder="1" applyFont="1" applyNumberFormat="1">
      <alignment horizontal="center" readingOrder="0" vertical="center"/>
    </xf>
    <xf borderId="1" fillId="2" fontId="17" numFmtId="0" xfId="0" applyAlignment="1" applyBorder="1" applyFont="1">
      <alignment horizontal="center" readingOrder="0"/>
    </xf>
    <xf borderId="1" fillId="2" fontId="17" numFmtId="4" xfId="0" applyAlignment="1" applyBorder="1" applyFont="1" applyNumberFormat="1">
      <alignment horizontal="center" readingOrder="0"/>
    </xf>
    <xf borderId="1" fillId="2" fontId="17" numFmtId="1" xfId="0" applyAlignment="1" applyBorder="1" applyFont="1" applyNumberFormat="1">
      <alignment horizontal="center" readingOrder="0"/>
    </xf>
    <xf borderId="1" fillId="3" fontId="153" numFmtId="0" xfId="0" applyAlignment="1" applyBorder="1" applyFont="1">
      <alignment vertical="bottom"/>
    </xf>
    <xf borderId="1" fillId="3" fontId="18" numFmtId="4" xfId="0" applyAlignment="1" applyBorder="1" applyFont="1" applyNumberFormat="1">
      <alignment horizontal="center" vertical="bottom"/>
    </xf>
    <xf borderId="1" fillId="3" fontId="18" numFmtId="1" xfId="0" applyAlignment="1" applyBorder="1" applyFont="1" applyNumberFormat="1">
      <alignment horizontal="center" readingOrder="0" vertical="bottom"/>
    </xf>
    <xf borderId="1" fillId="3" fontId="18" numFmtId="1" xfId="0" applyAlignment="1" applyBorder="1" applyFont="1" applyNumberFormat="1">
      <alignment horizontal="center" vertical="bottom"/>
    </xf>
    <xf borderId="0" fillId="3" fontId="154" numFmtId="0" xfId="0" applyAlignment="1" applyFont="1">
      <alignment vertical="bottom"/>
    </xf>
    <xf borderId="1" fillId="3" fontId="18" numFmtId="4" xfId="0" applyAlignment="1" applyBorder="1" applyFont="1" applyNumberFormat="1">
      <alignment horizontal="center" readingOrder="0" vertical="bottom"/>
    </xf>
    <xf borderId="1" fillId="3" fontId="155" numFmtId="0" xfId="0" applyAlignment="1" applyBorder="1" applyFont="1">
      <alignment vertical="bottom"/>
    </xf>
    <xf borderId="1" fillId="16" fontId="156" numFmtId="0" xfId="0" applyAlignment="1" applyBorder="1" applyFont="1">
      <alignment readingOrder="0" vertical="bottom"/>
    </xf>
    <xf borderId="1" fillId="3" fontId="157" numFmtId="0" xfId="0" applyAlignment="1" applyBorder="1" applyFont="1">
      <alignment readingOrder="0" vertical="bottom"/>
    </xf>
    <xf borderId="1" fillId="2" fontId="158" numFmtId="0" xfId="0" applyAlignment="1" applyBorder="1" applyFont="1">
      <alignment horizontal="center"/>
    </xf>
    <xf borderId="5" fillId="2" fontId="158" numFmtId="0" xfId="0" applyAlignment="1" applyBorder="1" applyFont="1">
      <alignment horizontal="center" readingOrder="0"/>
    </xf>
    <xf borderId="5" fillId="2" fontId="158" numFmtId="0" xfId="0" applyAlignment="1" applyBorder="1" applyFont="1">
      <alignment horizontal="center"/>
    </xf>
    <xf borderId="0" fillId="3" fontId="158" numFmtId="0" xfId="0" applyAlignment="1" applyFont="1">
      <alignment horizontal="center"/>
    </xf>
    <xf borderId="0" fillId="3" fontId="159" numFmtId="0" xfId="0" applyAlignment="1" applyFont="1">
      <alignment horizontal="center" readingOrder="0" vertical="center"/>
    </xf>
    <xf borderId="3" fillId="2" fontId="160" numFmtId="0" xfId="0" applyAlignment="1" applyBorder="1" applyFont="1">
      <alignment horizontal="center" vertical="center"/>
    </xf>
    <xf borderId="1" fillId="2" fontId="17" numFmtId="0" xfId="0" applyAlignment="1" applyBorder="1" applyFont="1">
      <alignment horizontal="center" vertical="center"/>
    </xf>
    <xf borderId="5" fillId="2" fontId="17" numFmtId="0" xfId="0" applyAlignment="1" applyBorder="1" applyFont="1">
      <alignment horizontal="center" readingOrder="0"/>
    </xf>
    <xf borderId="1" fillId="2" fontId="17" numFmtId="10" xfId="0" applyAlignment="1" applyBorder="1" applyFont="1" applyNumberFormat="1">
      <alignment horizontal="center" readingOrder="0" vertical="center"/>
    </xf>
    <xf borderId="1" fillId="2" fontId="17" numFmtId="0" xfId="0" applyAlignment="1" applyBorder="1" applyFont="1">
      <alignment horizontal="center"/>
    </xf>
    <xf borderId="1" fillId="2" fontId="17" numFmtId="10" xfId="0" applyAlignment="1" applyBorder="1" applyFont="1" applyNumberFormat="1">
      <alignment horizontal="center"/>
    </xf>
    <xf borderId="1" fillId="2" fontId="17" numFmtId="0" xfId="0" applyAlignment="1" applyBorder="1" applyFont="1">
      <alignment horizontal="center"/>
    </xf>
    <xf borderId="0" fillId="3" fontId="19" numFmtId="0" xfId="0" applyAlignment="1" applyFont="1">
      <alignment horizontal="center"/>
    </xf>
    <xf borderId="1" fillId="0" fontId="27" numFmtId="0" xfId="0" applyAlignment="1" applyBorder="1" applyFont="1">
      <alignment horizontal="center" vertical="center"/>
    </xf>
    <xf borderId="1" fillId="0" fontId="0" numFmtId="0" xfId="0" applyAlignment="1" applyBorder="1" applyFont="1">
      <alignment horizontal="center" vertical="center"/>
    </xf>
    <xf borderId="0" fillId="3" fontId="0" numFmtId="0" xfId="0" applyAlignment="1" applyFont="1">
      <alignment horizontal="center" readingOrder="0" vertical="center"/>
    </xf>
    <xf borderId="0" fillId="3" fontId="0" numFmtId="0" xfId="0" applyAlignment="1" applyFont="1">
      <alignment horizontal="center" vertical="center"/>
    </xf>
    <xf borderId="0" fillId="4" fontId="15" numFmtId="0" xfId="0" applyFont="1"/>
    <xf borderId="0" fillId="3" fontId="15" numFmtId="0" xfId="0" applyFont="1"/>
    <xf borderId="1" fillId="4" fontId="0" numFmtId="0" xfId="0" applyAlignment="1" applyBorder="1" applyFont="1">
      <alignment horizontal="center" vertical="center"/>
    </xf>
    <xf borderId="0" fillId="3" fontId="19" numFmtId="0" xfId="0" applyAlignment="1" applyFont="1">
      <alignment horizontal="center" vertical="center"/>
    </xf>
    <xf borderId="0" fillId="3" fontId="19" numFmtId="0" xfId="0" applyAlignment="1" applyFont="1">
      <alignment horizontal="center" vertical="center"/>
    </xf>
    <xf borderId="0" fillId="3" fontId="19" numFmtId="0" xfId="0" applyAlignment="1" applyFont="1">
      <alignment horizontal="center" readingOrder="0" vertical="center"/>
    </xf>
    <xf borderId="1" fillId="4" fontId="27" numFmtId="0" xfId="0" applyAlignment="1" applyBorder="1" applyFont="1">
      <alignment horizontal="center" vertical="center"/>
    </xf>
    <xf borderId="0" fillId="4" fontId="27" numFmtId="10" xfId="0" applyAlignment="1" applyFont="1" applyNumberFormat="1">
      <alignment horizontal="center" vertical="center"/>
    </xf>
    <xf borderId="0" fillId="4" fontId="27" numFmtId="0" xfId="0" applyAlignment="1" applyFont="1">
      <alignment horizontal="center" vertical="center"/>
    </xf>
    <xf borderId="0" fillId="4" fontId="0" numFmtId="0" xfId="0" applyAlignment="1" applyFont="1">
      <alignment horizontal="center" vertical="center"/>
    </xf>
    <xf borderId="0" fillId="4" fontId="27" numFmtId="0" xfId="0" applyAlignment="1" applyFont="1">
      <alignment horizontal="center" readingOrder="0" vertical="center"/>
    </xf>
    <xf borderId="13" fillId="2" fontId="11" numFmtId="0" xfId="0" applyAlignment="1" applyBorder="1" applyFont="1">
      <alignment horizontal="center" readingOrder="0" vertical="center"/>
    </xf>
    <xf borderId="3" fillId="2" fontId="17" numFmtId="0" xfId="0" applyAlignment="1" applyBorder="1" applyFont="1">
      <alignment horizontal="center" readingOrder="0" vertical="center"/>
    </xf>
    <xf borderId="1" fillId="3" fontId="27" numFmtId="0" xfId="0" applyAlignment="1" applyBorder="1" applyFont="1">
      <alignment horizontal="center" readingOrder="0" vertical="center"/>
    </xf>
    <xf borderId="1" fillId="3" fontId="0" numFmtId="0" xfId="0" applyAlignment="1" applyBorder="1" applyFont="1">
      <alignment horizontal="center" readingOrder="0" vertical="center"/>
    </xf>
    <xf borderId="1" fillId="3" fontId="0" numFmtId="0" xfId="0" applyAlignment="1" applyBorder="1" applyFont="1">
      <alignment horizontal="center" readingOrder="0" vertical="center"/>
    </xf>
    <xf borderId="81" fillId="0" fontId="161" numFmtId="0" xfId="0" applyAlignment="1" applyBorder="1" applyFont="1">
      <alignment readingOrder="0"/>
    </xf>
    <xf borderId="82" fillId="0" fontId="162" numFmtId="0" xfId="0" applyAlignment="1" applyBorder="1" applyFont="1">
      <alignment readingOrder="0"/>
    </xf>
    <xf borderId="1" fillId="0" fontId="18" numFmtId="0" xfId="0" applyAlignment="1" applyBorder="1" applyFont="1">
      <alignment shrinkToFit="0" vertical="center" wrapText="0"/>
    </xf>
    <xf borderId="1" fillId="3" fontId="0" numFmtId="0" xfId="0" applyAlignment="1" applyBorder="1" applyFont="1">
      <alignment horizontal="center" vertical="center"/>
    </xf>
    <xf borderId="1" fillId="0" fontId="18" numFmtId="0" xfId="0" applyAlignment="1" applyBorder="1" applyFont="1">
      <alignment readingOrder="0" shrinkToFit="0" vertical="center" wrapText="0"/>
    </xf>
    <xf borderId="0" fillId="0" fontId="163" numFmtId="0" xfId="0" applyAlignment="1" applyFont="1">
      <alignment readingOrder="0"/>
    </xf>
    <xf borderId="81" fillId="16" fontId="18" numFmtId="0" xfId="0" applyAlignment="1" applyBorder="1" applyFont="1">
      <alignment readingOrder="0"/>
    </xf>
  </cellXfs>
  <cellStyles count="1">
    <cellStyle xfId="0" name="Normal" builtinId="0"/>
  </cellStyles>
  <dxfs count="18">
    <dxf>
      <font/>
      <fill>
        <patternFill patternType="solid">
          <fgColor rgb="FF93C47D"/>
          <bgColor rgb="FF93C47D"/>
        </patternFill>
      </fill>
      <border/>
    </dxf>
    <dxf>
      <font/>
      <fill>
        <patternFill patternType="solid">
          <fgColor rgb="FFB7E1CD"/>
          <bgColor rgb="FFB7E1CD"/>
        </patternFill>
      </fill>
      <border/>
    </dxf>
    <dxf>
      <font/>
      <fill>
        <patternFill patternType="solid">
          <fgColor rgb="FFFFF2CC"/>
          <bgColor rgb="FFFFF2CC"/>
        </patternFill>
      </fill>
      <border/>
    </dxf>
    <dxf>
      <font>
        <color rgb="FF000000"/>
      </font>
      <fill>
        <patternFill patternType="solid">
          <fgColor rgb="FFF4C7C3"/>
          <bgColor rgb="FFF4C7C3"/>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F4CCCC"/>
          <bgColor rgb="FFF4CCCC"/>
        </patternFill>
      </fill>
      <border/>
    </dxf>
    <dxf>
      <font>
        <color rgb="FF000000"/>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none"/>
      </fill>
      <border/>
    </dxf>
    <dxf>
      <font/>
      <fill>
        <patternFill patternType="solid">
          <fgColor rgb="FFF2FFEE"/>
          <bgColor rgb="FFF2FFEE"/>
        </patternFill>
      </fill>
      <border/>
    </dxf>
    <dxf>
      <font/>
      <fill>
        <patternFill patternType="solid">
          <fgColor rgb="FFFFE4E4"/>
          <bgColor rgb="FFFFE4E4"/>
        </patternFill>
      </fill>
      <border/>
    </dxf>
    <dxf>
      <font/>
      <fill>
        <patternFill patternType="solid">
          <fgColor rgb="FFFFFAEC"/>
          <bgColor rgb="FFFFFAEC"/>
        </patternFill>
      </fill>
      <border/>
    </dxf>
    <dxf>
      <font/>
      <fill>
        <patternFill patternType="solid">
          <fgColor rgb="FFF1C232"/>
          <bgColor rgb="FFF1C232"/>
        </patternFill>
      </fill>
      <border/>
    </dxf>
    <dxf>
      <font/>
      <fill>
        <patternFill patternType="solid">
          <fgColor rgb="FFFFD966"/>
          <bgColor rgb="FFFFD966"/>
        </patternFill>
      </fill>
      <border/>
    </dxf>
    <dxf>
      <font/>
      <fill>
        <patternFill patternType="solid">
          <fgColor rgb="FFFFE599"/>
          <bgColor rgb="FFFFE599"/>
        </patternFill>
      </fill>
      <border/>
    </dxf>
    <dxf>
      <font/>
      <fill>
        <patternFill patternType="solid">
          <fgColor rgb="FFC0EDBE"/>
          <bgColor rgb="FFC0EDB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6.png"/><Relationship Id="rId3"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image" Target="../media/image5.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2.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103</xdr:row>
      <xdr:rowOff>76200</xdr:rowOff>
    </xdr:from>
    <xdr:ext cx="304800" cy="304800"/>
    <xdr:pic>
      <xdr:nvPicPr>
        <xdr:cNvPr descr="Guild"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180975</xdr:colOff>
      <xdr:row>103</xdr:row>
      <xdr:rowOff>76200</xdr:rowOff>
    </xdr:from>
    <xdr:ext cx="304800" cy="304800"/>
    <xdr:pic>
      <xdr:nvPicPr>
        <xdr:cNvPr descr="Safe"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647700</xdr:colOff>
      <xdr:row>103</xdr:row>
      <xdr:rowOff>76200</xdr:rowOff>
    </xdr:from>
    <xdr:ext cx="304800" cy="304800"/>
    <xdr:pic>
      <xdr:nvPicPr>
        <xdr:cNvPr descr="Dange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1114425</xdr:colOff>
      <xdr:row>103</xdr:row>
      <xdr:rowOff>76200</xdr:rowOff>
    </xdr:from>
    <xdr:ext cx="304800" cy="304800"/>
    <xdr:pic>
      <xdr:nvPicPr>
        <xdr:cNvPr descr="Escape"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95250</xdr:colOff>
      <xdr:row>103</xdr:row>
      <xdr:rowOff>76200</xdr:rowOff>
    </xdr:from>
    <xdr:ext cx="304800" cy="304800"/>
    <xdr:pic>
      <xdr:nvPicPr>
        <xdr:cNvPr descr="Protected"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9525</xdr:colOff>
      <xdr:row>105</xdr:row>
      <xdr:rowOff>95250</xdr:rowOff>
    </xdr:from>
    <xdr:ext cx="304800" cy="304800"/>
    <xdr:pic>
      <xdr:nvPicPr>
        <xdr:cNvPr descr="Fence"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419100</xdr:colOff>
      <xdr:row>105</xdr:row>
      <xdr:rowOff>95250</xdr:rowOff>
    </xdr:from>
    <xdr:ext cx="304800" cy="304800"/>
    <xdr:pic>
      <xdr:nvPicPr>
        <xdr:cNvPr descr="Cache"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885825</xdr:colOff>
      <xdr:row>105</xdr:row>
      <xdr:rowOff>95250</xdr:rowOff>
    </xdr:from>
    <xdr:ext cx="304800" cy="304800"/>
    <xdr:pic>
      <xdr:nvPicPr>
        <xdr:cNvPr descr="Loot"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1352550</xdr:colOff>
      <xdr:row>105</xdr:row>
      <xdr:rowOff>95250</xdr:rowOff>
    </xdr:from>
    <xdr:ext cx="304800" cy="304800"/>
    <xdr:pic>
      <xdr:nvPicPr>
        <xdr:cNvPr descr="Empty" id="0" name="image5.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pastebin.com/PZKAsnFa" TargetMode="External"/><Relationship Id="rId2" Type="http://schemas.openxmlformats.org/officeDocument/2006/relationships/hyperlink" Target="https://pastebin.com/WPE38dbh" TargetMode="External"/><Relationship Id="rId3" Type="http://schemas.openxmlformats.org/officeDocument/2006/relationships/hyperlink" Target="https://pastebin.com/RwnZMCN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W4P83Y9umpGs8DX9VtzXngE-Knhv8sndDhj1QpBIYUA/edit?usp=sharing" TargetMode="External"/><Relationship Id="rId2" Type="http://schemas.openxmlformats.org/officeDocument/2006/relationships/hyperlink" Target="https://docs.google.com/spreadsheets/d/1XAv_DmOgDS0ycXBMrY92QsqzAb6S5hn9ChKfeqVRtRQ/edit?gid=2119072918" TargetMode="External"/><Relationship Id="rId3" Type="http://schemas.openxmlformats.org/officeDocument/2006/relationships/hyperlink" Target="https://www.google.com/url?q=https://docs.google.com/spreadsheets/d/11dvAq5oMSlDRm1WhL-yNTUwAvfn3Gab8DIUZpGefF-8/edit?usp%3Dsharing&amp;sa=D&amp;source=editors&amp;ust=1730977540349600&amp;usg=AOvVaw3cUhPD-IbJk6qdvuIpESmC" TargetMode="External"/><Relationship Id="rId4" Type="http://schemas.openxmlformats.org/officeDocument/2006/relationships/hyperlink" Target="https://docs.google.com/spreadsheets/d/1zPrYKqOvlXGCEG0DzZlo-cpEvNZCumlOwix3iyYbT1A/edit?gid=2119072918" TargetMode="External"/><Relationship Id="rId5" Type="http://schemas.openxmlformats.org/officeDocument/2006/relationships/hyperlink" Target="https://docs.google.com/spreadsheets/d/1yHg39nzekiEgwuG07YFAhSequQBaKBT-6ArOAbQaOT4/edit?usp=sharing"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en.uesp.net/wiki/Skyrim:Dungeon_Delving_(Jarl_-_Hagravens)" TargetMode="External"/><Relationship Id="rId190" Type="http://schemas.openxmlformats.org/officeDocument/2006/relationships/hyperlink" Target="https://en.uesp.net/wiki/Skyrim:The_Ultimate_Feast" TargetMode="External"/><Relationship Id="rId42" Type="http://schemas.openxmlformats.org/officeDocument/2006/relationships/hyperlink" Target="https://en.uesp.net/wiki/Skyrim:Dungeon_Delving_(Caves)" TargetMode="External"/><Relationship Id="rId41" Type="http://schemas.openxmlformats.org/officeDocument/2006/relationships/hyperlink" Target="https://en.uesp.net/wiki/Skyrim:Dungeon_Delving_(Bandits)" TargetMode="External"/><Relationship Id="rId44" Type="http://schemas.openxmlformats.org/officeDocument/2006/relationships/hyperlink" Target="https://en.uesp.net/wiki/Skyrim:A_Return_To_Your_Roots" TargetMode="External"/><Relationship Id="rId194" Type="http://schemas.openxmlformats.org/officeDocument/2006/relationships/hyperlink" Target="https://en.uesp.net/wiki/Skyrim:More_Than_You_Can_Chew" TargetMode="External"/><Relationship Id="rId43" Type="http://schemas.openxmlformats.org/officeDocument/2006/relationships/hyperlink" Target="https://en.uesp.net/wiki/Skyrim:Dungeon_Delving_(Jarl_-_Caves)" TargetMode="External"/><Relationship Id="rId193" Type="http://schemas.openxmlformats.org/officeDocument/2006/relationships/hyperlink" Target="https://en.uesp.net/wiki/Skyrim:Wave_Breaker" TargetMode="External"/><Relationship Id="rId46" Type="http://schemas.openxmlformats.org/officeDocument/2006/relationships/hyperlink" Target="https://en.uesp.net/wiki/Skyrim:Survival_Mode" TargetMode="External"/><Relationship Id="rId192" Type="http://schemas.openxmlformats.org/officeDocument/2006/relationships/hyperlink" Target="https://en.uesp.net/wiki/Skyrim:Netch_Leather_Armor" TargetMode="External"/><Relationship Id="rId45" Type="http://schemas.openxmlformats.org/officeDocument/2006/relationships/hyperlink" Target="https://en.uesp.net/wiki/Skyrim:Sell_Stalhrim_Armor_and_Weapons_to_Ancarion" TargetMode="External"/><Relationship Id="rId191" Type="http://schemas.openxmlformats.org/officeDocument/2006/relationships/hyperlink" Target="https://en.uesp.net/wiki/Skyrim:Beneath_Bronze_Waters" TargetMode="External"/><Relationship Id="rId48" Type="http://schemas.openxmlformats.org/officeDocument/2006/relationships/hyperlink" Target="https://en.uesp.net/wiki/Skyrim:Beyond_the_Grave" TargetMode="External"/><Relationship Id="rId187" Type="http://schemas.openxmlformats.org/officeDocument/2006/relationships/hyperlink" Target="https://en.uesp.net/wiki/Skyrim:Bloodthirst_(quest)" TargetMode="External"/><Relationship Id="rId47" Type="http://schemas.openxmlformats.org/officeDocument/2006/relationships/hyperlink" Target="https://en.uesp.net/wiki/Skyrim:Alternative_Armors_-_Daedric_Plate" TargetMode="External"/><Relationship Id="rId186" Type="http://schemas.openxmlformats.org/officeDocument/2006/relationships/hyperlink" Target="https://en.uesp.net/wiki/Skyrim:Private_Lessons" TargetMode="External"/><Relationship Id="rId185" Type="http://schemas.openxmlformats.org/officeDocument/2006/relationships/hyperlink" Target="https://en.uesp.net/wiki/Skyrim:A_Soul_Divided" TargetMode="External"/><Relationship Id="rId49" Type="http://schemas.openxmlformats.org/officeDocument/2006/relationships/hyperlink" Target="https://en.uesp.net/wiki/Skyrim:Arcane_Accessories" TargetMode="External"/><Relationship Id="rId184" Type="http://schemas.openxmlformats.org/officeDocument/2006/relationships/hyperlink" Target="https://en.uesp.net/wiki/Skyrim:Tusked_Terror" TargetMode="External"/><Relationship Id="rId189" Type="http://schemas.openxmlformats.org/officeDocument/2006/relationships/hyperlink" Target="https://en.uesp.net/wiki/Skyrim:Expanded_Crossbow_Pack" TargetMode="External"/><Relationship Id="rId188" Type="http://schemas.openxmlformats.org/officeDocument/2006/relationships/hyperlink" Target="https://en.uesp.net/wiki/Skyrim:Spirits_Away" TargetMode="External"/><Relationship Id="rId31" Type="http://schemas.openxmlformats.org/officeDocument/2006/relationships/hyperlink" Target="https://en.uesp.net/wiki/Skyrim:Moss_Mother_Cavern_(quest)" TargetMode="External"/><Relationship Id="rId30" Type="http://schemas.openxmlformats.org/officeDocument/2006/relationships/hyperlink" Target="https://en.uesp.net/wiki/Skyrim:Silenced_Tongues" TargetMode="External"/><Relationship Id="rId33" Type="http://schemas.openxmlformats.org/officeDocument/2006/relationships/hyperlink" Target="https://en.uesp.net/wiki/Skyrim:Liar%27s_Retreat_(quest)" TargetMode="External"/><Relationship Id="rId183" Type="http://schemas.openxmlformats.org/officeDocument/2006/relationships/hyperlink" Target="https://en.uesp.net/wiki/Skyrim:Dawnfang_%26_Duskfang" TargetMode="External"/><Relationship Id="rId32" Type="http://schemas.openxmlformats.org/officeDocument/2006/relationships/hyperlink" Target="https://en.uesp.net/wiki/Skyrim:Yngol%27s_Barrow" TargetMode="External"/><Relationship Id="rId182" Type="http://schemas.openxmlformats.org/officeDocument/2006/relationships/hyperlink" Target="https://en.uesp.net/wiki/Skyrim:Crustacean_Extermination" TargetMode="External"/><Relationship Id="rId35" Type="http://schemas.openxmlformats.org/officeDocument/2006/relationships/hyperlink" Target="https://en.uesp.net/wiki/Skyrim:Delivery_(Hillevi)" TargetMode="External"/><Relationship Id="rId181" Type="http://schemas.openxmlformats.org/officeDocument/2006/relationships/hyperlink" Target="https://en.uesp.net/wiki/Skyrim:Ancient_Ice" TargetMode="External"/><Relationship Id="rId34" Type="http://schemas.openxmlformats.org/officeDocument/2006/relationships/hyperlink" Target="https://en.uesp.net/wiki/Skyrim:Dungeon_Delving_(Caves)" TargetMode="External"/><Relationship Id="rId180" Type="http://schemas.openxmlformats.org/officeDocument/2006/relationships/hyperlink" Target="https://en.uesp.net/wiki/Skyrim:No_Contest" TargetMode="External"/><Relationship Id="rId37" Type="http://schemas.openxmlformats.org/officeDocument/2006/relationships/hyperlink" Target="https://en.uesp.net/wiki/Skyrim:Dungeon_Delving_(Bandits)" TargetMode="External"/><Relationship Id="rId176" Type="http://schemas.openxmlformats.org/officeDocument/2006/relationships/hyperlink" Target="https://en.uesp.net/wiki/Skyrim:Clear-Headed" TargetMode="External"/><Relationship Id="rId36" Type="http://schemas.openxmlformats.org/officeDocument/2006/relationships/hyperlink" Target="https://en.uesp.net/wiki/Skyrim:Dungeon_Delving_(Caves)" TargetMode="External"/><Relationship Id="rId175" Type="http://schemas.openxmlformats.org/officeDocument/2006/relationships/hyperlink" Target="https://en.uesp.net/wiki/Skyrim:Alternative_Armors_-_Dwarven_Mail" TargetMode="External"/><Relationship Id="rId39" Type="http://schemas.openxmlformats.org/officeDocument/2006/relationships/hyperlink" Target="https://en.uesp.net/wiki/Skyrim:Dungeon_Delving_(Caves)" TargetMode="External"/><Relationship Id="rId174" Type="http://schemas.openxmlformats.org/officeDocument/2006/relationships/hyperlink" Target="https://en.uesp.net/wiki/Skyrim:In_A_Pinch" TargetMode="External"/><Relationship Id="rId38" Type="http://schemas.openxmlformats.org/officeDocument/2006/relationships/hyperlink" Target="https://en.uesp.net/wiki/Skyrim:Dungeon_Delving_(Caves)" TargetMode="External"/><Relationship Id="rId173" Type="http://schemas.openxmlformats.org/officeDocument/2006/relationships/hyperlink" Target="https://en.uesp.net/wiki/Skyrim:Vile_Whispers" TargetMode="External"/><Relationship Id="rId179" Type="http://schemas.openxmlformats.org/officeDocument/2006/relationships/hyperlink" Target="https://en.uesp.net/wiki/Skyrim:Alternative_Armors_-_Stalhrim_Fur" TargetMode="External"/><Relationship Id="rId178" Type="http://schemas.openxmlformats.org/officeDocument/2006/relationships/hyperlink" Target="https://en.uesp.net/wiki/Skyrim:Heart_of_Gold" TargetMode="External"/><Relationship Id="rId177" Type="http://schemas.openxmlformats.org/officeDocument/2006/relationships/hyperlink" Target="https://en.uesp.net/wiki/Skyrim:Fan_Favorite" TargetMode="External"/><Relationship Id="rId20" Type="http://schemas.openxmlformats.org/officeDocument/2006/relationships/hyperlink" Target="https://en.uesp.net/wiki/Skyrim:Sleeping_Tree_Cave_(quest)" TargetMode="External"/><Relationship Id="rId22" Type="http://schemas.openxmlformats.org/officeDocument/2006/relationships/hyperlink" Target="https://en.uesp.net/wiki/Skyrim:Soljund%27s_Sinkhole_(quest)" TargetMode="External"/><Relationship Id="rId21" Type="http://schemas.openxmlformats.org/officeDocument/2006/relationships/hyperlink" Target="https://en.uesp.net/wiki/Skyrim:The_Pale_Lady" TargetMode="External"/><Relationship Id="rId24" Type="http://schemas.openxmlformats.org/officeDocument/2006/relationships/hyperlink" Target="https://en.uesp.net/wiki/Skyrim:Forgotten_Names" TargetMode="External"/><Relationship Id="rId23" Type="http://schemas.openxmlformats.org/officeDocument/2006/relationships/hyperlink" Target="https://en.uesp.net/wiki/Skyrim:A_Scroll_For_Anska" TargetMode="External"/><Relationship Id="rId26" Type="http://schemas.openxmlformats.org/officeDocument/2006/relationships/hyperlink" Target="https://en.uesp.net/wiki/Skyrim:Infiltration" TargetMode="External"/><Relationship Id="rId25" Type="http://schemas.openxmlformats.org/officeDocument/2006/relationships/hyperlink" Target="https://en.uesp.net/wiki/Skyrim:Ancestral_Worship" TargetMode="External"/><Relationship Id="rId28" Type="http://schemas.openxmlformats.org/officeDocument/2006/relationships/hyperlink" Target="https://en.uesp.net/wiki/Skyrim:Evil_in_Waiting" TargetMode="External"/><Relationship Id="rId27" Type="http://schemas.openxmlformats.org/officeDocument/2006/relationships/hyperlink" Target="https://en.uesp.net/wiki/Skyrim:Coming_of_Age" TargetMode="External"/><Relationship Id="rId29" Type="http://schemas.openxmlformats.org/officeDocument/2006/relationships/hyperlink" Target="https://en.uesp.net/wiki/Skyrim:Mistwatch_(quest)" TargetMode="External"/><Relationship Id="rId11" Type="http://schemas.openxmlformats.org/officeDocument/2006/relationships/hyperlink" Target="https://en.uesp.net/wiki/Skyrim:Rebel%27s_Cairn_(quest)" TargetMode="External"/><Relationship Id="rId10" Type="http://schemas.openxmlformats.org/officeDocument/2006/relationships/hyperlink" Target="https://en.uesp.net/wiki/Skyrim:The_Affairs_of_Hagravens" TargetMode="External"/><Relationship Id="rId13" Type="http://schemas.openxmlformats.org/officeDocument/2006/relationships/hyperlink" Target="https://en.uesp.net/wiki/Skyrim:Robber%27s_Gorge_(quest)" TargetMode="External"/><Relationship Id="rId12" Type="http://schemas.openxmlformats.org/officeDocument/2006/relationships/hyperlink" Target="https://en.uesp.net/wiki/Skyrim:Repentance" TargetMode="External"/><Relationship Id="rId15" Type="http://schemas.openxmlformats.org/officeDocument/2006/relationships/hyperlink" Target="https://en.uesp.net/wiki/Skyrim:Forbidden_Legend" TargetMode="External"/><Relationship Id="rId198" Type="http://schemas.openxmlformats.org/officeDocument/2006/relationships/hyperlink" Target="https://en.uesp.net/wiki/Skyrim:Two_of_a_Kind" TargetMode="External"/><Relationship Id="rId14" Type="http://schemas.openxmlformats.org/officeDocument/2006/relationships/hyperlink" Target="https://en.uesp.net/wiki/Skyrim:Sleeping_Tree_Cave_(quest)" TargetMode="External"/><Relationship Id="rId197" Type="http://schemas.openxmlformats.org/officeDocument/2006/relationships/hyperlink" Target="https://en.uesp.net/wiki/Skyrim:Missing_Merchant" TargetMode="External"/><Relationship Id="rId17" Type="http://schemas.openxmlformats.org/officeDocument/2006/relationships/hyperlink" Target="https://en.uesp.net/wiki/Skyrim:Siege_on_the_Dragon_Cult" TargetMode="External"/><Relationship Id="rId196" Type="http://schemas.openxmlformats.org/officeDocument/2006/relationships/hyperlink" Target="https://en.uesp.net/wiki/Skyrim:Alternative_Armors_-_Daedric_Mail" TargetMode="External"/><Relationship Id="rId16" Type="http://schemas.openxmlformats.org/officeDocument/2006/relationships/hyperlink" Target="https://en.uesp.net/wiki/Skyrim:Lifting_the_Shroud" TargetMode="External"/><Relationship Id="rId195" Type="http://schemas.openxmlformats.org/officeDocument/2006/relationships/hyperlink" Target="https://en.uesp.net/wiki/Skyrim:End_of_the_Line" TargetMode="External"/><Relationship Id="rId19" Type="http://schemas.openxmlformats.org/officeDocument/2006/relationships/hyperlink" Target="https://en.uesp.net/wiki/Skyrim:Frostflow_Abyss" TargetMode="External"/><Relationship Id="rId18" Type="http://schemas.openxmlformats.org/officeDocument/2006/relationships/hyperlink" Target="https://en.uesp.net/wiki/Skyrim:The_Savior_of_Selveni_Nethri" TargetMode="External"/><Relationship Id="rId199" Type="http://schemas.openxmlformats.org/officeDocument/2006/relationships/hyperlink" Target="https://en.uesp.net/wiki/Skyrim:Alternative_Armors_-_Dragonscale" TargetMode="External"/><Relationship Id="rId84" Type="http://schemas.openxmlformats.org/officeDocument/2006/relationships/hyperlink" Target="https://en.uesp.net/wiki/Skyrim:The_Pit_(quest)" TargetMode="External"/><Relationship Id="rId83" Type="http://schemas.openxmlformats.org/officeDocument/2006/relationships/hyperlink" Target="https://en.uesp.net/wiki/Skyrim:If_I_had_a_Hammer" TargetMode="External"/><Relationship Id="rId86" Type="http://schemas.openxmlformats.org/officeDocument/2006/relationships/hyperlink" Target="https://en.uesp.net/wiki/Skyrim:Bloodchill_Manor" TargetMode="External"/><Relationship Id="rId85" Type="http://schemas.openxmlformats.org/officeDocument/2006/relationships/hyperlink" Target="https://en.uesp.net/wiki/Skyrim:Dwarven_Armored_Mudcrab" TargetMode="External"/><Relationship Id="rId88" Type="http://schemas.openxmlformats.org/officeDocument/2006/relationships/hyperlink" Target="https://en.uesp.net/wiki/Skyrim:Guests_for_Dinner" TargetMode="External"/><Relationship Id="rId150" Type="http://schemas.openxmlformats.org/officeDocument/2006/relationships/hyperlink" Target="https://en.uesp.net/wiki/Skyrim:Saturalia_Holiday_Pack" TargetMode="External"/><Relationship Id="rId87" Type="http://schemas.openxmlformats.org/officeDocument/2006/relationships/hyperlink" Target="https://en.uesp.net/wiki/Skyrim:My_Pet_Mudcrab" TargetMode="External"/><Relationship Id="rId89" Type="http://schemas.openxmlformats.org/officeDocument/2006/relationships/hyperlink" Target="https://en.uesp.net/wiki/Skyrim:Lord%27s_Mail" TargetMode="External"/><Relationship Id="rId80" Type="http://schemas.openxmlformats.org/officeDocument/2006/relationships/hyperlink" Target="https://en.uesp.net/wiki/Skyrim:A_Dying_Wish" TargetMode="External"/><Relationship Id="rId82" Type="http://schemas.openxmlformats.org/officeDocument/2006/relationships/hyperlink" Target="https://en.uesp.net/wiki/Skyrim:Fortunate_Son" TargetMode="External"/><Relationship Id="rId81" Type="http://schemas.openxmlformats.org/officeDocument/2006/relationships/hyperlink" Target="https://en.uesp.net/wiki/Skyrim:Stendarr%27s_Hammer" TargetMode="External"/><Relationship Id="rId1" Type="http://schemas.openxmlformats.org/officeDocument/2006/relationships/hyperlink" Target="https://en.uesp.net/wiki/Skyrim:Take_Up_Arms" TargetMode="External"/><Relationship Id="rId2" Type="http://schemas.openxmlformats.org/officeDocument/2006/relationships/hyperlink" Target="https://en.uesp.net/wiki/Skyrim:Destroy_the_Dark_Brotherhood!" TargetMode="External"/><Relationship Id="rId3" Type="http://schemas.openxmlformats.org/officeDocument/2006/relationships/hyperlink" Target="https://en.uesp.net/wiki/Skyrim:Where_You_Hang_Your_Enemy%27s_Head..." TargetMode="External"/><Relationship Id="rId149" Type="http://schemas.openxmlformats.org/officeDocument/2006/relationships/hyperlink" Target="https://en.uesp.net/wiki/Skyrim:The_Consequences" TargetMode="External"/><Relationship Id="rId4" Type="http://schemas.openxmlformats.org/officeDocument/2006/relationships/hyperlink" Target="https://en.uesp.net/wiki/Skyrim:Honor_Thy_Family" TargetMode="External"/><Relationship Id="rId148" Type="http://schemas.openxmlformats.org/officeDocument/2006/relationships/hyperlink" Target="https://en.uesp.net/wiki/Skyrim:The_Dwarven_Crown" TargetMode="External"/><Relationship Id="rId9" Type="http://schemas.openxmlformats.org/officeDocument/2006/relationships/hyperlink" Target="https://en.uesp.net/wiki/Skyrim:Ragnvald_(quest)" TargetMode="External"/><Relationship Id="rId143" Type="http://schemas.openxmlformats.org/officeDocument/2006/relationships/hyperlink" Target="https://en.uesp.net/wiki/Skyrim:Forgotten_Seasons" TargetMode="External"/><Relationship Id="rId142" Type="http://schemas.openxmlformats.org/officeDocument/2006/relationships/hyperlink" Target="https://en.uesp.net/wiki/Skyrim:Staves_(Creation)" TargetMode="External"/><Relationship Id="rId141" Type="http://schemas.openxmlformats.org/officeDocument/2006/relationships/hyperlink" Target="https://en.uesp.net/wiki/Skyrim:Night_Hunter" TargetMode="External"/><Relationship Id="rId140" Type="http://schemas.openxmlformats.org/officeDocument/2006/relationships/hyperlink" Target="https://en.uesp.net/wiki/Skyrim:Interception" TargetMode="External"/><Relationship Id="rId5" Type="http://schemas.openxmlformats.org/officeDocument/2006/relationships/hyperlink" Target="https://en.uesp.net/wiki/Skyrim:The_Dark_Brotherhood_Forever" TargetMode="External"/><Relationship Id="rId147" Type="http://schemas.openxmlformats.org/officeDocument/2006/relationships/hyperlink" Target="https://en.uesp.net/wiki/Skyrim:The_Cause_(quest)" TargetMode="External"/><Relationship Id="rId6" Type="http://schemas.openxmlformats.org/officeDocument/2006/relationships/hyperlink" Target="https://en.uesp.net/wiki/Skyrim:Angarvunde_(quest)" TargetMode="External"/><Relationship Id="rId146" Type="http://schemas.openxmlformats.org/officeDocument/2006/relationships/hyperlink" Target="https://en.uesp.net/wiki/Skyrim:Forgotten_Seasons_(quest)" TargetMode="External"/><Relationship Id="rId7" Type="http://schemas.openxmlformats.org/officeDocument/2006/relationships/hyperlink" Target="https://en.uesp.net/wiki/Skyrim:Telrav%27s_Request" TargetMode="External"/><Relationship Id="rId145" Type="http://schemas.openxmlformats.org/officeDocument/2006/relationships/hyperlink" Target="https://en.uesp.net/wiki/Skyrim:The_Cause" TargetMode="External"/><Relationship Id="rId8" Type="http://schemas.openxmlformats.org/officeDocument/2006/relationships/hyperlink" Target="https://en.uesp.net/wiki/Skyrim:Ansilvund_(quest)" TargetMode="External"/><Relationship Id="rId144" Type="http://schemas.openxmlformats.org/officeDocument/2006/relationships/hyperlink" Target="https://en.uesp.net/wiki/Skyrim:The_Dwarven_Horse" TargetMode="External"/><Relationship Id="rId73" Type="http://schemas.openxmlformats.org/officeDocument/2006/relationships/hyperlink" Target="https://en.uesp.net/wiki/Skyrim:Ruin%27s_Edge" TargetMode="External"/><Relationship Id="rId72" Type="http://schemas.openxmlformats.org/officeDocument/2006/relationships/hyperlink" Target="https://en.uesp.net/wiki/Skyrim:Gambler%27s_Edge" TargetMode="External"/><Relationship Id="rId75" Type="http://schemas.openxmlformats.org/officeDocument/2006/relationships/hyperlink" Target="https://en.uesp.net/wiki/Skyrim:The_Edge_of_Ruin" TargetMode="External"/><Relationship Id="rId74" Type="http://schemas.openxmlformats.org/officeDocument/2006/relationships/hyperlink" Target="https://en.uesp.net/wiki/Skyrim:Alternative_Armors_-_Silver" TargetMode="External"/><Relationship Id="rId77" Type="http://schemas.openxmlformats.org/officeDocument/2006/relationships/hyperlink" Target="https://en.uesp.net/wiki/Skyrim:Staff_of_Sheogorath" TargetMode="External"/><Relationship Id="rId76" Type="http://schemas.openxmlformats.org/officeDocument/2006/relationships/hyperlink" Target="https://en.uesp.net/wiki/Skyrim:Alternative_Armors_-_Silver" TargetMode="External"/><Relationship Id="rId79" Type="http://schemas.openxmlformats.org/officeDocument/2006/relationships/hyperlink" Target="https://en.uesp.net/wiki/Skyrim:Put_A_Fork_In_It" TargetMode="External"/><Relationship Id="rId78" Type="http://schemas.openxmlformats.org/officeDocument/2006/relationships/hyperlink" Target="https://en.uesp.net/wiki/Skyrim:Bittercup" TargetMode="External"/><Relationship Id="rId71" Type="http://schemas.openxmlformats.org/officeDocument/2006/relationships/hyperlink" Target="https://en.uesp.net/wiki/Skyrim:The_Rising_Dead" TargetMode="External"/><Relationship Id="rId70" Type="http://schemas.openxmlformats.org/officeDocument/2006/relationships/hyperlink" Target="https://en.uesp.net/wiki/Skyrim:Alternative_Armors_-_Orcish_Scaled" TargetMode="External"/><Relationship Id="rId139" Type="http://schemas.openxmlformats.org/officeDocument/2006/relationships/hyperlink" Target="https://en.uesp.net/wiki/Skyrim:Elite_Crossbows" TargetMode="External"/><Relationship Id="rId138" Type="http://schemas.openxmlformats.org/officeDocument/2006/relationships/hyperlink" Target="https://en.uesp.net/wiki/Skyrim:Redguard_Elite_Armaments" TargetMode="External"/><Relationship Id="rId137" Type="http://schemas.openxmlformats.org/officeDocument/2006/relationships/hyperlink" Target="https://en.uesp.net/wiki/Skyrim:Battle_of_the_Champions" TargetMode="External"/><Relationship Id="rId132" Type="http://schemas.openxmlformats.org/officeDocument/2006/relationships/hyperlink" Target="https://en.uesp.net/wiki/Skyrim:Creature_of_Legend" TargetMode="External"/><Relationship Id="rId131" Type="http://schemas.openxmlformats.org/officeDocument/2006/relationships/hyperlink" Target="https://en.uesp.net/wiki/Skyrim:Nchuanthumz:_Dwarven_Home" TargetMode="External"/><Relationship Id="rId130" Type="http://schemas.openxmlformats.org/officeDocument/2006/relationships/hyperlink" Target="https://en.uesp.net/wiki/Skyrim:Wild_Horses" TargetMode="External"/><Relationship Id="rId136" Type="http://schemas.openxmlformats.org/officeDocument/2006/relationships/hyperlink" Target="https://en.uesp.net/wiki/Skyrim:Civil_War_Champions" TargetMode="External"/><Relationship Id="rId135" Type="http://schemas.openxmlformats.org/officeDocument/2006/relationships/hyperlink" Target="https://en.uesp.net/wiki/Skyrim:Necromantic_Grimoire" TargetMode="External"/><Relationship Id="rId134" Type="http://schemas.openxmlformats.org/officeDocument/2006/relationships/hyperlink" Target="https://en.uesp.net/wiki/Skyrim:Horse_Whisperer" TargetMode="External"/><Relationship Id="rId133" Type="http://schemas.openxmlformats.org/officeDocument/2006/relationships/hyperlink" Target="https://en.uesp.net/wiki/Skyrim:The_Sanctuary_and_the_Manufactory" TargetMode="External"/><Relationship Id="rId62" Type="http://schemas.openxmlformats.org/officeDocument/2006/relationships/hyperlink" Target="https://en.uesp.net/wiki/Skyrim:Alternative_Armors_-_Leather" TargetMode="External"/><Relationship Id="rId61" Type="http://schemas.openxmlformats.org/officeDocument/2006/relationships/hyperlink" Target="https://en.uesp.net/wiki/Skyrim:The_Lost_Paladin" TargetMode="External"/><Relationship Id="rId64" Type="http://schemas.openxmlformats.org/officeDocument/2006/relationships/hyperlink" Target="https://en.uesp.net/wiki/Skyrim:Double-Edged" TargetMode="External"/><Relationship Id="rId63" Type="http://schemas.openxmlformats.org/officeDocument/2006/relationships/hyperlink" Target="https://en.uesp.net/wiki/Skyrim:Divine_Crusader" TargetMode="External"/><Relationship Id="rId66" Type="http://schemas.openxmlformats.org/officeDocument/2006/relationships/hyperlink" Target="https://en.uesp.net/wiki/Skyrim:Alternative_Armors_-_Orcish_Plate" TargetMode="External"/><Relationship Id="rId172" Type="http://schemas.openxmlformats.org/officeDocument/2006/relationships/hyperlink" Target="https://en.uesp.net/wiki/Skyrim:Umbra" TargetMode="External"/><Relationship Id="rId65" Type="http://schemas.openxmlformats.org/officeDocument/2006/relationships/hyperlink" Target="https://en.uesp.net/wiki/Skyrim:The_Pilgrim%27s_Path" TargetMode="External"/><Relationship Id="rId171" Type="http://schemas.openxmlformats.org/officeDocument/2006/relationships/hyperlink" Target="https://en.uesp.net/wiki/Skyrim:Further_Study" TargetMode="External"/><Relationship Id="rId68" Type="http://schemas.openxmlformats.org/officeDocument/2006/relationships/hyperlink" Target="https://en.uesp.net/wiki/Skyrim:Smith_%27N_Slash" TargetMode="External"/><Relationship Id="rId170" Type="http://schemas.openxmlformats.org/officeDocument/2006/relationships/hyperlink" Target="https://en.uesp.net/wiki/Skyrim:Crypt_of_the_Heart" TargetMode="External"/><Relationship Id="rId67" Type="http://schemas.openxmlformats.org/officeDocument/2006/relationships/hyperlink" Target="https://en.uesp.net/wiki/Skyrim:Relics_of_the_Crusader" TargetMode="External"/><Relationship Id="rId60" Type="http://schemas.openxmlformats.org/officeDocument/2006/relationships/hyperlink" Target="https://en.uesp.net/wiki/Skyrim:Brothers_in_Irons" TargetMode="External"/><Relationship Id="rId165" Type="http://schemas.openxmlformats.org/officeDocument/2006/relationships/hyperlink" Target="https://en.uesp.net/wiki/Skyrim:Darkest_Depths" TargetMode="External"/><Relationship Id="rId69" Type="http://schemas.openxmlformats.org/officeDocument/2006/relationships/hyperlink" Target="https://en.uesp.net/wiki/Skyrim:Plague_of_the_Dead" TargetMode="External"/><Relationship Id="rId164" Type="http://schemas.openxmlformats.org/officeDocument/2006/relationships/hyperlink" Target="https://en.uesp.net/wiki/Skyrim:Shadowfoot_Sanctum" TargetMode="External"/><Relationship Id="rId163" Type="http://schemas.openxmlformats.org/officeDocument/2006/relationships/hyperlink" Target="https://en.uesp.net/wiki/Skyrim:Frozen_Fish" TargetMode="External"/><Relationship Id="rId162" Type="http://schemas.openxmlformats.org/officeDocument/2006/relationships/hyperlink" Target="https://en.uesp.net/wiki/Skyrim:The_Arms_of_Chaos" TargetMode="External"/><Relationship Id="rId169" Type="http://schemas.openxmlformats.org/officeDocument/2006/relationships/hyperlink" Target="https://en.uesp.net/wiki/Skyrim:Rubbish_Retrieval" TargetMode="External"/><Relationship Id="rId168" Type="http://schemas.openxmlformats.org/officeDocument/2006/relationships/hyperlink" Target="https://en.uesp.net/wiki/Skyrim:Spell_Knight_Armor" TargetMode="External"/><Relationship Id="rId167" Type="http://schemas.openxmlformats.org/officeDocument/2006/relationships/hyperlink" Target="https://en.uesp.net/wiki/Skyrim:Fishing_Legend" TargetMode="External"/><Relationship Id="rId166" Type="http://schemas.openxmlformats.org/officeDocument/2006/relationships/hyperlink" Target="https://en.uesp.net/wiki/Skyrim:Shadowfoot_Sanctum_(quest)" TargetMode="External"/><Relationship Id="rId51" Type="http://schemas.openxmlformats.org/officeDocument/2006/relationships/hyperlink" Target="https://en.uesp.net/wiki/Skyrim:The_Lost_Library" TargetMode="External"/><Relationship Id="rId50" Type="http://schemas.openxmlformats.org/officeDocument/2006/relationships/hyperlink" Target="https://en.uesp.net/wiki/Skyrim:Alternative_Armors_-_Dragon_Plate" TargetMode="External"/><Relationship Id="rId53" Type="http://schemas.openxmlformats.org/officeDocument/2006/relationships/hyperlink" Target="https://en.uesp.net/wiki/Skyrim:Arcane_Archer_Pack" TargetMode="External"/><Relationship Id="rId52" Type="http://schemas.openxmlformats.org/officeDocument/2006/relationships/hyperlink" Target="https://en.uesp.net/wiki/Skyrim:Bones_for_a_Crow" TargetMode="External"/><Relationship Id="rId55" Type="http://schemas.openxmlformats.org/officeDocument/2006/relationships/hyperlink" Target="https://en.uesp.net/wiki/Skyrim:Stealer_of_Souls" TargetMode="External"/><Relationship Id="rId161" Type="http://schemas.openxmlformats.org/officeDocument/2006/relationships/hyperlink" Target="https://en.uesp.net/wiki/Skyrim:Caught_in_the_Rain" TargetMode="External"/><Relationship Id="rId54" Type="http://schemas.openxmlformats.org/officeDocument/2006/relationships/hyperlink" Target="https://en.uesp.net/wiki/Skyrim:Alternative_Armors_-_Dwarven_Plate" TargetMode="External"/><Relationship Id="rId160" Type="http://schemas.openxmlformats.org/officeDocument/2006/relationships/hyperlink" Target="https://en.uesp.net/wiki/Skyrim:Arms_of_Chaos" TargetMode="External"/><Relationship Id="rId57" Type="http://schemas.openxmlformats.org/officeDocument/2006/relationships/hyperlink" Target="https://en.uesp.net/wiki/Skyrim:Swift_as_an_Arrow" TargetMode="External"/><Relationship Id="rId56" Type="http://schemas.openxmlformats.org/officeDocument/2006/relationships/hyperlink" Target="https://en.uesp.net/wiki/Skyrim:Mightier_than_the_Sword" TargetMode="External"/><Relationship Id="rId159" Type="http://schemas.openxmlformats.org/officeDocument/2006/relationships/hyperlink" Target="https://en.uesp.net/wiki/Skyrim:Catch_of_the_Day" TargetMode="External"/><Relationship Id="rId59" Type="http://schemas.openxmlformats.org/officeDocument/2006/relationships/hyperlink" Target="https://en.uesp.net/wiki/Skyrim:Chrysamere" TargetMode="External"/><Relationship Id="rId154" Type="http://schemas.openxmlformats.org/officeDocument/2006/relationships/hyperlink" Target="https://en.uesp.net/wiki/Skyrim:Fishing" TargetMode="External"/><Relationship Id="rId58" Type="http://schemas.openxmlformats.org/officeDocument/2006/relationships/hyperlink" Target="https://en.uesp.net/wiki/Skyrim:Alternative_Armors_-_Iron" TargetMode="External"/><Relationship Id="rId153" Type="http://schemas.openxmlformats.org/officeDocument/2006/relationships/hyperlink" Target="https://en.uesp.net/wiki/Skyrim:Sunder_%26_Wraithguard" TargetMode="External"/><Relationship Id="rId152" Type="http://schemas.openxmlformats.org/officeDocument/2006/relationships/hyperlink" Target="https://en.uesp.net/wiki/Skyrim:Saturalia_Preparation" TargetMode="External"/><Relationship Id="rId151" Type="http://schemas.openxmlformats.org/officeDocument/2006/relationships/hyperlink" Target="https://en.uesp.net/wiki/Skyrim:The_Contest" TargetMode="External"/><Relationship Id="rId158" Type="http://schemas.openxmlformats.org/officeDocument/2006/relationships/hyperlink" Target="https://en.uesp.net/wiki/Skyrim:Unholy_Vigil" TargetMode="External"/><Relationship Id="rId157" Type="http://schemas.openxmlformats.org/officeDocument/2006/relationships/hyperlink" Target="https://en.uesp.net/wiki/Skyrim:Vigil_Enforcer_Armor_Set" TargetMode="External"/><Relationship Id="rId156" Type="http://schemas.openxmlformats.org/officeDocument/2006/relationships/hyperlink" Target="https://en.uesp.net/wiki/Skyrim:Angler_Acquaintances" TargetMode="External"/><Relationship Id="rId155" Type="http://schemas.openxmlformats.org/officeDocument/2006/relationships/hyperlink" Target="https://en.uesp.net/wiki/Skyrim:Legends_Lost" TargetMode="External"/><Relationship Id="rId107" Type="http://schemas.openxmlformats.org/officeDocument/2006/relationships/hyperlink" Target="https://en.uesp.net/wiki/Skyrim:Ghosts_of_the_Tribunal_(quest)" TargetMode="External"/><Relationship Id="rId106" Type="http://schemas.openxmlformats.org/officeDocument/2006/relationships/hyperlink" Target="https://en.uesp.net/wiki/Skyrim:Tundra_Homestead" TargetMode="External"/><Relationship Id="rId105" Type="http://schemas.openxmlformats.org/officeDocument/2006/relationships/hyperlink" Target="https://en.uesp.net/wiki/Skyrim:Ghosts_of_the_Tribunal" TargetMode="External"/><Relationship Id="rId104" Type="http://schemas.openxmlformats.org/officeDocument/2006/relationships/hyperlink" Target="https://en.uesp.net/wiki/Skyrim:Through_a_Glass,_Darkly" TargetMode="External"/><Relationship Id="rId109" Type="http://schemas.openxmlformats.org/officeDocument/2006/relationships/hyperlink" Target="https://en.uesp.net/wiki/Skyrim:Myrwatch" TargetMode="External"/><Relationship Id="rId108" Type="http://schemas.openxmlformats.org/officeDocument/2006/relationships/hyperlink" Target="https://en.uesp.net/wiki/Skyrim:Buyer_Beware" TargetMode="External"/><Relationship Id="rId103" Type="http://schemas.openxmlformats.org/officeDocument/2006/relationships/hyperlink" Target="https://en.uesp.net/wiki/Skyrim:Dreams_of_the_Dead" TargetMode="External"/><Relationship Id="rId102" Type="http://schemas.openxmlformats.org/officeDocument/2006/relationships/hyperlink" Target="https://en.uesp.net/wiki/Skyrim:Shadowrend" TargetMode="External"/><Relationship Id="rId101" Type="http://schemas.openxmlformats.org/officeDocument/2006/relationships/hyperlink" Target="https://en.uesp.net/wiki/Skyrim:Gallows_Hall" TargetMode="External"/><Relationship Id="rId100" Type="http://schemas.openxmlformats.org/officeDocument/2006/relationships/hyperlink" Target="https://en.uesp.net/wiki/Skyrim:My_Pet_Nix-Hound" TargetMode="External"/><Relationship Id="rId217" Type="http://schemas.openxmlformats.org/officeDocument/2006/relationships/hyperlink" Target="https://en.uesp.net/wiki/Skyrim:The_Gray_Cowl_of_Nocturnal" TargetMode="External"/><Relationship Id="rId216" Type="http://schemas.openxmlformats.org/officeDocument/2006/relationships/hyperlink" Target="https://en.uesp.net/wiki/Skyrim:The_Gray_Cowl_Returns!" TargetMode="External"/><Relationship Id="rId215" Type="http://schemas.openxmlformats.org/officeDocument/2006/relationships/hyperlink" Target="https://en.uesp.net/wiki/Skyrim:Hendraheim_(quest)" TargetMode="External"/><Relationship Id="rId214" Type="http://schemas.openxmlformats.org/officeDocument/2006/relationships/hyperlink" Target="https://en.uesp.net/wiki/Skyrim:Hendraheim" TargetMode="External"/><Relationship Id="rId218" Type="http://schemas.openxmlformats.org/officeDocument/2006/relationships/drawing" Target="../drawings/drawing5.xml"/><Relationship Id="rId213" Type="http://schemas.openxmlformats.org/officeDocument/2006/relationships/hyperlink" Target="https://en.uesp.net/wiki/Skyrim:Restoring_Order" TargetMode="External"/><Relationship Id="rId212" Type="http://schemas.openxmlformats.org/officeDocument/2006/relationships/hyperlink" Target="https://en.uesp.net/wiki/Skyrim:Balance_of_Power" TargetMode="External"/><Relationship Id="rId211" Type="http://schemas.openxmlformats.org/officeDocument/2006/relationships/hyperlink" Target="https://en.uesp.net/wiki/Skyrim:Saints_%26_Seducers" TargetMode="External"/><Relationship Id="rId210" Type="http://schemas.openxmlformats.org/officeDocument/2006/relationships/hyperlink" Target="https://en.uesp.net/wiki/Skyrim:Blue_in_the_Face" TargetMode="External"/><Relationship Id="rId129" Type="http://schemas.openxmlformats.org/officeDocument/2006/relationships/hyperlink" Target="https://en.uesp.net/wiki/Skyrim:The_Staff_of_Hasedoki" TargetMode="External"/><Relationship Id="rId128" Type="http://schemas.openxmlformats.org/officeDocument/2006/relationships/hyperlink" Target="https://en.uesp.net/wiki/Skyrim:Horse_Armor_-_Steel" TargetMode="External"/><Relationship Id="rId127" Type="http://schemas.openxmlformats.org/officeDocument/2006/relationships/hyperlink" Target="https://en.uesp.net/wiki/Skyrim:Staff_of_Hasedoki" TargetMode="External"/><Relationship Id="rId126" Type="http://schemas.openxmlformats.org/officeDocument/2006/relationships/hyperlink" Target="https://en.uesp.net/wiki/Skyrim:Let_Sleeping_Wolves_Lie" TargetMode="External"/><Relationship Id="rId121" Type="http://schemas.openxmlformats.org/officeDocument/2006/relationships/hyperlink" Target="https://en.uesp.net/wiki/Skyrim:Rare_Curios" TargetMode="External"/><Relationship Id="rId120" Type="http://schemas.openxmlformats.org/officeDocument/2006/relationships/hyperlink" Target="https://en.uesp.net/wiki/Skyrim:A_Matter_of_Pride" TargetMode="External"/><Relationship Id="rId125" Type="http://schemas.openxmlformats.org/officeDocument/2006/relationships/hyperlink" Target="https://en.uesp.net/wiki/Skyrim:Horse_Armor_-_Elven" TargetMode="External"/><Relationship Id="rId124" Type="http://schemas.openxmlformats.org/officeDocument/2006/relationships/hyperlink" Target="https://en.uesp.net/wiki/Skyrim:Bone_Wolf" TargetMode="External"/><Relationship Id="rId123" Type="http://schemas.openxmlformats.org/officeDocument/2006/relationships/hyperlink" Target="https://en.uesp.net/wiki/Skyrim:Blood_in_the_Water" TargetMode="External"/><Relationship Id="rId122" Type="http://schemas.openxmlformats.org/officeDocument/2006/relationships/hyperlink" Target="https://en.uesp.net/wiki/Skyrim:Headman%27s_Cleaver" TargetMode="External"/><Relationship Id="rId95" Type="http://schemas.openxmlformats.org/officeDocument/2006/relationships/hyperlink" Target="https://en.uesp.net/wiki/Skyrim:The_Unquiet_Dead" TargetMode="External"/><Relationship Id="rId94" Type="http://schemas.openxmlformats.org/officeDocument/2006/relationships/hyperlink" Target="https://en.uesp.net/wiki/Skyrim:Farming" TargetMode="External"/><Relationship Id="rId97" Type="http://schemas.openxmlformats.org/officeDocument/2006/relationships/hyperlink" Target="https://en.uesp.net/wiki/Skyrim:A_Farmer%27s_Life_For_Me" TargetMode="External"/><Relationship Id="rId96" Type="http://schemas.openxmlformats.org/officeDocument/2006/relationships/hyperlink" Target="https://en.uesp.net/wiki/Skyrim:Camping" TargetMode="External"/><Relationship Id="rId99" Type="http://schemas.openxmlformats.org/officeDocument/2006/relationships/hyperlink" Target="https://en.uesp.net/wiki/Skyrim:Nix-Hound" TargetMode="External"/><Relationship Id="rId98" Type="http://schemas.openxmlformats.org/officeDocument/2006/relationships/hyperlink" Target="https://en.uesp.net/wiki/Skyrim:Fearsome_Fists" TargetMode="External"/><Relationship Id="rId91" Type="http://schemas.openxmlformats.org/officeDocument/2006/relationships/hyperlink" Target="https://en.uesp.net/wiki/Skyrim:Gift_of_Kynareth" TargetMode="External"/><Relationship Id="rId90" Type="http://schemas.openxmlformats.org/officeDocument/2006/relationships/hyperlink" Target="https://en.uesp.net/wiki/Skyrim:Bow_of_Shadows" TargetMode="External"/><Relationship Id="rId93" Type="http://schemas.openxmlformats.org/officeDocument/2006/relationships/hyperlink" Target="https://en.uesp.net/wiki/Skyrim:Adventurer%27s_Backpack" TargetMode="External"/><Relationship Id="rId92" Type="http://schemas.openxmlformats.org/officeDocument/2006/relationships/hyperlink" Target="https://en.uesp.net/wiki/Skyrim:In_the_Shadows" TargetMode="External"/><Relationship Id="rId118" Type="http://schemas.openxmlformats.org/officeDocument/2006/relationships/hyperlink" Target="https://en.uesp.net/wiki/Skyrim:Goldbrand" TargetMode="External"/><Relationship Id="rId117" Type="http://schemas.openxmlformats.org/officeDocument/2006/relationships/hyperlink" Target="https://en.uesp.net/wiki/Skyrim:Pets_of_Skyrim" TargetMode="External"/><Relationship Id="rId116" Type="http://schemas.openxmlformats.org/officeDocument/2006/relationships/hyperlink" Target="https://en.uesp.net/wiki/Skyrim:Ashen_Heart" TargetMode="External"/><Relationship Id="rId115" Type="http://schemas.openxmlformats.org/officeDocument/2006/relationships/hyperlink" Target="https://en.uesp.net/wiki/Skyrim:Nordic_Jewelry_(quest)" TargetMode="External"/><Relationship Id="rId119" Type="http://schemas.openxmlformats.org/officeDocument/2006/relationships/hyperlink" Target="https://en.uesp.net/wiki/Skyrim:Pets_of_Skyrim_(quest)" TargetMode="External"/><Relationship Id="rId110" Type="http://schemas.openxmlformats.org/officeDocument/2006/relationships/hyperlink" Target="https://en.uesp.net/wiki/Skyrim:Trueflame_(quest)" TargetMode="External"/><Relationship Id="rId114" Type="http://schemas.openxmlformats.org/officeDocument/2006/relationships/hyperlink" Target="https://en.uesp.net/wiki/Skyrim:Her_Word_Against_Theirs" TargetMode="External"/><Relationship Id="rId113" Type="http://schemas.openxmlformats.org/officeDocument/2006/relationships/hyperlink" Target="https://en.uesp.net/wiki/Skyrim:Nordic_Jewelry" TargetMode="External"/><Relationship Id="rId112" Type="http://schemas.openxmlformats.org/officeDocument/2006/relationships/hyperlink" Target="https://en.uesp.net/wiki/Skyrim:Careless_Curation" TargetMode="External"/><Relationship Id="rId111" Type="http://schemas.openxmlformats.org/officeDocument/2006/relationships/hyperlink" Target="https://en.uesp.net/wiki/Skyrim:Myrwatch_(quest)" TargetMode="External"/><Relationship Id="rId206" Type="http://schemas.openxmlformats.org/officeDocument/2006/relationships/hyperlink" Target="https://en.uesp.net/wiki/Skyrim:Over_the_Edge" TargetMode="External"/><Relationship Id="rId205" Type="http://schemas.openxmlformats.org/officeDocument/2006/relationships/hyperlink" Target="https://en.uesp.net/wiki/Skyrim:Alternative_Armors_-_Steel_Soldier" TargetMode="External"/><Relationship Id="rId204" Type="http://schemas.openxmlformats.org/officeDocument/2006/relationships/hyperlink" Target="https://en.uesp.net/wiki/Skyrim:Heart_of_Crimson" TargetMode="External"/><Relationship Id="rId203" Type="http://schemas.openxmlformats.org/officeDocument/2006/relationships/hyperlink" Target="https://en.uesp.net/wiki/Skyrim:Alternative_Armors_-_Ebony_Plate" TargetMode="External"/><Relationship Id="rId209" Type="http://schemas.openxmlformats.org/officeDocument/2006/relationships/hyperlink" Target="https://en.uesp.net/wiki/Skyrim:Goblins" TargetMode="External"/><Relationship Id="rId208" Type="http://schemas.openxmlformats.org/officeDocument/2006/relationships/hyperlink" Target="https://en.uesp.net/wiki/Skyrim:The_Restless" TargetMode="External"/><Relationship Id="rId207" Type="http://schemas.openxmlformats.org/officeDocument/2006/relationships/hyperlink" Target="https://en.uesp.net/wiki/Skyrim:Dead_Man%27s_Dread" TargetMode="External"/><Relationship Id="rId202" Type="http://schemas.openxmlformats.org/officeDocument/2006/relationships/hyperlink" Target="https://en.uesp.net/wiki/Skyrim:Once_A_Hunter" TargetMode="External"/><Relationship Id="rId201" Type="http://schemas.openxmlformats.org/officeDocument/2006/relationships/hyperlink" Target="https://en.uesp.net/wiki/Skyrim:Alternative_Armors_-_Elven_Hunter" TargetMode="External"/><Relationship Id="rId200" Type="http://schemas.openxmlformats.org/officeDocument/2006/relationships/hyperlink" Target="https://en.uesp.net/wiki/Skyrim:Tilted_Scale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n.uesp.net/wiki/Skyrim:Calcelm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en.uesp.net/wiki/Skyrim:Blackbone_Isle_Grotto" TargetMode="External"/><Relationship Id="rId22" Type="http://schemas.openxmlformats.org/officeDocument/2006/relationships/hyperlink" Target="https://en.uesp.net/wiki/Skyrim:Gromm%27s_Pass" TargetMode="External"/><Relationship Id="rId21" Type="http://schemas.openxmlformats.org/officeDocument/2006/relationships/hyperlink" Target="https://en.uesp.net/wiki/Skyrim:Dead_Man%27s_Dread_(place)" TargetMode="External"/><Relationship Id="rId24" Type="http://schemas.openxmlformats.org/officeDocument/2006/relationships/hyperlink" Target="https://en.uesp.net/wiki/Skyrim:Hendraheim_(place)" TargetMode="External"/><Relationship Id="rId23" Type="http://schemas.openxmlformats.org/officeDocument/2006/relationships/hyperlink" Target="https://en.uesp.net/wiki/Skyrim:Solitude_Sewers" TargetMode="External"/><Relationship Id="rId26" Type="http://schemas.openxmlformats.org/officeDocument/2006/relationships/vmlDrawing" Target="../drawings/vmlDrawing1.vml"/><Relationship Id="rId25" Type="http://schemas.openxmlformats.org/officeDocument/2006/relationships/drawing" Target="../drawings/drawing9.xml"/><Relationship Id="rId11" Type="http://schemas.openxmlformats.org/officeDocument/2006/relationships/hyperlink" Target="https://en.uesp.net/wiki/Skyrim:Rielle" TargetMode="External"/><Relationship Id="rId10" Type="http://schemas.openxmlformats.org/officeDocument/2006/relationships/hyperlink" Target="https://en.uesp.net/wiki/Skyrim:Red_Scar_Cavern" TargetMode="External"/><Relationship Id="rId13" Type="http://schemas.openxmlformats.org/officeDocument/2006/relationships/hyperlink" Target="https://en.uesp.net/wiki/Skyrim:Varlais_Cavern" TargetMode="External"/><Relationship Id="rId12" Type="http://schemas.openxmlformats.org/officeDocument/2006/relationships/hyperlink" Target="https://en.uesp.net/wiki/Skyrim:Sivdur%27s_Respite" TargetMode="External"/><Relationship Id="rId15" Type="http://schemas.openxmlformats.org/officeDocument/2006/relationships/hyperlink" Target="https://en.uesp.net/wiki/Skyrim:Myrwatch_(place)" TargetMode="External"/><Relationship Id="rId14" Type="http://schemas.openxmlformats.org/officeDocument/2006/relationships/hyperlink" Target="https://en.uesp.net/wiki/Skyrim:Tundra_Homestead_(place)" TargetMode="External"/><Relationship Id="rId17" Type="http://schemas.openxmlformats.org/officeDocument/2006/relationships/hyperlink" Target="https://en.uesp.net/wiki/Skyrim:Shadowfoot_Sanctum_(place)" TargetMode="External"/><Relationship Id="rId16" Type="http://schemas.openxmlformats.org/officeDocument/2006/relationships/hyperlink" Target="https://en.uesp.net/wiki/Skyrim:Runoff_Caverns" TargetMode="External"/><Relationship Id="rId19" Type="http://schemas.openxmlformats.org/officeDocument/2006/relationships/hyperlink" Target="https://en.uesp.net/wiki/Skyrim:The_Guardian_Vault" TargetMode="External"/><Relationship Id="rId18" Type="http://schemas.openxmlformats.org/officeDocument/2006/relationships/hyperlink" Target="https://en.uesp.net/wiki/Skyrim:Champion%27s_Rest" TargetMode="External"/><Relationship Id="rId1" Type="http://schemas.openxmlformats.org/officeDocument/2006/relationships/comments" Target="../comments1.xml"/><Relationship Id="rId2" Type="http://schemas.openxmlformats.org/officeDocument/2006/relationships/hyperlink" Target="https://en.uesp.net/wiki/Skyrim:Ashfall%27s_Tear" TargetMode="External"/><Relationship Id="rId3" Type="http://schemas.openxmlformats.org/officeDocument/2006/relationships/hyperlink" Target="https://en.uesp.net/wiki/Skyrim:Bloodchill_Cavern" TargetMode="External"/><Relationship Id="rId4" Type="http://schemas.openxmlformats.org/officeDocument/2006/relationships/hyperlink" Target="https://en.uesp.net/wiki/Skyrim:Fahlbtharz" TargetMode="External"/><Relationship Id="rId9" Type="http://schemas.openxmlformats.org/officeDocument/2006/relationships/hyperlink" Target="https://en.uesp.net/wiki/Skyrim:Nchuanthumz" TargetMode="External"/><Relationship Id="rId5" Type="http://schemas.openxmlformats.org/officeDocument/2006/relationships/hyperlink" Target="https://en.uesp.net/wiki/Skyrim:Frostroot_Cave" TargetMode="External"/><Relationship Id="rId6" Type="http://schemas.openxmlformats.org/officeDocument/2006/relationships/hyperlink" Target="https://en.uesp.net/wiki/Skyrim:Gallows_Hall_(place)" TargetMode="External"/><Relationship Id="rId7" Type="http://schemas.openxmlformats.org/officeDocument/2006/relationships/hyperlink" Target="https://en.uesp.net/wiki/Skyrim:Goldenhills_Plantation" TargetMode="External"/><Relationship Id="rId8" Type="http://schemas.openxmlformats.org/officeDocument/2006/relationships/hyperlink" Target="https://en.uesp.net/wiki/Skyrim:Mythic_Dawn_Camp"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en.uesp.net/wiki/Skyrim:Saadia"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en.uesp.net/wiki/Skyrim:Fisherman%27s_Journal_(Fishing)" TargetMode="External"/><Relationship Id="rId42" Type="http://schemas.openxmlformats.org/officeDocument/2006/relationships/hyperlink" Target="https://en.uesp.net/wiki/Skyrim:Fishing_Mastery,_v2" TargetMode="External"/><Relationship Id="rId41" Type="http://schemas.openxmlformats.org/officeDocument/2006/relationships/hyperlink" Target="https://en.uesp.net/wiki/Skyrim:Fishing_Mastery,_v1" TargetMode="External"/><Relationship Id="rId44" Type="http://schemas.openxmlformats.org/officeDocument/2006/relationships/hyperlink" Target="https://en.uesp.net/wiki/Skyrim:Fishing_Mastery,_v4" TargetMode="External"/><Relationship Id="rId43" Type="http://schemas.openxmlformats.org/officeDocument/2006/relationships/hyperlink" Target="https://en.uesp.net/wiki/Skyrim:Fishing_Mastery,_v3" TargetMode="External"/><Relationship Id="rId46" Type="http://schemas.openxmlformats.org/officeDocument/2006/relationships/hyperlink" Target="https://en.uesp.net/wiki/Skyrim:Forgotten_Seasons,_v1" TargetMode="External"/><Relationship Id="rId45" Type="http://schemas.openxmlformats.org/officeDocument/2006/relationships/hyperlink" Target="https://en.uesp.net/wiki/Skyrim:Fishing_Mastery,_v5" TargetMode="External"/><Relationship Id="rId48" Type="http://schemas.openxmlformats.org/officeDocument/2006/relationships/hyperlink" Target="https://en.uesp.net/wiki/Skyrim:Galur_Rithari%27s_Papers" TargetMode="External"/><Relationship Id="rId47" Type="http://schemas.openxmlformats.org/officeDocument/2006/relationships/hyperlink" Target="https://en.uesp.net/wiki/Skyrim:Gadnor%27s_Last_Wishes" TargetMode="External"/><Relationship Id="rId49" Type="http://schemas.openxmlformats.org/officeDocument/2006/relationships/hyperlink" Target="https://en.uesp.net/wiki/Skyrim:Guard_Dossier:_Aesrael" TargetMode="External"/><Relationship Id="rId31" Type="http://schemas.openxmlformats.org/officeDocument/2006/relationships/hyperlink" Target="https://en.uesp.net/wiki/Skyrim:Elberon%27s_Journal" TargetMode="External"/><Relationship Id="rId30" Type="http://schemas.openxmlformats.org/officeDocument/2006/relationships/hyperlink" Target="https://en.uesp.net/wiki/Skyrim:Ehlhiel%27s_Journal" TargetMode="External"/><Relationship Id="rId33" Type="http://schemas.openxmlformats.org/officeDocument/2006/relationships/hyperlink" Target="https://en.uesp.net/wiki/Skyrim:Eranya%27s_Notes_on_Sivdur%27s_Tomb" TargetMode="External"/><Relationship Id="rId32" Type="http://schemas.openxmlformats.org/officeDocument/2006/relationships/hyperlink" Target="https://en.uesp.net/wiki/Skyrim:Eranya%27s_Journal" TargetMode="External"/><Relationship Id="rId35" Type="http://schemas.openxmlformats.org/officeDocument/2006/relationships/hyperlink" Target="https://en.uesp.net/wiki/Skyrim:Ernanthil%27s_Journal" TargetMode="External"/><Relationship Id="rId34" Type="http://schemas.openxmlformats.org/officeDocument/2006/relationships/hyperlink" Target="https://en.uesp.net/wiki/Skyrim:Eranya%27s_Research_Notes" TargetMode="External"/><Relationship Id="rId37" Type="http://schemas.openxmlformats.org/officeDocument/2006/relationships/hyperlink" Target="https://en.uesp.net/wiki/Skyrim:Evethra%27s_Journal" TargetMode="External"/><Relationship Id="rId36" Type="http://schemas.openxmlformats.org/officeDocument/2006/relationships/hyperlink" Target="https://en.uesp.net/wiki/Skyrim:Erwan%27s_Journal" TargetMode="External"/><Relationship Id="rId39" Type="http://schemas.openxmlformats.org/officeDocument/2006/relationships/hyperlink" Target="https://en.uesp.net/wiki/Skyrim:Fenrik%27s_Journal" TargetMode="External"/><Relationship Id="rId38" Type="http://schemas.openxmlformats.org/officeDocument/2006/relationships/hyperlink" Target="https://en.uesp.net/wiki/Skyrim:Excavation_Leader%27s_Journal" TargetMode="External"/><Relationship Id="rId20" Type="http://schemas.openxmlformats.org/officeDocument/2006/relationships/hyperlink" Target="https://en.uesp.net/wiki/Skyrim:The_Crimson_Dirks,_v5" TargetMode="External"/><Relationship Id="rId22" Type="http://schemas.openxmlformats.org/officeDocument/2006/relationships/hyperlink" Target="https://en.uesp.net/wiki/Skyrim:The_Crimson_Dirks,_v7" TargetMode="External"/><Relationship Id="rId21" Type="http://schemas.openxmlformats.org/officeDocument/2006/relationships/hyperlink" Target="https://en.uesp.net/wiki/Skyrim:The_Crimson_Dirks,_v6" TargetMode="External"/><Relationship Id="rId24" Type="http://schemas.openxmlformats.org/officeDocument/2006/relationships/hyperlink" Target="https://en.uesp.net/wiki/Skyrim:The_Crimson_Dirks,_v9" TargetMode="External"/><Relationship Id="rId23" Type="http://schemas.openxmlformats.org/officeDocument/2006/relationships/hyperlink" Target="https://en.uesp.net/wiki/Skyrim:The_Crimson_Dirks,_v8" TargetMode="External"/><Relationship Id="rId26" Type="http://schemas.openxmlformats.org/officeDocument/2006/relationships/hyperlink" Target="https://en.uesp.net/wiki/Skyrim:Cuinanthil%27s_Journal" TargetMode="External"/><Relationship Id="rId25" Type="http://schemas.openxmlformats.org/officeDocument/2006/relationships/hyperlink" Target="https://en.uesp.net/wiki/Skyrim:Crypt_of_the_Heart_-_Draft" TargetMode="External"/><Relationship Id="rId28" Type="http://schemas.openxmlformats.org/officeDocument/2006/relationships/hyperlink" Target="https://en.uesp.net/wiki/Skyrim:Dwarven_Crown_Journal" TargetMode="External"/><Relationship Id="rId27" Type="http://schemas.openxmlformats.org/officeDocument/2006/relationships/hyperlink" Target="https://en.uesp.net/wiki/Skyrim:Death_of_a_Crimson_Dirk" TargetMode="External"/><Relationship Id="rId29" Type="http://schemas.openxmlformats.org/officeDocument/2006/relationships/hyperlink" Target="https://en.uesp.net/wiki/Skyrim:The_Ebon_Arm" TargetMode="External"/><Relationship Id="rId11" Type="http://schemas.openxmlformats.org/officeDocument/2006/relationships/hyperlink" Target="https://en.uesp.net/wiki/Skyrim:Blue_God%27s_Journal" TargetMode="External"/><Relationship Id="rId10" Type="http://schemas.openxmlformats.org/officeDocument/2006/relationships/hyperlink" Target="https://en.uesp.net/wiki/Skyrim:The_Blessings_of_Sheogorath" TargetMode="External"/><Relationship Id="rId13" Type="http://schemas.openxmlformats.org/officeDocument/2006/relationships/hyperlink" Target="https://en.uesp.net/wiki/Skyrim:Business_Ledger_Copy" TargetMode="External"/><Relationship Id="rId12" Type="http://schemas.openxmlformats.org/officeDocument/2006/relationships/hyperlink" Target="https://en.uesp.net/wiki/Skyrim:Brutius%27s_Journal" TargetMode="External"/><Relationship Id="rId15" Type="http://schemas.openxmlformats.org/officeDocument/2006/relationships/hyperlink" Target="https://en.uesp.net/wiki/Skyrim:Crafting_with_Netch_Leather" TargetMode="External"/><Relationship Id="rId14" Type="http://schemas.openxmlformats.org/officeDocument/2006/relationships/hyperlink" Target="https://en.uesp.net/wiki/Skyrim:Captain%27s_Journal" TargetMode="External"/><Relationship Id="rId17" Type="http://schemas.openxmlformats.org/officeDocument/2006/relationships/hyperlink" Target="https://en.uesp.net/wiki/Skyrim:The_Crimson_Dirks,_v2" TargetMode="External"/><Relationship Id="rId16" Type="http://schemas.openxmlformats.org/officeDocument/2006/relationships/hyperlink" Target="https://en.uesp.net/wiki/Skyrim:The_Crimson_Dirks,_v1" TargetMode="External"/><Relationship Id="rId19" Type="http://schemas.openxmlformats.org/officeDocument/2006/relationships/hyperlink" Target="https://en.uesp.net/wiki/Skyrim:The_Crimson_Dirks,_v4" TargetMode="External"/><Relationship Id="rId18" Type="http://schemas.openxmlformats.org/officeDocument/2006/relationships/hyperlink" Target="https://en.uesp.net/wiki/Skyrim:The_Crimson_Dirks,_v3" TargetMode="External"/><Relationship Id="rId84" Type="http://schemas.openxmlformats.org/officeDocument/2006/relationships/hyperlink" Target="https://en.uesp.net/wiki/Skyrim:Reclamation_Priest%27s_Journal" TargetMode="External"/><Relationship Id="rId83" Type="http://schemas.openxmlformats.org/officeDocument/2006/relationships/hyperlink" Target="https://en.uesp.net/wiki/Skyrim:Priest_Drureth%27s_Journal" TargetMode="External"/><Relationship Id="rId86" Type="http://schemas.openxmlformats.org/officeDocument/2006/relationships/hyperlink" Target="https://en.uesp.net/wiki/Skyrim:The_Restless_(book)" TargetMode="External"/><Relationship Id="rId85" Type="http://schemas.openxmlformats.org/officeDocument/2006/relationships/hyperlink" Target="https://en.uesp.net/wiki/Skyrim:Report_on_Atronach_Forge_Experiments" TargetMode="External"/><Relationship Id="rId88" Type="http://schemas.openxmlformats.org/officeDocument/2006/relationships/hyperlink" Target="https://en.uesp.net/wiki/Skyrim:Saints_and_Seducers" TargetMode="External"/><Relationship Id="rId87" Type="http://schemas.openxmlformats.org/officeDocument/2006/relationships/hyperlink" Target="https://en.uesp.net/wiki/Skyrim:Rin%27s_Journal" TargetMode="External"/><Relationship Id="rId89" Type="http://schemas.openxmlformats.org/officeDocument/2006/relationships/hyperlink" Target="https://en.uesp.net/wiki/Skyrim:Saints_Bandit_Leader%27s_Journal" TargetMode="External"/><Relationship Id="rId80" Type="http://schemas.openxmlformats.org/officeDocument/2006/relationships/hyperlink" Target="https://en.uesp.net/wiki/Skyrim:Pale-Eyes%27_Journal" TargetMode="External"/><Relationship Id="rId82" Type="http://schemas.openxmlformats.org/officeDocument/2006/relationships/hyperlink" Target="https://en.uesp.net/wiki/Skyrim:Pickpocket%27s_Journal" TargetMode="External"/><Relationship Id="rId81" Type="http://schemas.openxmlformats.org/officeDocument/2006/relationships/hyperlink" Target="https://en.uesp.net/wiki/Skyrim:Peddler%27s_Journal" TargetMode="External"/><Relationship Id="rId1" Type="http://schemas.openxmlformats.org/officeDocument/2006/relationships/comments" Target="../comments2.xml"/><Relationship Id="rId2" Type="http://schemas.openxmlformats.org/officeDocument/2006/relationships/hyperlink" Target="https://en.uesp.net/wiki/Skyrim:Books" TargetMode="External"/><Relationship Id="rId3" Type="http://schemas.openxmlformats.org/officeDocument/2006/relationships/hyperlink" Target="https://en.uesp.net/wiki/Skyrim:Adonato_Leotelli%27s_Journal" TargetMode="External"/><Relationship Id="rId4" Type="http://schemas.openxmlformats.org/officeDocument/2006/relationships/hyperlink" Target="https://en.uesp.net/wiki/Skyrim:Aesrael%27s_Journal" TargetMode="External"/><Relationship Id="rId9" Type="http://schemas.openxmlformats.org/officeDocument/2006/relationships/hyperlink" Target="https://en.uesp.net/wiki/Skyrim:Bjormund%27s_Diary" TargetMode="External"/><Relationship Id="rId5" Type="http://schemas.openxmlformats.org/officeDocument/2006/relationships/hyperlink" Target="https://en.uesp.net/wiki/Skyrim:Anora%27s_Journal" TargetMode="External"/><Relationship Id="rId6" Type="http://schemas.openxmlformats.org/officeDocument/2006/relationships/hyperlink" Target="https://en.uesp.net/wiki/Skyrim:Arkay_the_Enemy" TargetMode="External"/><Relationship Id="rId7" Type="http://schemas.openxmlformats.org/officeDocument/2006/relationships/hyperlink" Target="https://en.uesp.net/wiki/Skyrim:Assassin%27s_Journal" TargetMode="External"/><Relationship Id="rId8" Type="http://schemas.openxmlformats.org/officeDocument/2006/relationships/hyperlink" Target="https://en.uesp.net/wiki/Skyrim:Azarain%27s_Journal" TargetMode="External"/><Relationship Id="rId73" Type="http://schemas.openxmlformats.org/officeDocument/2006/relationships/hyperlink" Target="https://en.uesp.net/wiki/Skyrim:Matriarch_Drevlan%27s_Journal" TargetMode="External"/><Relationship Id="rId72" Type="http://schemas.openxmlformats.org/officeDocument/2006/relationships/hyperlink" Target="https://en.uesp.net/wiki/Skyrim:Log_of_Elberon_the_Great,_Vol_5" TargetMode="External"/><Relationship Id="rId75" Type="http://schemas.openxmlformats.org/officeDocument/2006/relationships/hyperlink" Target="https://en.uesp.net/wiki/Skyrim:Naara%27s_Journal" TargetMode="External"/><Relationship Id="rId74" Type="http://schemas.openxmlformats.org/officeDocument/2006/relationships/hyperlink" Target="https://en.uesp.net/wiki/Skyrim:Mysterious_Altar" TargetMode="External"/><Relationship Id="rId77" Type="http://schemas.openxmlformats.org/officeDocument/2006/relationships/hyperlink" Target="https://en.uesp.net/wiki/Skyrim:Necromancer%27s_Journal_(Plague_of_the_Dead)" TargetMode="External"/><Relationship Id="rId76" Type="http://schemas.openxmlformats.org/officeDocument/2006/relationships/hyperlink" Target="https://en.uesp.net/wiki/Skyrim:Necromancer%27s_Journal_(Bone_Wolf)" TargetMode="External"/><Relationship Id="rId79" Type="http://schemas.openxmlformats.org/officeDocument/2006/relationships/hyperlink" Target="https://en.uesp.net/wiki/Skyrim:Notes_on_the_Bone_Forge" TargetMode="External"/><Relationship Id="rId78" Type="http://schemas.openxmlformats.org/officeDocument/2006/relationships/hyperlink" Target="https://en.uesp.net/wiki/Skyrim:Nivenor%27s_Journal" TargetMode="External"/><Relationship Id="rId71" Type="http://schemas.openxmlformats.org/officeDocument/2006/relationships/hyperlink" Target="https://en.uesp.net/wiki/Skyrim:Log_of_Elberon_the_Great,_Vol_4" TargetMode="External"/><Relationship Id="rId70" Type="http://schemas.openxmlformats.org/officeDocument/2006/relationships/hyperlink" Target="https://en.uesp.net/wiki/Skyrim:Log_of_Elberon_the_Great,_Vol_3" TargetMode="External"/><Relationship Id="rId62" Type="http://schemas.openxmlformats.org/officeDocument/2006/relationships/hyperlink" Target="https://en.uesp.net/wiki/Skyrim:Janus%27_Journal" TargetMode="External"/><Relationship Id="rId61" Type="http://schemas.openxmlformats.org/officeDocument/2006/relationships/hyperlink" Target="https://en.uesp.net/wiki/Skyrim:Hyenril%27s_Journal" TargetMode="External"/><Relationship Id="rId64" Type="http://schemas.openxmlformats.org/officeDocument/2006/relationships/hyperlink" Target="https://en.uesp.net/wiki/Skyrim:Jonquil%27s_Journal" TargetMode="External"/><Relationship Id="rId63" Type="http://schemas.openxmlformats.org/officeDocument/2006/relationships/hyperlink" Target="https://en.uesp.net/wiki/Skyrim:Joften%27s_Notes" TargetMode="External"/><Relationship Id="rId66" Type="http://schemas.openxmlformats.org/officeDocument/2006/relationships/hyperlink" Target="https://en.uesp.net/wiki/Skyrim:Letter_to_Clexius" TargetMode="External"/><Relationship Id="rId65" Type="http://schemas.openxmlformats.org/officeDocument/2006/relationships/hyperlink" Target="https://en.uesp.net/wiki/Skyrim:Kinthal%27s_Journal" TargetMode="External"/><Relationship Id="rId68" Type="http://schemas.openxmlformats.org/officeDocument/2006/relationships/hyperlink" Target="https://en.uesp.net/wiki/Skyrim:Line_and_Lure" TargetMode="External"/><Relationship Id="rId67" Type="http://schemas.openxmlformats.org/officeDocument/2006/relationships/hyperlink" Target="https://en.uesp.net/wiki/Skyrim:The_Light_and_the_Dark" TargetMode="External"/><Relationship Id="rId60" Type="http://schemas.openxmlformats.org/officeDocument/2006/relationships/hyperlink" Target="https://en.uesp.net/wiki/Skyrim:Hugin_Ice-Shaper%27s_Notebook" TargetMode="External"/><Relationship Id="rId69" Type="http://schemas.openxmlformats.org/officeDocument/2006/relationships/hyperlink" Target="https://en.uesp.net/wiki/Skyrim:Log_of_Elberon_the_Great,_Vol_2" TargetMode="External"/><Relationship Id="rId51" Type="http://schemas.openxmlformats.org/officeDocument/2006/relationships/hyperlink" Target="https://en.uesp.net/wiki/Skyrim:Guard%27s_Dossier:_Bjormund_Wind-Strider" TargetMode="External"/><Relationship Id="rId50" Type="http://schemas.openxmlformats.org/officeDocument/2006/relationships/hyperlink" Target="https://en.uesp.net/wiki/Skyrim:Guard%27s_Dossier:_Antonius" TargetMode="External"/><Relationship Id="rId53" Type="http://schemas.openxmlformats.org/officeDocument/2006/relationships/hyperlink" Target="https://en.uesp.net/wiki/Skyrim:Guard%27s_Dossier:_Yakhtu_gra-Orkulg" TargetMode="External"/><Relationship Id="rId52" Type="http://schemas.openxmlformats.org/officeDocument/2006/relationships/hyperlink" Target="https://en.uesp.net/wiki/Skyrim:Guard%27s_Dossier:_Ehlhiel" TargetMode="External"/><Relationship Id="rId55" Type="http://schemas.openxmlformats.org/officeDocument/2006/relationships/hyperlink" Target="https://en.uesp.net/wiki/Skyrim:Hand_Indobar%27s_Journal" TargetMode="External"/><Relationship Id="rId54" Type="http://schemas.openxmlformats.org/officeDocument/2006/relationships/hyperlink" Target="https://en.uesp.net/wiki/Skyrim:Halvar%27s_Journal" TargetMode="External"/><Relationship Id="rId57" Type="http://schemas.openxmlformats.org/officeDocument/2006/relationships/hyperlink" Target="https://en.uesp.net/wiki/Skyrim:Helm_of_Oreyn_Bearclaw_(book)" TargetMode="External"/><Relationship Id="rId56" Type="http://schemas.openxmlformats.org/officeDocument/2006/relationships/hyperlink" Target="https://en.uesp.net/wiki/Skyrim:Hans%27s_Journal" TargetMode="External"/><Relationship Id="rId59" Type="http://schemas.openxmlformats.org/officeDocument/2006/relationships/hyperlink" Target="https://en.uesp.net/wiki/Skyrim:Heretical_Thoughts" TargetMode="External"/><Relationship Id="rId58" Type="http://schemas.openxmlformats.org/officeDocument/2006/relationships/hyperlink" Target="https://en.uesp.net/wiki/Skyrim:Heretic_Dossier:_Blacksmith%27s_Confessional" TargetMode="External"/><Relationship Id="rId107" Type="http://schemas.openxmlformats.org/officeDocument/2006/relationships/hyperlink" Target="https://en.uesp.net/wiki/Skyrim:Thoron%27s_Journal_-_Volume_3" TargetMode="External"/><Relationship Id="rId106" Type="http://schemas.openxmlformats.org/officeDocument/2006/relationships/hyperlink" Target="https://en.uesp.net/wiki/Skyrim:Thoron%27s_Journal_-_Volume_2" TargetMode="External"/><Relationship Id="rId105" Type="http://schemas.openxmlformats.org/officeDocument/2006/relationships/hyperlink" Target="https://en.uesp.net/wiki/Skyrim:Thoron%27s_Journal_-_Volume_1" TargetMode="External"/><Relationship Id="rId104" Type="http://schemas.openxmlformats.org/officeDocument/2006/relationships/hyperlink" Target="https://en.uesp.net/wiki/Skyrim:Thief%27s_Journal" TargetMode="External"/><Relationship Id="rId109" Type="http://schemas.openxmlformats.org/officeDocument/2006/relationships/hyperlink" Target="https://en.uesp.net/wiki/Skyrim:Tolif%27s_Journal" TargetMode="External"/><Relationship Id="rId108" Type="http://schemas.openxmlformats.org/officeDocument/2006/relationships/hyperlink" Target="https://en.uesp.net/wiki/Skyrim:To_Raise_the_Living" TargetMode="External"/><Relationship Id="rId103" Type="http://schemas.openxmlformats.org/officeDocument/2006/relationships/hyperlink" Target="https://en.uesp.net/wiki/Skyrim:Svarig%27s_Journal" TargetMode="External"/><Relationship Id="rId102" Type="http://schemas.openxmlformats.org/officeDocument/2006/relationships/hyperlink" Target="https://en.uesp.net/wiki/Skyrim:Stranger%27s_Journal" TargetMode="External"/><Relationship Id="rId101" Type="http://schemas.openxmlformats.org/officeDocument/2006/relationships/hyperlink" Target="https://en.uesp.net/wiki/Skyrim:Soran%27s_Journal" TargetMode="External"/><Relationship Id="rId100" Type="http://schemas.openxmlformats.org/officeDocument/2006/relationships/hyperlink" Target="https://en.uesp.net/wiki/Skyrim:Skjol%27s_Journal" TargetMode="External"/><Relationship Id="rId121" Type="http://schemas.openxmlformats.org/officeDocument/2006/relationships/hyperlink" Target="https://en.uesp.net/wiki/Skyrim:Yakhtu%27s_Journal" TargetMode="External"/><Relationship Id="rId120" Type="http://schemas.openxmlformats.org/officeDocument/2006/relationships/hyperlink" Target="https://en.uesp.net/wiki/Skyrim:Wild_Horse_Notes" TargetMode="External"/><Relationship Id="rId123" Type="http://schemas.openxmlformats.org/officeDocument/2006/relationships/vmlDrawing" Target="../drawings/vmlDrawing2.vml"/><Relationship Id="rId122" Type="http://schemas.openxmlformats.org/officeDocument/2006/relationships/drawing" Target="../drawings/drawing12.xml"/><Relationship Id="rId95" Type="http://schemas.openxmlformats.org/officeDocument/2006/relationships/hyperlink" Target="https://en.uesp.net/wiki/Skyrim:Sellonus%27s_Journal_Vol._1" TargetMode="External"/><Relationship Id="rId94" Type="http://schemas.openxmlformats.org/officeDocument/2006/relationships/hyperlink" Target="https://en.uesp.net/wiki/Skyrim:Sellonus%27s_Confession" TargetMode="External"/><Relationship Id="rId97" Type="http://schemas.openxmlformats.org/officeDocument/2006/relationships/hyperlink" Target="https://en.uesp.net/wiki/Skyrim:Sellonus%27s_Journal_Vol._3" TargetMode="External"/><Relationship Id="rId96" Type="http://schemas.openxmlformats.org/officeDocument/2006/relationships/hyperlink" Target="https://en.uesp.net/wiki/Skyrim:Sellonus%27s_Journal_Vol._2" TargetMode="External"/><Relationship Id="rId99" Type="http://schemas.openxmlformats.org/officeDocument/2006/relationships/hyperlink" Target="https://en.uesp.net/wiki/Skyrim:Shogarz%27s_Journal" TargetMode="External"/><Relationship Id="rId98" Type="http://schemas.openxmlformats.org/officeDocument/2006/relationships/hyperlink" Target="https://en.uesp.net/wiki/Skyrim:Seviur%27s_Journal" TargetMode="External"/><Relationship Id="rId91" Type="http://schemas.openxmlformats.org/officeDocument/2006/relationships/hyperlink" Target="https://en.uesp.net/wiki/Skyrim:Seducers_Bandit_Leader%27s_Journal" TargetMode="External"/><Relationship Id="rId90" Type="http://schemas.openxmlformats.org/officeDocument/2006/relationships/hyperlink" Target="https://en.uesp.net/wiki/Skyrim:Sculptor_Visthar%27s_Journal" TargetMode="External"/><Relationship Id="rId93" Type="http://schemas.openxmlformats.org/officeDocument/2006/relationships/hyperlink" Target="https://en.uesp.net/wiki/Skyrim:Seeks-Ancient-Artifacts%27_Journal,_v2" TargetMode="External"/><Relationship Id="rId92" Type="http://schemas.openxmlformats.org/officeDocument/2006/relationships/hyperlink" Target="https://en.uesp.net/wiki/Skyrim:Seeks-Ancient-Artifacts%27_Journal,_v1" TargetMode="External"/><Relationship Id="rId118" Type="http://schemas.openxmlformats.org/officeDocument/2006/relationships/hyperlink" Target="https://en.uesp.net/wiki/Skyrim:Viparth%27s_Journal" TargetMode="External"/><Relationship Id="rId117" Type="http://schemas.openxmlformats.org/officeDocument/2006/relationships/hyperlink" Target="https://en.uesp.net/wiki/Skyrim:Vigilant%27s_Report" TargetMode="External"/><Relationship Id="rId116" Type="http://schemas.openxmlformats.org/officeDocument/2006/relationships/hyperlink" Target="https://en.uesp.net/wiki/Skyrim:Vigilant_Enforcer%27s_Journal" TargetMode="External"/><Relationship Id="rId115" Type="http://schemas.openxmlformats.org/officeDocument/2006/relationships/hyperlink" Target="https://en.uesp.net/wiki/Skyrim:Vesparth%27s_Journal" TargetMode="External"/><Relationship Id="rId119" Type="http://schemas.openxmlformats.org/officeDocument/2006/relationships/hyperlink" Target="https://en.uesp.net/wiki/Skyrim:Vonos%27_Journal" TargetMode="External"/><Relationship Id="rId110" Type="http://schemas.openxmlformats.org/officeDocument/2006/relationships/hyperlink" Target="https://en.uesp.net/wiki/Skyrim:Treasure_Hunter%27s_Journal" TargetMode="External"/><Relationship Id="rId114" Type="http://schemas.openxmlformats.org/officeDocument/2006/relationships/hyperlink" Target="https://en.uesp.net/wiki/Skyrim:Vampire_Naturalist%27s_Journal" TargetMode="External"/><Relationship Id="rId113" Type="http://schemas.openxmlformats.org/officeDocument/2006/relationships/hyperlink" Target="https://en.uesp.net/wiki/Skyrim:Urzog%27s_Journal" TargetMode="External"/><Relationship Id="rId112" Type="http://schemas.openxmlformats.org/officeDocument/2006/relationships/hyperlink" Target="https://en.uesp.net/wiki/Skyrim:Urval%27s_Journal" TargetMode="External"/><Relationship Id="rId111" Type="http://schemas.openxmlformats.org/officeDocument/2006/relationships/hyperlink" Target="https://en.uesp.net/wiki/Skyrim:Undercover_Guard%27s_Journal"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4.xml"/><Relationship Id="rId3"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40" Type="http://schemas.openxmlformats.org/officeDocument/2006/relationships/hyperlink" Target="https://en.uesp.net/wiki/Skyrim:Blister_Pod_Cap" TargetMode="External"/><Relationship Id="rId190" Type="http://schemas.openxmlformats.org/officeDocument/2006/relationships/hyperlink" Target="https://en.uesp.net/wiki/Skyrim:Spell_Absorption" TargetMode="External"/><Relationship Id="rId42" Type="http://schemas.openxmlformats.org/officeDocument/2006/relationships/hyperlink" Target="https://en.uesp.net/wiki/Skyrim:Night_Eye_(effect)" TargetMode="External"/><Relationship Id="rId41" Type="http://schemas.openxmlformats.org/officeDocument/2006/relationships/hyperlink" Target="https://en.uesp.net/wiki/Skyrim:Blister_Pod_Cap" TargetMode="External"/><Relationship Id="rId44" Type="http://schemas.openxmlformats.org/officeDocument/2006/relationships/hyperlink" Target="https://en.uesp.net/wiki/Skyrim:Bloodgrass" TargetMode="External"/><Relationship Id="rId194" Type="http://schemas.openxmlformats.org/officeDocument/2006/relationships/hyperlink" Target="https://en.uesp.net/wiki/Skyrim:Luminous_Russula" TargetMode="External"/><Relationship Id="rId43" Type="http://schemas.openxmlformats.org/officeDocument/2006/relationships/hyperlink" Target="https://en.uesp.net/wiki/Skyrim:Blister_Pod_Cap" TargetMode="External"/><Relationship Id="rId193" Type="http://schemas.openxmlformats.org/officeDocument/2006/relationships/hyperlink" Target="https://en.uesp.net/wiki/Skyrim:Luminous_Russula" TargetMode="External"/><Relationship Id="rId46" Type="http://schemas.openxmlformats.org/officeDocument/2006/relationships/hyperlink" Target="https://en.uesp.net/wiki/Skyrim:Bloodgrass" TargetMode="External"/><Relationship Id="rId192" Type="http://schemas.openxmlformats.org/officeDocument/2006/relationships/hyperlink" Target="https://en.uesp.net/wiki/Skyrim:Luminous_Russula" TargetMode="External"/><Relationship Id="rId45" Type="http://schemas.openxmlformats.org/officeDocument/2006/relationships/hyperlink" Target="https://en.uesp.net/wiki/Skyrim:Bloodgrass" TargetMode="External"/><Relationship Id="rId191" Type="http://schemas.openxmlformats.org/officeDocument/2006/relationships/hyperlink" Target="https://en.uesp.net/wiki/Skyrim:Luminous_Russula" TargetMode="External"/><Relationship Id="rId48" Type="http://schemas.openxmlformats.org/officeDocument/2006/relationships/hyperlink" Target="https://en.uesp.net/wiki/Skyrim:Bog_Beacon" TargetMode="External"/><Relationship Id="rId187" Type="http://schemas.openxmlformats.org/officeDocument/2006/relationships/hyperlink" Target="https://en.uesp.net/wiki/Skyrim:Lichor" TargetMode="External"/><Relationship Id="rId47" Type="http://schemas.openxmlformats.org/officeDocument/2006/relationships/hyperlink" Target="https://en.uesp.net/wiki/Skyrim:Bloodgrass" TargetMode="External"/><Relationship Id="rId186" Type="http://schemas.openxmlformats.org/officeDocument/2006/relationships/hyperlink" Target="https://en.uesp.net/wiki/Skyrim:Lichor" TargetMode="External"/><Relationship Id="rId185" Type="http://schemas.openxmlformats.org/officeDocument/2006/relationships/hyperlink" Target="https://en.uesp.net/wiki/Skyrim:Kresh_Fiber" TargetMode="External"/><Relationship Id="rId49" Type="http://schemas.openxmlformats.org/officeDocument/2006/relationships/hyperlink" Target="https://en.uesp.net/wiki/Skyrim:Bog_Beacon" TargetMode="External"/><Relationship Id="rId184" Type="http://schemas.openxmlformats.org/officeDocument/2006/relationships/hyperlink" Target="https://en.uesp.net/wiki/Skyrim:Kresh_Fiber" TargetMode="External"/><Relationship Id="rId189" Type="http://schemas.openxmlformats.org/officeDocument/2006/relationships/hyperlink" Target="https://en.uesp.net/wiki/Skyrim:Lichor" TargetMode="External"/><Relationship Id="rId188" Type="http://schemas.openxmlformats.org/officeDocument/2006/relationships/hyperlink" Target="https://en.uesp.net/wiki/Skyrim:Lichor" TargetMode="External"/><Relationship Id="rId31" Type="http://schemas.openxmlformats.org/officeDocument/2006/relationships/hyperlink" Target="https://en.uesp.net/wiki/Skyrim:Blind_Watcher%27s_Eye" TargetMode="External"/><Relationship Id="rId30" Type="http://schemas.openxmlformats.org/officeDocument/2006/relationships/hyperlink" Target="https://en.uesp.net/wiki/Skyrim:Light" TargetMode="External"/><Relationship Id="rId33" Type="http://schemas.openxmlformats.org/officeDocument/2006/relationships/hyperlink" Target="https://en.uesp.net/wiki/Skyrim:Blind_Watcher%27s_Eye" TargetMode="External"/><Relationship Id="rId183" Type="http://schemas.openxmlformats.org/officeDocument/2006/relationships/hyperlink" Target="https://en.uesp.net/wiki/Skyrim:Kresh_Fiber" TargetMode="External"/><Relationship Id="rId32" Type="http://schemas.openxmlformats.org/officeDocument/2006/relationships/hyperlink" Target="https://en.uesp.net/wiki/Skyrim:Blind_Watcher%27s_Eye" TargetMode="External"/><Relationship Id="rId182" Type="http://schemas.openxmlformats.org/officeDocument/2006/relationships/hyperlink" Target="https://en.uesp.net/wiki/Skyrim:Kresh_Fiber" TargetMode="External"/><Relationship Id="rId35" Type="http://schemas.openxmlformats.org/officeDocument/2006/relationships/hyperlink" Target="https://en.uesp.net/wiki/Skyrim:Bliss_Bug_Thorax" TargetMode="External"/><Relationship Id="rId181" Type="http://schemas.openxmlformats.org/officeDocument/2006/relationships/hyperlink" Target="https://en.uesp.net/wiki/Skyrim:Kagouti_Hide" TargetMode="External"/><Relationship Id="rId34" Type="http://schemas.openxmlformats.org/officeDocument/2006/relationships/hyperlink" Target="https://en.uesp.net/wiki/Skyrim:Spell_Absorption" TargetMode="External"/><Relationship Id="rId180" Type="http://schemas.openxmlformats.org/officeDocument/2006/relationships/hyperlink" Target="https://en.uesp.net/wiki/Skyrim:Kagouti_Hide" TargetMode="External"/><Relationship Id="rId37" Type="http://schemas.openxmlformats.org/officeDocument/2006/relationships/hyperlink" Target="https://en.uesp.net/wiki/Skyrim:Bliss_Bug_Thorax" TargetMode="External"/><Relationship Id="rId176" Type="http://schemas.openxmlformats.org/officeDocument/2006/relationships/hyperlink" Target="https://en.uesp.net/wiki/Skyrim:Juvenile_Mudcrab" TargetMode="External"/><Relationship Id="rId297" Type="http://schemas.openxmlformats.org/officeDocument/2006/relationships/hyperlink" Target="https://en.uesp.net/wiki/Skyrim:Watcher%27s_Eye" TargetMode="External"/><Relationship Id="rId36" Type="http://schemas.openxmlformats.org/officeDocument/2006/relationships/hyperlink" Target="https://en.uesp.net/wiki/Skyrim:Bliss_Bug_Thorax" TargetMode="External"/><Relationship Id="rId175" Type="http://schemas.openxmlformats.org/officeDocument/2006/relationships/hyperlink" Target="https://en.uesp.net/wiki/Skyrim:Juvenile_Mudcrab" TargetMode="External"/><Relationship Id="rId296" Type="http://schemas.openxmlformats.org/officeDocument/2006/relationships/hyperlink" Target="https://en.uesp.net/wiki/Skyrim:Watcher%27s_Eye" TargetMode="External"/><Relationship Id="rId39" Type="http://schemas.openxmlformats.org/officeDocument/2006/relationships/hyperlink" Target="https://en.uesp.net/wiki/Skyrim:Blister_Pod_Cap" TargetMode="External"/><Relationship Id="rId174" Type="http://schemas.openxmlformats.org/officeDocument/2006/relationships/hyperlink" Target="https://en.uesp.net/wiki/Skyrim:Juvenile_Mudcrab" TargetMode="External"/><Relationship Id="rId295" Type="http://schemas.openxmlformats.org/officeDocument/2006/relationships/hyperlink" Target="https://en.uesp.net/wiki/Skyrim:Night_Eye_(effect)" TargetMode="External"/><Relationship Id="rId38" Type="http://schemas.openxmlformats.org/officeDocument/2006/relationships/hyperlink" Target="https://en.uesp.net/wiki/Skyrim:Bliss_Bug_Thorax" TargetMode="External"/><Relationship Id="rId173" Type="http://schemas.openxmlformats.org/officeDocument/2006/relationships/hyperlink" Target="https://en.uesp.net/wiki/Skyrim:Juvenile_Mudcrab" TargetMode="External"/><Relationship Id="rId294" Type="http://schemas.openxmlformats.org/officeDocument/2006/relationships/hyperlink" Target="https://en.uesp.net/wiki/Skyrim:Watcher%27s_Eye" TargetMode="External"/><Relationship Id="rId179" Type="http://schemas.openxmlformats.org/officeDocument/2006/relationships/hyperlink" Target="https://en.uesp.net/wiki/Skyrim:Night_Eye_(effect)" TargetMode="External"/><Relationship Id="rId178" Type="http://schemas.openxmlformats.org/officeDocument/2006/relationships/hyperlink" Target="https://en.uesp.net/wiki/Skyrim:Kagouti_Hide" TargetMode="External"/><Relationship Id="rId299" Type="http://schemas.openxmlformats.org/officeDocument/2006/relationships/hyperlink" Target="https://en.uesp.net/wiki/Skyrim:Spell_Absorption" TargetMode="External"/><Relationship Id="rId177" Type="http://schemas.openxmlformats.org/officeDocument/2006/relationships/hyperlink" Target="https://en.uesp.net/wiki/Skyrim:Kagouti_Hide" TargetMode="External"/><Relationship Id="rId298" Type="http://schemas.openxmlformats.org/officeDocument/2006/relationships/hyperlink" Target="https://en.uesp.net/wiki/Skyrim:Watcher%27s_Eye" TargetMode="External"/><Relationship Id="rId20" Type="http://schemas.openxmlformats.org/officeDocument/2006/relationships/hyperlink" Target="https://en.uesp.net/wiki/Skyrim:Aster_Bloom_Core" TargetMode="External"/><Relationship Id="rId22" Type="http://schemas.openxmlformats.org/officeDocument/2006/relationships/hyperlink" Target="https://en.uesp.net/wiki/Skyrim:Aster_Bloom_Core" TargetMode="External"/><Relationship Id="rId21" Type="http://schemas.openxmlformats.org/officeDocument/2006/relationships/hyperlink" Target="https://en.uesp.net/wiki/Skyrim:Aster_Bloom_Core" TargetMode="External"/><Relationship Id="rId24" Type="http://schemas.openxmlformats.org/officeDocument/2006/relationships/hyperlink" Target="https://en.uesp.net/wiki/Skyrim:Bittergreen_Petals" TargetMode="External"/><Relationship Id="rId23" Type="http://schemas.openxmlformats.org/officeDocument/2006/relationships/hyperlink" Target="https://en.uesp.net/wiki/Skyrim:Aster_Bloom_Core" TargetMode="External"/><Relationship Id="rId26" Type="http://schemas.openxmlformats.org/officeDocument/2006/relationships/hyperlink" Target="https://en.uesp.net/wiki/Skyrim:Bittergreen_Petals" TargetMode="External"/><Relationship Id="rId25" Type="http://schemas.openxmlformats.org/officeDocument/2006/relationships/hyperlink" Target="https://en.uesp.net/wiki/Skyrim:Bittergreen_Petals" TargetMode="External"/><Relationship Id="rId28" Type="http://schemas.openxmlformats.org/officeDocument/2006/relationships/hyperlink" Target="https://en.uesp.net/wiki/Skyrim:Bittergreen_Petals" TargetMode="External"/><Relationship Id="rId27" Type="http://schemas.openxmlformats.org/officeDocument/2006/relationships/hyperlink" Target="https://en.uesp.net/wiki/Skyrim:Cure_Poison" TargetMode="External"/><Relationship Id="rId29" Type="http://schemas.openxmlformats.org/officeDocument/2006/relationships/hyperlink" Target="https://en.uesp.net/wiki/Skyrim:Blind_Watcher%27s_Eye" TargetMode="External"/><Relationship Id="rId11" Type="http://schemas.openxmlformats.org/officeDocument/2006/relationships/hyperlink" Target="https://en.uesp.net/wiki/Skyrim:Cure_Poison" TargetMode="External"/><Relationship Id="rId10" Type="http://schemas.openxmlformats.org/officeDocument/2006/relationships/hyperlink" Target="https://en.uesp.net/wiki/Skyrim:Ambrosia" TargetMode="External"/><Relationship Id="rId13" Type="http://schemas.openxmlformats.org/officeDocument/2006/relationships/hyperlink" Target="https://en.uesp.net/wiki/Skyrim:Angelfish" TargetMode="External"/><Relationship Id="rId12" Type="http://schemas.openxmlformats.org/officeDocument/2006/relationships/hyperlink" Target="https://en.uesp.net/wiki/Skyrim:Angelfish" TargetMode="External"/><Relationship Id="rId15" Type="http://schemas.openxmlformats.org/officeDocument/2006/relationships/hyperlink" Target="https://en.uesp.net/wiki/Skyrim:Angelfish" TargetMode="External"/><Relationship Id="rId198" Type="http://schemas.openxmlformats.org/officeDocument/2006/relationships/hyperlink" Target="https://en.uesp.net/wiki/Skyrim:Lyretail_Anthias" TargetMode="External"/><Relationship Id="rId14" Type="http://schemas.openxmlformats.org/officeDocument/2006/relationships/hyperlink" Target="https://en.uesp.net/wiki/Skyrim:Angelfish" TargetMode="External"/><Relationship Id="rId197" Type="http://schemas.openxmlformats.org/officeDocument/2006/relationships/hyperlink" Target="https://en.uesp.net/wiki/Skyrim:Lyretail_Anthias" TargetMode="External"/><Relationship Id="rId17" Type="http://schemas.openxmlformats.org/officeDocument/2006/relationships/hyperlink" Target="https://en.uesp.net/wiki/Skyrim:Angler_Larvae" TargetMode="External"/><Relationship Id="rId196" Type="http://schemas.openxmlformats.org/officeDocument/2006/relationships/hyperlink" Target="https://en.uesp.net/wiki/Skyrim:Lyretail_Anthias" TargetMode="External"/><Relationship Id="rId16" Type="http://schemas.openxmlformats.org/officeDocument/2006/relationships/hyperlink" Target="https://en.uesp.net/wiki/Skyrim:Angler_Larvae" TargetMode="External"/><Relationship Id="rId195" Type="http://schemas.openxmlformats.org/officeDocument/2006/relationships/hyperlink" Target="https://en.uesp.net/wiki/Skyrim:Lyretail_Anthias" TargetMode="External"/><Relationship Id="rId19" Type="http://schemas.openxmlformats.org/officeDocument/2006/relationships/hyperlink" Target="https://en.uesp.net/wiki/Skyrim:Angler_Larvae" TargetMode="External"/><Relationship Id="rId18" Type="http://schemas.openxmlformats.org/officeDocument/2006/relationships/hyperlink" Target="https://en.uesp.net/wiki/Skyrim:Angler_Larvae" TargetMode="External"/><Relationship Id="rId199" Type="http://schemas.openxmlformats.org/officeDocument/2006/relationships/hyperlink" Target="https://en.uesp.net/wiki/Skyrim:Marshmerrow" TargetMode="External"/><Relationship Id="rId84" Type="http://schemas.openxmlformats.org/officeDocument/2006/relationships/hyperlink" Target="https://en.uesp.net/wiki/Skyrim:Night_Eye_(effect)" TargetMode="External"/><Relationship Id="rId83" Type="http://schemas.openxmlformats.org/officeDocument/2006/relationships/hyperlink" Target="https://en.uesp.net/wiki/Skyrim:Daedra_Silk" TargetMode="External"/><Relationship Id="rId86" Type="http://schemas.openxmlformats.org/officeDocument/2006/relationships/hyperlink" Target="https://en.uesp.net/wiki/Skyrim:Daedra_Venin" TargetMode="External"/><Relationship Id="rId85" Type="http://schemas.openxmlformats.org/officeDocument/2006/relationships/hyperlink" Target="https://en.uesp.net/wiki/Skyrim:Daedra_Silk" TargetMode="External"/><Relationship Id="rId88" Type="http://schemas.openxmlformats.org/officeDocument/2006/relationships/hyperlink" Target="https://en.uesp.net/wiki/Skyrim:Daedra_Venin" TargetMode="External"/><Relationship Id="rId150" Type="http://schemas.openxmlformats.org/officeDocument/2006/relationships/hyperlink" Target="https://en.uesp.net/wiki/Skyrim:Hunger_Tongue" TargetMode="External"/><Relationship Id="rId271" Type="http://schemas.openxmlformats.org/officeDocument/2006/relationships/hyperlink" Target="https://en.uesp.net/wiki/Skyrim:Spadefish" TargetMode="External"/><Relationship Id="rId87" Type="http://schemas.openxmlformats.org/officeDocument/2006/relationships/hyperlink" Target="https://en.uesp.net/wiki/Skyrim:Daedra_Venin" TargetMode="External"/><Relationship Id="rId270" Type="http://schemas.openxmlformats.org/officeDocument/2006/relationships/hyperlink" Target="https://en.uesp.net/wiki/Skyrim:Spadefish" TargetMode="External"/><Relationship Id="rId89" Type="http://schemas.openxmlformats.org/officeDocument/2006/relationships/hyperlink" Target="https://en.uesp.net/wiki/Skyrim:Daedra_Venin" TargetMode="External"/><Relationship Id="rId80" Type="http://schemas.openxmlformats.org/officeDocument/2006/relationships/hyperlink" Target="https://en.uesp.net/wiki/Skyrim:Corkbulb_Root" TargetMode="External"/><Relationship Id="rId82" Type="http://schemas.openxmlformats.org/officeDocument/2006/relationships/hyperlink" Target="https://en.uesp.net/wiki/Skyrim:Daedra_Silk" TargetMode="External"/><Relationship Id="rId81" Type="http://schemas.openxmlformats.org/officeDocument/2006/relationships/hyperlink" Target="https://en.uesp.net/wiki/Skyrim:Daedra_Silk" TargetMode="External"/><Relationship Id="rId1" Type="http://schemas.openxmlformats.org/officeDocument/2006/relationships/comments" Target="../comments5.xml"/><Relationship Id="rId2" Type="http://schemas.openxmlformats.org/officeDocument/2006/relationships/hyperlink" Target="https://en.uesp.net/wiki/Skyrim:Alocasia_Fruit" TargetMode="External"/><Relationship Id="rId3" Type="http://schemas.openxmlformats.org/officeDocument/2006/relationships/hyperlink" Target="https://en.uesp.net/wiki/Skyrim:Alocasia_Fruit" TargetMode="External"/><Relationship Id="rId149" Type="http://schemas.openxmlformats.org/officeDocument/2006/relationships/hyperlink" Target="https://en.uesp.net/wiki/Skyrim:Heart_of_Order" TargetMode="External"/><Relationship Id="rId4" Type="http://schemas.openxmlformats.org/officeDocument/2006/relationships/hyperlink" Target="https://en.uesp.net/wiki/Skyrim:Light" TargetMode="External"/><Relationship Id="rId148" Type="http://schemas.openxmlformats.org/officeDocument/2006/relationships/hyperlink" Target="https://en.uesp.net/wiki/Skyrim:Heart_of_Order" TargetMode="External"/><Relationship Id="rId269" Type="http://schemas.openxmlformats.org/officeDocument/2006/relationships/hyperlink" Target="https://en.uesp.net/wiki/Skyrim:Sload_Soap" TargetMode="External"/><Relationship Id="rId9" Type="http://schemas.openxmlformats.org/officeDocument/2006/relationships/hyperlink" Target="https://en.uesp.net/wiki/Skyrim:Ambrosia" TargetMode="External"/><Relationship Id="rId143" Type="http://schemas.openxmlformats.org/officeDocument/2006/relationships/hyperlink" Target="https://en.uesp.net/wiki/Skyrim:Harrada" TargetMode="External"/><Relationship Id="rId264" Type="http://schemas.openxmlformats.org/officeDocument/2006/relationships/hyperlink" Target="https://en.uesp.net/wiki/Skyrim:Scrib_Jerky" TargetMode="External"/><Relationship Id="rId142" Type="http://schemas.openxmlformats.org/officeDocument/2006/relationships/hyperlink" Target="https://en.uesp.net/wiki/Skyrim:Harrada" TargetMode="External"/><Relationship Id="rId263" Type="http://schemas.openxmlformats.org/officeDocument/2006/relationships/hyperlink" Target="https://en.uesp.net/wiki/Skyrim:Scrib_Jerky" TargetMode="External"/><Relationship Id="rId141" Type="http://schemas.openxmlformats.org/officeDocument/2006/relationships/hyperlink" Target="https://en.uesp.net/wiki/Skyrim:Hackle-Lo_Leaf" TargetMode="External"/><Relationship Id="rId262" Type="http://schemas.openxmlformats.org/officeDocument/2006/relationships/hyperlink" Target="https://en.uesp.net/wiki/Skyrim:Scrib_Jerky" TargetMode="External"/><Relationship Id="rId140" Type="http://schemas.openxmlformats.org/officeDocument/2006/relationships/hyperlink" Target="https://en.uesp.net/wiki/Skyrim:Hackle-Lo_Leaf" TargetMode="External"/><Relationship Id="rId261" Type="http://schemas.openxmlformats.org/officeDocument/2006/relationships/hyperlink" Target="https://en.uesp.net/wiki/Skyrim:Scrib_Jelly" TargetMode="External"/><Relationship Id="rId5" Type="http://schemas.openxmlformats.org/officeDocument/2006/relationships/hyperlink" Target="https://en.uesp.net/wiki/Skyrim:Alocasia_Fruit" TargetMode="External"/><Relationship Id="rId147" Type="http://schemas.openxmlformats.org/officeDocument/2006/relationships/hyperlink" Target="https://en.uesp.net/wiki/Skyrim:Heart_of_Order" TargetMode="External"/><Relationship Id="rId268" Type="http://schemas.openxmlformats.org/officeDocument/2006/relationships/hyperlink" Target="https://en.uesp.net/wiki/Skyrim:Sload_Soap" TargetMode="External"/><Relationship Id="rId6" Type="http://schemas.openxmlformats.org/officeDocument/2006/relationships/hyperlink" Target="https://en.uesp.net/wiki/Skyrim:Alocasia_Fruit" TargetMode="External"/><Relationship Id="rId146" Type="http://schemas.openxmlformats.org/officeDocument/2006/relationships/hyperlink" Target="https://en.uesp.net/wiki/Skyrim:Heart_of_Order" TargetMode="External"/><Relationship Id="rId267" Type="http://schemas.openxmlformats.org/officeDocument/2006/relationships/hyperlink" Target="https://en.uesp.net/wiki/Skyrim:Sload_Soap" TargetMode="External"/><Relationship Id="rId7" Type="http://schemas.openxmlformats.org/officeDocument/2006/relationships/hyperlink" Target="https://en.uesp.net/wiki/Skyrim:Ambrosia" TargetMode="External"/><Relationship Id="rId145" Type="http://schemas.openxmlformats.org/officeDocument/2006/relationships/hyperlink" Target="https://en.uesp.net/wiki/Skyrim:Harrada" TargetMode="External"/><Relationship Id="rId266" Type="http://schemas.openxmlformats.org/officeDocument/2006/relationships/hyperlink" Target="https://en.uesp.net/wiki/Skyrim:Sload_Soap" TargetMode="External"/><Relationship Id="rId8" Type="http://schemas.openxmlformats.org/officeDocument/2006/relationships/hyperlink" Target="https://en.uesp.net/wiki/Skyrim:Ambrosia" TargetMode="External"/><Relationship Id="rId144" Type="http://schemas.openxmlformats.org/officeDocument/2006/relationships/hyperlink" Target="https://en.uesp.net/wiki/Skyrim:Harrada" TargetMode="External"/><Relationship Id="rId265" Type="http://schemas.openxmlformats.org/officeDocument/2006/relationships/hyperlink" Target="https://en.uesp.net/wiki/Skyrim:Scrib_Jerky" TargetMode="External"/><Relationship Id="rId73" Type="http://schemas.openxmlformats.org/officeDocument/2006/relationships/hyperlink" Target="https://en.uesp.net/wiki/Skyrim:Congealed_Putrescence" TargetMode="External"/><Relationship Id="rId72" Type="http://schemas.openxmlformats.org/officeDocument/2006/relationships/hyperlink" Target="https://en.uesp.net/wiki/Skyrim:Comberry" TargetMode="External"/><Relationship Id="rId75" Type="http://schemas.openxmlformats.org/officeDocument/2006/relationships/hyperlink" Target="https://en.uesp.net/wiki/Skyrim:Congealed_Putrescence" TargetMode="External"/><Relationship Id="rId74" Type="http://schemas.openxmlformats.org/officeDocument/2006/relationships/hyperlink" Target="https://en.uesp.net/wiki/Skyrim:Congealed_Putrescence" TargetMode="External"/><Relationship Id="rId77" Type="http://schemas.openxmlformats.org/officeDocument/2006/relationships/hyperlink" Target="https://en.uesp.net/wiki/Skyrim:Corkbulb_Root" TargetMode="External"/><Relationship Id="rId260" Type="http://schemas.openxmlformats.org/officeDocument/2006/relationships/hyperlink" Target="https://en.uesp.net/wiki/Skyrim:Scrib_Jelly" TargetMode="External"/><Relationship Id="rId76" Type="http://schemas.openxmlformats.org/officeDocument/2006/relationships/hyperlink" Target="https://en.uesp.net/wiki/Skyrim:Congealed_Putrescence" TargetMode="External"/><Relationship Id="rId79" Type="http://schemas.openxmlformats.org/officeDocument/2006/relationships/hyperlink" Target="https://en.uesp.net/wiki/Skyrim:Corkbulb_Root" TargetMode="External"/><Relationship Id="rId78" Type="http://schemas.openxmlformats.org/officeDocument/2006/relationships/hyperlink" Target="https://en.uesp.net/wiki/Skyrim:Corkbulb_Root" TargetMode="External"/><Relationship Id="rId71" Type="http://schemas.openxmlformats.org/officeDocument/2006/relationships/hyperlink" Target="https://en.uesp.net/wiki/Skyrim:Comberry" TargetMode="External"/><Relationship Id="rId70" Type="http://schemas.openxmlformats.org/officeDocument/2006/relationships/hyperlink" Target="https://en.uesp.net/wiki/Skyrim:Spell_Absorption" TargetMode="External"/><Relationship Id="rId139" Type="http://schemas.openxmlformats.org/officeDocument/2006/relationships/hyperlink" Target="https://en.uesp.net/wiki/Skyrim:Hackle-Lo_Leaf" TargetMode="External"/><Relationship Id="rId138" Type="http://schemas.openxmlformats.org/officeDocument/2006/relationships/hyperlink" Target="https://en.uesp.net/wiki/Skyrim:Hackle-Lo_Leaf" TargetMode="External"/><Relationship Id="rId259" Type="http://schemas.openxmlformats.org/officeDocument/2006/relationships/hyperlink" Target="https://en.uesp.net/wiki/Skyrim:Cure_Poison" TargetMode="External"/><Relationship Id="rId137" Type="http://schemas.openxmlformats.org/officeDocument/2006/relationships/hyperlink" Target="https://en.uesp.net/wiki/Skyrim:Green_Butterfly_Wing" TargetMode="External"/><Relationship Id="rId258" Type="http://schemas.openxmlformats.org/officeDocument/2006/relationships/hyperlink" Target="https://en.uesp.net/wiki/Skyrim:Scrib_Jelly" TargetMode="External"/><Relationship Id="rId132" Type="http://schemas.openxmlformats.org/officeDocument/2006/relationships/hyperlink" Target="https://en.uesp.net/wiki/Skyrim:Gold_Kanet" TargetMode="External"/><Relationship Id="rId253" Type="http://schemas.openxmlformats.org/officeDocument/2006/relationships/hyperlink" Target="https://en.uesp.net/wiki/Skyrim:Screaming_Maw" TargetMode="External"/><Relationship Id="rId131" Type="http://schemas.openxmlformats.org/officeDocument/2006/relationships/hyperlink" Target="https://en.uesp.net/wiki/Skyrim:Gold_Kanet" TargetMode="External"/><Relationship Id="rId252" Type="http://schemas.openxmlformats.org/officeDocument/2006/relationships/hyperlink" Target="https://en.uesp.net/wiki/Skyrim:Scalon_Fin" TargetMode="External"/><Relationship Id="rId130" Type="http://schemas.openxmlformats.org/officeDocument/2006/relationships/hyperlink" Target="https://en.uesp.net/wiki/Skyrim:Gold_Kanet" TargetMode="External"/><Relationship Id="rId251" Type="http://schemas.openxmlformats.org/officeDocument/2006/relationships/hyperlink" Target="https://en.uesp.net/wiki/Skyrim:Scalon_Fin" TargetMode="External"/><Relationship Id="rId250" Type="http://schemas.openxmlformats.org/officeDocument/2006/relationships/hyperlink" Target="https://en.uesp.net/wiki/Skyrim:Scalon_Fin" TargetMode="External"/><Relationship Id="rId136" Type="http://schemas.openxmlformats.org/officeDocument/2006/relationships/hyperlink" Target="https://en.uesp.net/wiki/Skyrim:Green_Butterfly_Wing" TargetMode="External"/><Relationship Id="rId257" Type="http://schemas.openxmlformats.org/officeDocument/2006/relationships/hyperlink" Target="https://en.uesp.net/wiki/Skyrim:Scrib_Jelly" TargetMode="External"/><Relationship Id="rId135" Type="http://schemas.openxmlformats.org/officeDocument/2006/relationships/hyperlink" Target="https://en.uesp.net/wiki/Skyrim:Green_Butterfly_Wing" TargetMode="External"/><Relationship Id="rId256" Type="http://schemas.openxmlformats.org/officeDocument/2006/relationships/hyperlink" Target="https://en.uesp.net/wiki/Skyrim:Screaming_Maw" TargetMode="External"/><Relationship Id="rId134" Type="http://schemas.openxmlformats.org/officeDocument/2006/relationships/hyperlink" Target="https://en.uesp.net/wiki/Skyrim:Green_Butterfly_Wing" TargetMode="External"/><Relationship Id="rId255" Type="http://schemas.openxmlformats.org/officeDocument/2006/relationships/hyperlink" Target="https://en.uesp.net/wiki/Skyrim:Screaming_Maw" TargetMode="External"/><Relationship Id="rId133" Type="http://schemas.openxmlformats.org/officeDocument/2006/relationships/hyperlink" Target="https://en.uesp.net/wiki/Skyrim:Gold_Kanet" TargetMode="External"/><Relationship Id="rId254" Type="http://schemas.openxmlformats.org/officeDocument/2006/relationships/hyperlink" Target="https://en.uesp.net/wiki/Skyrim:Screaming_Maw" TargetMode="External"/><Relationship Id="rId62" Type="http://schemas.openxmlformats.org/officeDocument/2006/relationships/hyperlink" Target="https://en.uesp.net/wiki/Skyrim:Chokeweed" TargetMode="External"/><Relationship Id="rId61" Type="http://schemas.openxmlformats.org/officeDocument/2006/relationships/hyperlink" Target="https://en.uesp.net/wiki/Skyrim:Chokeweed" TargetMode="External"/><Relationship Id="rId64" Type="http://schemas.openxmlformats.org/officeDocument/2006/relationships/hyperlink" Target="https://en.uesp.net/wiki/Skyrim:Coda_Flower" TargetMode="External"/><Relationship Id="rId63" Type="http://schemas.openxmlformats.org/officeDocument/2006/relationships/hyperlink" Target="https://en.uesp.net/wiki/Skyrim:Chokeweed" TargetMode="External"/><Relationship Id="rId66" Type="http://schemas.openxmlformats.org/officeDocument/2006/relationships/hyperlink" Target="https://en.uesp.net/wiki/Skyrim:Coda_Flower" TargetMode="External"/><Relationship Id="rId172" Type="http://schemas.openxmlformats.org/officeDocument/2006/relationships/hyperlink" Target="https://en.uesp.net/wiki/Skyrim:Ironwood_Fruit" TargetMode="External"/><Relationship Id="rId293" Type="http://schemas.openxmlformats.org/officeDocument/2006/relationships/hyperlink" Target="https://en.uesp.net/wiki/Skyrim:Void_Essence" TargetMode="External"/><Relationship Id="rId65" Type="http://schemas.openxmlformats.org/officeDocument/2006/relationships/hyperlink" Target="https://en.uesp.net/wiki/Skyrim:Coda_Flower" TargetMode="External"/><Relationship Id="rId171" Type="http://schemas.openxmlformats.org/officeDocument/2006/relationships/hyperlink" Target="https://en.uesp.net/wiki/Skyrim:Ironwood_Fruit" TargetMode="External"/><Relationship Id="rId292" Type="http://schemas.openxmlformats.org/officeDocument/2006/relationships/hyperlink" Target="https://en.uesp.net/wiki/Skyrim:Void_Essence" TargetMode="External"/><Relationship Id="rId68" Type="http://schemas.openxmlformats.org/officeDocument/2006/relationships/hyperlink" Target="https://en.uesp.net/wiki/Skyrim:Comberry" TargetMode="External"/><Relationship Id="rId170" Type="http://schemas.openxmlformats.org/officeDocument/2006/relationships/hyperlink" Target="https://en.uesp.net/wiki/Skyrim:Ironwood_Fruit" TargetMode="External"/><Relationship Id="rId291" Type="http://schemas.openxmlformats.org/officeDocument/2006/relationships/hyperlink" Target="https://en.uesp.net/wiki/Skyrim:Void_Essence" TargetMode="External"/><Relationship Id="rId67" Type="http://schemas.openxmlformats.org/officeDocument/2006/relationships/hyperlink" Target="https://en.uesp.net/wiki/Skyrim:Coda_Flower" TargetMode="External"/><Relationship Id="rId290" Type="http://schemas.openxmlformats.org/officeDocument/2006/relationships/hyperlink" Target="https://en.uesp.net/wiki/Skyrim:Void_Essence" TargetMode="External"/><Relationship Id="rId60" Type="http://schemas.openxmlformats.org/officeDocument/2006/relationships/hyperlink" Target="https://en.uesp.net/wiki/Skyrim:Chokeweed" TargetMode="External"/><Relationship Id="rId165" Type="http://schemas.openxmlformats.org/officeDocument/2006/relationships/hyperlink" Target="https://en.uesp.net/wiki/Skyrim:Imp_Gall" TargetMode="External"/><Relationship Id="rId286" Type="http://schemas.openxmlformats.org/officeDocument/2006/relationships/hyperlink" Target="https://en.uesp.net/wiki/Skyrim:Thorn_Hook" TargetMode="External"/><Relationship Id="rId69" Type="http://schemas.openxmlformats.org/officeDocument/2006/relationships/hyperlink" Target="https://en.uesp.net/wiki/Skyrim:Comberry" TargetMode="External"/><Relationship Id="rId164" Type="http://schemas.openxmlformats.org/officeDocument/2006/relationships/hyperlink" Target="https://en.uesp.net/wiki/Skyrim:Imp_Gall" TargetMode="External"/><Relationship Id="rId285" Type="http://schemas.openxmlformats.org/officeDocument/2006/relationships/hyperlink" Target="https://en.uesp.net/wiki/Skyrim:Stoneflower_Petals" TargetMode="External"/><Relationship Id="rId163" Type="http://schemas.openxmlformats.org/officeDocument/2006/relationships/hyperlink" Target="https://en.uesp.net/wiki/Skyrim:Hypha_Facia" TargetMode="External"/><Relationship Id="rId284" Type="http://schemas.openxmlformats.org/officeDocument/2006/relationships/hyperlink" Target="https://en.uesp.net/wiki/Skyrim:Stoneflower_Petals" TargetMode="External"/><Relationship Id="rId162" Type="http://schemas.openxmlformats.org/officeDocument/2006/relationships/hyperlink" Target="https://en.uesp.net/wiki/Skyrim:Hypha_Facia" TargetMode="External"/><Relationship Id="rId283" Type="http://schemas.openxmlformats.org/officeDocument/2006/relationships/hyperlink" Target="https://en.uesp.net/wiki/Skyrim:Stoneflower_Petals" TargetMode="External"/><Relationship Id="rId169" Type="http://schemas.openxmlformats.org/officeDocument/2006/relationships/hyperlink" Target="https://en.uesp.net/wiki/Skyrim:Ironwood_Fruit" TargetMode="External"/><Relationship Id="rId168" Type="http://schemas.openxmlformats.org/officeDocument/2006/relationships/hyperlink" Target="https://en.uesp.net/wiki/Skyrim:Cure_Poison" TargetMode="External"/><Relationship Id="rId289" Type="http://schemas.openxmlformats.org/officeDocument/2006/relationships/hyperlink" Target="https://en.uesp.net/wiki/Skyrim:Thorn_Hook" TargetMode="External"/><Relationship Id="rId167" Type="http://schemas.openxmlformats.org/officeDocument/2006/relationships/hyperlink" Target="https://en.uesp.net/wiki/Skyrim:Imp_Gall" TargetMode="External"/><Relationship Id="rId288" Type="http://schemas.openxmlformats.org/officeDocument/2006/relationships/hyperlink" Target="https://en.uesp.net/wiki/Skyrim:Thorn_Hook" TargetMode="External"/><Relationship Id="rId166" Type="http://schemas.openxmlformats.org/officeDocument/2006/relationships/hyperlink" Target="https://en.uesp.net/wiki/Skyrim:Imp_Gall" TargetMode="External"/><Relationship Id="rId287" Type="http://schemas.openxmlformats.org/officeDocument/2006/relationships/hyperlink" Target="https://en.uesp.net/wiki/Skyrim:Thorn_Hook" TargetMode="External"/><Relationship Id="rId51" Type="http://schemas.openxmlformats.org/officeDocument/2006/relationships/hyperlink" Target="https://en.uesp.net/wiki/Skyrim:Bog_Beacon" TargetMode="External"/><Relationship Id="rId50" Type="http://schemas.openxmlformats.org/officeDocument/2006/relationships/hyperlink" Target="https://en.uesp.net/wiki/Skyrim:Bog_Beacon" TargetMode="External"/><Relationship Id="rId53" Type="http://schemas.openxmlformats.org/officeDocument/2006/relationships/hyperlink" Target="https://en.uesp.net/wiki/Skyrim:Bungler%27s_Bane" TargetMode="External"/><Relationship Id="rId52" Type="http://schemas.openxmlformats.org/officeDocument/2006/relationships/hyperlink" Target="https://en.uesp.net/wiki/Skyrim:Bungler%27s_Bane" TargetMode="External"/><Relationship Id="rId55" Type="http://schemas.openxmlformats.org/officeDocument/2006/relationships/hyperlink" Target="https://en.uesp.net/wiki/Skyrim:Bungler%27s_Bane" TargetMode="External"/><Relationship Id="rId161" Type="http://schemas.openxmlformats.org/officeDocument/2006/relationships/hyperlink" Target="https://en.uesp.net/wiki/Skyrim:Hypha_Facia" TargetMode="External"/><Relationship Id="rId282" Type="http://schemas.openxmlformats.org/officeDocument/2006/relationships/hyperlink" Target="https://en.uesp.net/wiki/Skyrim:Stoneflower_Petals" TargetMode="External"/><Relationship Id="rId54" Type="http://schemas.openxmlformats.org/officeDocument/2006/relationships/hyperlink" Target="https://en.uesp.net/wiki/Skyrim:Bungler%27s_Bane" TargetMode="External"/><Relationship Id="rId160" Type="http://schemas.openxmlformats.org/officeDocument/2006/relationships/hyperlink" Target="https://en.uesp.net/wiki/Skyrim:Hypha_Facia" TargetMode="External"/><Relationship Id="rId281" Type="http://schemas.openxmlformats.org/officeDocument/2006/relationships/hyperlink" Target="https://en.uesp.net/wiki/Skyrim:Steel-Blue_Entoloma" TargetMode="External"/><Relationship Id="rId57" Type="http://schemas.openxmlformats.org/officeDocument/2006/relationships/hyperlink" Target="https://en.uesp.net/wiki/Skyrim:Chokeberry" TargetMode="External"/><Relationship Id="rId280" Type="http://schemas.openxmlformats.org/officeDocument/2006/relationships/hyperlink" Target="https://en.uesp.net/wiki/Skyrim:Steel-Blue_Entoloma" TargetMode="External"/><Relationship Id="rId56" Type="http://schemas.openxmlformats.org/officeDocument/2006/relationships/hyperlink" Target="https://en.uesp.net/wiki/Skyrim:Chokeberry" TargetMode="External"/><Relationship Id="rId159" Type="http://schemas.openxmlformats.org/officeDocument/2006/relationships/hyperlink" Target="https://en.uesp.net/wiki/Skyrim:Light" TargetMode="External"/><Relationship Id="rId59" Type="http://schemas.openxmlformats.org/officeDocument/2006/relationships/hyperlink" Target="https://en.uesp.net/wiki/Skyrim:Chokeberry" TargetMode="External"/><Relationship Id="rId154" Type="http://schemas.openxmlformats.org/officeDocument/2006/relationships/hyperlink" Target="https://en.uesp.net/wiki/Skyrim:Hunger_Tongue" TargetMode="External"/><Relationship Id="rId275" Type="http://schemas.openxmlformats.org/officeDocument/2006/relationships/hyperlink" Target="https://en.uesp.net/wiki/Skyrim:Spiddal_Stick" TargetMode="External"/><Relationship Id="rId58" Type="http://schemas.openxmlformats.org/officeDocument/2006/relationships/hyperlink" Target="https://en.uesp.net/wiki/Skyrim:Chokeberry" TargetMode="External"/><Relationship Id="rId153" Type="http://schemas.openxmlformats.org/officeDocument/2006/relationships/hyperlink" Target="https://en.uesp.net/wiki/Skyrim:Cure_Poison" TargetMode="External"/><Relationship Id="rId274" Type="http://schemas.openxmlformats.org/officeDocument/2006/relationships/hyperlink" Target="https://en.uesp.net/wiki/Skyrim:Spiddal_Stick" TargetMode="External"/><Relationship Id="rId152" Type="http://schemas.openxmlformats.org/officeDocument/2006/relationships/hyperlink" Target="https://en.uesp.net/wiki/Skyrim:Hunger_Tongue" TargetMode="External"/><Relationship Id="rId273" Type="http://schemas.openxmlformats.org/officeDocument/2006/relationships/hyperlink" Target="https://en.uesp.net/wiki/Skyrim:Spadefish" TargetMode="External"/><Relationship Id="rId151" Type="http://schemas.openxmlformats.org/officeDocument/2006/relationships/hyperlink" Target="https://en.uesp.net/wiki/Skyrim:Hunger_Tongue" TargetMode="External"/><Relationship Id="rId272" Type="http://schemas.openxmlformats.org/officeDocument/2006/relationships/hyperlink" Target="https://en.uesp.net/wiki/Skyrim:Spadefish" TargetMode="External"/><Relationship Id="rId158" Type="http://schemas.openxmlformats.org/officeDocument/2006/relationships/hyperlink" Target="https://en.uesp.net/wiki/Skyrim:Hydnum_Azure_Giant_Spore" TargetMode="External"/><Relationship Id="rId279" Type="http://schemas.openxmlformats.org/officeDocument/2006/relationships/hyperlink" Target="https://en.uesp.net/wiki/Skyrim:Steel-Blue_Entoloma" TargetMode="External"/><Relationship Id="rId157" Type="http://schemas.openxmlformats.org/officeDocument/2006/relationships/hyperlink" Target="https://en.uesp.net/wiki/Skyrim:Hydnum_Azure_Giant_Spore" TargetMode="External"/><Relationship Id="rId278" Type="http://schemas.openxmlformats.org/officeDocument/2006/relationships/hyperlink" Target="https://en.uesp.net/wiki/Skyrim:Steel-Blue_Entoloma" TargetMode="External"/><Relationship Id="rId156" Type="http://schemas.openxmlformats.org/officeDocument/2006/relationships/hyperlink" Target="https://en.uesp.net/wiki/Skyrim:Hydnum_Azure_Giant_Spore" TargetMode="External"/><Relationship Id="rId277" Type="http://schemas.openxmlformats.org/officeDocument/2006/relationships/hyperlink" Target="https://en.uesp.net/wiki/Skyrim:Spiddal_Stick" TargetMode="External"/><Relationship Id="rId155" Type="http://schemas.openxmlformats.org/officeDocument/2006/relationships/hyperlink" Target="https://en.uesp.net/wiki/Skyrim:Hydnum_Azure_Giant_Spore" TargetMode="External"/><Relationship Id="rId276" Type="http://schemas.openxmlformats.org/officeDocument/2006/relationships/hyperlink" Target="https://en.uesp.net/wiki/Skyrim:Spiddal_Stick" TargetMode="External"/><Relationship Id="rId107" Type="http://schemas.openxmlformats.org/officeDocument/2006/relationships/hyperlink" Target="https://en.uesp.net/wiki/Skyrim:Spell_Absorption" TargetMode="External"/><Relationship Id="rId228" Type="http://schemas.openxmlformats.org/officeDocument/2006/relationships/hyperlink" Target="https://en.uesp.net/wiki/Skyrim:Red_Kelp_Gas_Bladder" TargetMode="External"/><Relationship Id="rId106" Type="http://schemas.openxmlformats.org/officeDocument/2006/relationships/hyperlink" Target="https://en.uesp.net/wiki/Skyrim:Fire_Petal" TargetMode="External"/><Relationship Id="rId227" Type="http://schemas.openxmlformats.org/officeDocument/2006/relationships/hyperlink" Target="https://en.uesp.net/wiki/Skyrim:Red_Kelp_Gas_Bladder" TargetMode="External"/><Relationship Id="rId105" Type="http://schemas.openxmlformats.org/officeDocument/2006/relationships/hyperlink" Target="https://en.uesp.net/wiki/Skyrim:Fire_Petal" TargetMode="External"/><Relationship Id="rId226" Type="http://schemas.openxmlformats.org/officeDocument/2006/relationships/hyperlink" Target="https://en.uesp.net/wiki/Skyrim:Pygmy_Sunfish" TargetMode="External"/><Relationship Id="rId104" Type="http://schemas.openxmlformats.org/officeDocument/2006/relationships/hyperlink" Target="https://en.uesp.net/wiki/Skyrim:Fire_Petal" TargetMode="External"/><Relationship Id="rId225" Type="http://schemas.openxmlformats.org/officeDocument/2006/relationships/hyperlink" Target="https://en.uesp.net/wiki/Skyrim:Pygmy_Sunfish" TargetMode="External"/><Relationship Id="rId109" Type="http://schemas.openxmlformats.org/officeDocument/2006/relationships/hyperlink" Target="https://en.uesp.net/wiki/Skyrim:Flame_Stalk" TargetMode="External"/><Relationship Id="rId108" Type="http://schemas.openxmlformats.org/officeDocument/2006/relationships/hyperlink" Target="https://en.uesp.net/wiki/Skyrim:Fire_Petal" TargetMode="External"/><Relationship Id="rId229" Type="http://schemas.openxmlformats.org/officeDocument/2006/relationships/hyperlink" Target="https://en.uesp.net/wiki/Skyrim:Red_Kelp_Gas_Bladder" TargetMode="External"/><Relationship Id="rId220" Type="http://schemas.openxmlformats.org/officeDocument/2006/relationships/hyperlink" Target="https://en.uesp.net/wiki/Skyrim:Purple_Butterfly_Wing" TargetMode="External"/><Relationship Id="rId103" Type="http://schemas.openxmlformats.org/officeDocument/2006/relationships/hyperlink" Target="https://en.uesp.net/wiki/Skyrim:Elytra_Ichor" TargetMode="External"/><Relationship Id="rId224" Type="http://schemas.openxmlformats.org/officeDocument/2006/relationships/hyperlink" Target="https://en.uesp.net/wiki/Skyrim:Pygmy_Sunfish" TargetMode="External"/><Relationship Id="rId102" Type="http://schemas.openxmlformats.org/officeDocument/2006/relationships/hyperlink" Target="https://en.uesp.net/wiki/Skyrim:Elytra_Ichor" TargetMode="External"/><Relationship Id="rId223" Type="http://schemas.openxmlformats.org/officeDocument/2006/relationships/hyperlink" Target="https://en.uesp.net/wiki/Skyrim:Pygmy_Sunfish" TargetMode="External"/><Relationship Id="rId101" Type="http://schemas.openxmlformats.org/officeDocument/2006/relationships/hyperlink" Target="https://en.uesp.net/wiki/Skyrim:Elytra_Ichor" TargetMode="External"/><Relationship Id="rId222" Type="http://schemas.openxmlformats.org/officeDocument/2006/relationships/hyperlink" Target="https://en.uesp.net/wiki/Skyrim:Purple_Butterfly_Wing" TargetMode="External"/><Relationship Id="rId100" Type="http://schemas.openxmlformats.org/officeDocument/2006/relationships/hyperlink" Target="https://en.uesp.net/wiki/Skyrim:Elytra_Ichor" TargetMode="External"/><Relationship Id="rId221" Type="http://schemas.openxmlformats.org/officeDocument/2006/relationships/hyperlink" Target="https://en.uesp.net/wiki/Skyrim:Purple_Butterfly_Wing" TargetMode="External"/><Relationship Id="rId217" Type="http://schemas.openxmlformats.org/officeDocument/2006/relationships/hyperlink" Target="https://en.uesp.net/wiki/Skyrim:Pearlfish" TargetMode="External"/><Relationship Id="rId216" Type="http://schemas.openxmlformats.org/officeDocument/2006/relationships/hyperlink" Target="https://en.uesp.net/wiki/Skyrim:Pearlfish" TargetMode="External"/><Relationship Id="rId215" Type="http://schemas.openxmlformats.org/officeDocument/2006/relationships/hyperlink" Target="https://en.uesp.net/wiki/Skyrim:Pearlfish" TargetMode="External"/><Relationship Id="rId214" Type="http://schemas.openxmlformats.org/officeDocument/2006/relationships/hyperlink" Target="https://en.uesp.net/wiki/Skyrim:Ogre%27s_Teeth" TargetMode="External"/><Relationship Id="rId219" Type="http://schemas.openxmlformats.org/officeDocument/2006/relationships/hyperlink" Target="https://en.uesp.net/wiki/Skyrim:Purple_Butterfly_Wing" TargetMode="External"/><Relationship Id="rId218" Type="http://schemas.openxmlformats.org/officeDocument/2006/relationships/hyperlink" Target="https://en.uesp.net/wiki/Skyrim:Pearlfish" TargetMode="External"/><Relationship Id="rId213" Type="http://schemas.openxmlformats.org/officeDocument/2006/relationships/hyperlink" Target="https://en.uesp.net/wiki/Skyrim:Ogre%27s_Teeth" TargetMode="External"/><Relationship Id="rId212" Type="http://schemas.openxmlformats.org/officeDocument/2006/relationships/hyperlink" Target="https://en.uesp.net/wiki/Skyrim:Ogre%27s_Teeth" TargetMode="External"/><Relationship Id="rId211" Type="http://schemas.openxmlformats.org/officeDocument/2006/relationships/hyperlink" Target="https://en.uesp.net/wiki/Skyrim:Ogre%27s_Teeth" TargetMode="External"/><Relationship Id="rId210" Type="http://schemas.openxmlformats.org/officeDocument/2006/relationships/hyperlink" Target="https://en.uesp.net/wiki/Skyrim:Mort_Flesh" TargetMode="External"/><Relationship Id="rId129" Type="http://schemas.openxmlformats.org/officeDocument/2006/relationships/hyperlink" Target="https://en.uesp.net/wiki/Skyrim:Goldfish" TargetMode="External"/><Relationship Id="rId128" Type="http://schemas.openxmlformats.org/officeDocument/2006/relationships/hyperlink" Target="https://en.uesp.net/wiki/Skyrim:Goldfish" TargetMode="External"/><Relationship Id="rId249" Type="http://schemas.openxmlformats.org/officeDocument/2006/relationships/hyperlink" Target="https://en.uesp.net/wiki/Skyrim:Scalon_Fin" TargetMode="External"/><Relationship Id="rId127" Type="http://schemas.openxmlformats.org/officeDocument/2006/relationships/hyperlink" Target="https://en.uesp.net/wiki/Skyrim:Goldfish" TargetMode="External"/><Relationship Id="rId248" Type="http://schemas.openxmlformats.org/officeDocument/2006/relationships/hyperlink" Target="https://en.uesp.net/wiki/Skyrim:Saltrice" TargetMode="External"/><Relationship Id="rId126" Type="http://schemas.openxmlformats.org/officeDocument/2006/relationships/hyperlink" Target="https://en.uesp.net/wiki/Skyrim:Goldfish" TargetMode="External"/><Relationship Id="rId247" Type="http://schemas.openxmlformats.org/officeDocument/2006/relationships/hyperlink" Target="https://en.uesp.net/wiki/Skyrim:Saltrice" TargetMode="External"/><Relationship Id="rId121" Type="http://schemas.openxmlformats.org/officeDocument/2006/relationships/hyperlink" Target="https://en.uesp.net/wiki/Skyrim:Fortify_Persuasion" TargetMode="External"/><Relationship Id="rId242" Type="http://schemas.openxmlformats.org/officeDocument/2006/relationships/hyperlink" Target="https://en.uesp.net/wiki/Skyrim:Rot_Scale" TargetMode="External"/><Relationship Id="rId120" Type="http://schemas.openxmlformats.org/officeDocument/2006/relationships/hyperlink" Target="https://en.uesp.net/wiki/Skyrim:Glassfish" TargetMode="External"/><Relationship Id="rId241" Type="http://schemas.openxmlformats.org/officeDocument/2006/relationships/hyperlink" Target="https://en.uesp.net/wiki/Skyrim:Rot_Scale" TargetMode="External"/><Relationship Id="rId240" Type="http://schemas.openxmlformats.org/officeDocument/2006/relationships/hyperlink" Target="https://en.uesp.net/wiki/Skyrim:Cure_Poison" TargetMode="External"/><Relationship Id="rId125" Type="http://schemas.openxmlformats.org/officeDocument/2006/relationships/hyperlink" Target="https://en.uesp.net/wiki/Skyrim:Gnarl_Bark" TargetMode="External"/><Relationship Id="rId246" Type="http://schemas.openxmlformats.org/officeDocument/2006/relationships/hyperlink" Target="https://en.uesp.net/wiki/Skyrim:Saltrice" TargetMode="External"/><Relationship Id="rId124" Type="http://schemas.openxmlformats.org/officeDocument/2006/relationships/hyperlink" Target="https://en.uesp.net/wiki/Skyrim:Gnarl_Bark" TargetMode="External"/><Relationship Id="rId245" Type="http://schemas.openxmlformats.org/officeDocument/2006/relationships/hyperlink" Target="https://en.uesp.net/wiki/Skyrim:Saltrice" TargetMode="External"/><Relationship Id="rId123" Type="http://schemas.openxmlformats.org/officeDocument/2006/relationships/hyperlink" Target="https://en.uesp.net/wiki/Skyrim:Gnarl_Bark" TargetMode="External"/><Relationship Id="rId244" Type="http://schemas.openxmlformats.org/officeDocument/2006/relationships/hyperlink" Target="https://en.uesp.net/wiki/Skyrim:Rot_Scale" TargetMode="External"/><Relationship Id="rId122" Type="http://schemas.openxmlformats.org/officeDocument/2006/relationships/hyperlink" Target="https://en.uesp.net/wiki/Skyrim:Gnarl_Bark" TargetMode="External"/><Relationship Id="rId243" Type="http://schemas.openxmlformats.org/officeDocument/2006/relationships/hyperlink" Target="https://en.uesp.net/wiki/Skyrim:Rot_Scale" TargetMode="External"/><Relationship Id="rId95" Type="http://schemas.openxmlformats.org/officeDocument/2006/relationships/hyperlink" Target="https://en.uesp.net/wiki/Skyrim:Daedroth_Teeth" TargetMode="External"/><Relationship Id="rId94" Type="http://schemas.openxmlformats.org/officeDocument/2006/relationships/hyperlink" Target="https://en.uesp.net/wiki/Skyrim:Daedroth_Teeth" TargetMode="External"/><Relationship Id="rId97" Type="http://schemas.openxmlformats.org/officeDocument/2006/relationships/hyperlink" Target="https://en.uesp.net/wiki/Skyrim:Dreugh_Wax" TargetMode="External"/><Relationship Id="rId96" Type="http://schemas.openxmlformats.org/officeDocument/2006/relationships/hyperlink" Target="https://en.uesp.net/wiki/Skyrim:Dreugh_Wax" TargetMode="External"/><Relationship Id="rId99" Type="http://schemas.openxmlformats.org/officeDocument/2006/relationships/hyperlink" Target="https://en.uesp.net/wiki/Skyrim:Dreugh_Wax" TargetMode="External"/><Relationship Id="rId98" Type="http://schemas.openxmlformats.org/officeDocument/2006/relationships/hyperlink" Target="https://en.uesp.net/wiki/Skyrim:Dreugh_Wax" TargetMode="External"/><Relationship Id="rId91" Type="http://schemas.openxmlformats.org/officeDocument/2006/relationships/hyperlink" Target="https://en.uesp.net/wiki/Skyrim:Daedroth_Teeth" TargetMode="External"/><Relationship Id="rId90" Type="http://schemas.openxmlformats.org/officeDocument/2006/relationships/hyperlink" Target="https://en.uesp.net/wiki/Skyrim:Spell_Absorption" TargetMode="External"/><Relationship Id="rId93" Type="http://schemas.openxmlformats.org/officeDocument/2006/relationships/hyperlink" Target="https://en.uesp.net/wiki/Skyrim:Light" TargetMode="External"/><Relationship Id="rId92" Type="http://schemas.openxmlformats.org/officeDocument/2006/relationships/hyperlink" Target="https://en.uesp.net/wiki/Skyrim:Daedroth_Teeth" TargetMode="External"/><Relationship Id="rId118" Type="http://schemas.openxmlformats.org/officeDocument/2006/relationships/hyperlink" Target="https://en.uesp.net/wiki/Skyrim:Glassfish" TargetMode="External"/><Relationship Id="rId239" Type="http://schemas.openxmlformats.org/officeDocument/2006/relationships/hyperlink" Target="https://en.uesp.net/wiki/Skyrim:Roobrush" TargetMode="External"/><Relationship Id="rId117" Type="http://schemas.openxmlformats.org/officeDocument/2006/relationships/hyperlink" Target="https://en.uesp.net/wiki/Skyrim:Glassfish" TargetMode="External"/><Relationship Id="rId238" Type="http://schemas.openxmlformats.org/officeDocument/2006/relationships/hyperlink" Target="https://en.uesp.net/wiki/Skyrim:Roobrush" TargetMode="External"/><Relationship Id="rId116" Type="http://schemas.openxmlformats.org/officeDocument/2006/relationships/hyperlink" Target="https://en.uesp.net/wiki/Skyrim:Fungus_Stalk" TargetMode="External"/><Relationship Id="rId237" Type="http://schemas.openxmlformats.org/officeDocument/2006/relationships/hyperlink" Target="https://en.uesp.net/wiki/Skyrim:Roobrush" TargetMode="External"/><Relationship Id="rId115" Type="http://schemas.openxmlformats.org/officeDocument/2006/relationships/hyperlink" Target="https://en.uesp.net/wiki/Skyrim:Fungus_Stalk" TargetMode="External"/><Relationship Id="rId236" Type="http://schemas.openxmlformats.org/officeDocument/2006/relationships/hyperlink" Target="https://en.uesp.net/wiki/Skyrim:Roobrush" TargetMode="External"/><Relationship Id="rId119" Type="http://schemas.openxmlformats.org/officeDocument/2006/relationships/hyperlink" Target="https://en.uesp.net/wiki/Skyrim:Glassfish" TargetMode="External"/><Relationship Id="rId110" Type="http://schemas.openxmlformats.org/officeDocument/2006/relationships/hyperlink" Target="https://en.uesp.net/wiki/Skyrim:Flame_Stalk" TargetMode="External"/><Relationship Id="rId231" Type="http://schemas.openxmlformats.org/officeDocument/2006/relationships/hyperlink" Target="https://en.uesp.net/wiki/Skyrim:Redwort_Flower" TargetMode="External"/><Relationship Id="rId230" Type="http://schemas.openxmlformats.org/officeDocument/2006/relationships/hyperlink" Target="https://en.uesp.net/wiki/Skyrim:Red_Kelp_Gas_Bladder" TargetMode="External"/><Relationship Id="rId114" Type="http://schemas.openxmlformats.org/officeDocument/2006/relationships/hyperlink" Target="https://en.uesp.net/wiki/Skyrim:Fungus_Stalk" TargetMode="External"/><Relationship Id="rId235" Type="http://schemas.openxmlformats.org/officeDocument/2006/relationships/hyperlink" Target="https://en.uesp.net/wiki/Skyrim:Redwort_Flower" TargetMode="External"/><Relationship Id="rId113" Type="http://schemas.openxmlformats.org/officeDocument/2006/relationships/hyperlink" Target="https://en.uesp.net/wiki/Skyrim:Fungus_Stalk" TargetMode="External"/><Relationship Id="rId234" Type="http://schemas.openxmlformats.org/officeDocument/2006/relationships/hyperlink" Target="https://en.uesp.net/wiki/Skyrim:Redwort_Flower" TargetMode="External"/><Relationship Id="rId112" Type="http://schemas.openxmlformats.org/officeDocument/2006/relationships/hyperlink" Target="https://en.uesp.net/wiki/Skyrim:Flame_Stalk" TargetMode="External"/><Relationship Id="rId233" Type="http://schemas.openxmlformats.org/officeDocument/2006/relationships/hyperlink" Target="https://en.uesp.net/wiki/Skyrim:Cure_Poison" TargetMode="External"/><Relationship Id="rId111" Type="http://schemas.openxmlformats.org/officeDocument/2006/relationships/hyperlink" Target="https://en.uesp.net/wiki/Skyrim:Flame_Stalk" TargetMode="External"/><Relationship Id="rId232" Type="http://schemas.openxmlformats.org/officeDocument/2006/relationships/hyperlink" Target="https://en.uesp.net/wiki/Skyrim:Redwort_Flower" TargetMode="External"/><Relationship Id="rId305" Type="http://schemas.openxmlformats.org/officeDocument/2006/relationships/hyperlink" Target="https://en.uesp.net/wiki/Skyrim:Wisp_Stalk_Caps" TargetMode="External"/><Relationship Id="rId304" Type="http://schemas.openxmlformats.org/officeDocument/2006/relationships/hyperlink" Target="https://en.uesp.net/wiki/Skyrim:Wisp_Stalk_Caps" TargetMode="External"/><Relationship Id="rId303" Type="http://schemas.openxmlformats.org/officeDocument/2006/relationships/hyperlink" Target="https://en.uesp.net/wiki/Skyrim:Wild_Grass_Pod" TargetMode="External"/><Relationship Id="rId302" Type="http://schemas.openxmlformats.org/officeDocument/2006/relationships/hyperlink" Target="https://en.uesp.net/wiki/Skyrim:Wild_Grass_Pod" TargetMode="External"/><Relationship Id="rId309" Type="http://schemas.openxmlformats.org/officeDocument/2006/relationships/hyperlink" Target="https://en.uesp.net/wiki/Skyrim:Withering_Moon" TargetMode="External"/><Relationship Id="rId308" Type="http://schemas.openxmlformats.org/officeDocument/2006/relationships/hyperlink" Target="https://en.uesp.net/wiki/Skyrim:Withering_Moon" TargetMode="External"/><Relationship Id="rId307" Type="http://schemas.openxmlformats.org/officeDocument/2006/relationships/hyperlink" Target="https://en.uesp.net/wiki/Skyrim:Wisp_Stalk_Caps" TargetMode="External"/><Relationship Id="rId306" Type="http://schemas.openxmlformats.org/officeDocument/2006/relationships/hyperlink" Target="https://en.uesp.net/wiki/Skyrim:Wisp_Stalk_Caps" TargetMode="External"/><Relationship Id="rId301" Type="http://schemas.openxmlformats.org/officeDocument/2006/relationships/hyperlink" Target="https://en.uesp.net/wiki/Skyrim:Wild_Grass_Pod" TargetMode="External"/><Relationship Id="rId300" Type="http://schemas.openxmlformats.org/officeDocument/2006/relationships/hyperlink" Target="https://en.uesp.net/wiki/Skyrim:Wild_Grass_Pod" TargetMode="External"/><Relationship Id="rId206" Type="http://schemas.openxmlformats.org/officeDocument/2006/relationships/hyperlink" Target="https://en.uesp.net/wiki/Skyrim:Minotaur_Horn" TargetMode="External"/><Relationship Id="rId205" Type="http://schemas.openxmlformats.org/officeDocument/2006/relationships/hyperlink" Target="https://en.uesp.net/wiki/Skyrim:Minotaur_Horn" TargetMode="External"/><Relationship Id="rId204" Type="http://schemas.openxmlformats.org/officeDocument/2006/relationships/hyperlink" Target="https://en.uesp.net/wiki/Skyrim:Minotaur_Horn" TargetMode="External"/><Relationship Id="rId203" Type="http://schemas.openxmlformats.org/officeDocument/2006/relationships/hyperlink" Target="https://en.uesp.net/wiki/Skyrim:Minotaur_Horn" TargetMode="External"/><Relationship Id="rId209" Type="http://schemas.openxmlformats.org/officeDocument/2006/relationships/hyperlink" Target="https://en.uesp.net/wiki/Skyrim:Mort_Flesh" TargetMode="External"/><Relationship Id="rId208" Type="http://schemas.openxmlformats.org/officeDocument/2006/relationships/hyperlink" Target="https://en.uesp.net/wiki/Skyrim:Mort_Flesh" TargetMode="External"/><Relationship Id="rId207" Type="http://schemas.openxmlformats.org/officeDocument/2006/relationships/hyperlink" Target="https://en.uesp.net/wiki/Skyrim:Mort_Flesh" TargetMode="External"/><Relationship Id="rId202" Type="http://schemas.openxmlformats.org/officeDocument/2006/relationships/hyperlink" Target="https://en.uesp.net/wiki/Skyrim:Marshmerrow" TargetMode="External"/><Relationship Id="rId201" Type="http://schemas.openxmlformats.org/officeDocument/2006/relationships/hyperlink" Target="https://en.uesp.net/wiki/Skyrim:Marshmerrow" TargetMode="External"/><Relationship Id="rId200" Type="http://schemas.openxmlformats.org/officeDocument/2006/relationships/hyperlink" Target="https://en.uesp.net/wiki/Skyrim:Marshmerrow" TargetMode="External"/><Relationship Id="rId316" Type="http://schemas.openxmlformats.org/officeDocument/2006/relationships/hyperlink" Target="https://en.uesp.net/wiki/Skyrim:Worm%27s_Head_Cap" TargetMode="External"/><Relationship Id="rId315" Type="http://schemas.openxmlformats.org/officeDocument/2006/relationships/hyperlink" Target="https://en.uesp.net/wiki/Skyrim:Night_Eye_(effect)" TargetMode="External"/><Relationship Id="rId314" Type="http://schemas.openxmlformats.org/officeDocument/2006/relationships/hyperlink" Target="https://en.uesp.net/wiki/Skyrim:Worm%27s_Head_Cap" TargetMode="External"/><Relationship Id="rId313" Type="http://schemas.openxmlformats.org/officeDocument/2006/relationships/hyperlink" Target="https://en.uesp.net/wiki/Skyrim:Worm%27s_Head_Cap" TargetMode="External"/><Relationship Id="rId319" Type="http://schemas.openxmlformats.org/officeDocument/2006/relationships/vmlDrawing" Target="../drawings/vmlDrawing5.vml"/><Relationship Id="rId318" Type="http://schemas.openxmlformats.org/officeDocument/2006/relationships/drawing" Target="../drawings/drawing15.xml"/><Relationship Id="rId317" Type="http://schemas.openxmlformats.org/officeDocument/2006/relationships/hyperlink" Target="https://en.uesp.net/wiki/Skyrim:Worm%27s_Head_Cap" TargetMode="External"/><Relationship Id="rId312" Type="http://schemas.openxmlformats.org/officeDocument/2006/relationships/hyperlink" Target="https://en.uesp.net/wiki/Skyrim:Withering_Moon" TargetMode="External"/><Relationship Id="rId311" Type="http://schemas.openxmlformats.org/officeDocument/2006/relationships/hyperlink" Target="https://en.uesp.net/wiki/Skyrim:Withering_Moon" TargetMode="External"/><Relationship Id="rId310" Type="http://schemas.openxmlformats.org/officeDocument/2006/relationships/hyperlink" Target="https://en.uesp.net/wiki/Skyrim:Spell_Absorption" TargetMode="External"/></Relationships>
</file>

<file path=xl/worksheets/_rels/sheet16.xml.rels><?xml version="1.0" encoding="UTF-8" standalone="yes"?><Relationships xmlns="http://schemas.openxmlformats.org/package/2006/relationships"><Relationship Id="rId11" Type="http://schemas.openxmlformats.org/officeDocument/2006/relationships/drawing" Target="../drawings/drawing16.xml"/><Relationship Id="rId10" Type="http://schemas.openxmlformats.org/officeDocument/2006/relationships/hyperlink" Target="https://en.uesp.net/wiki/Skyrim:Forgotten_Seasons_(quest)" TargetMode="External"/><Relationship Id="rId12" Type="http://schemas.openxmlformats.org/officeDocument/2006/relationships/vmlDrawing" Target="../drawings/vmlDrawing6.vml"/><Relationship Id="rId1" Type="http://schemas.openxmlformats.org/officeDocument/2006/relationships/comments" Target="../comments6.xml"/><Relationship Id="rId2" Type="http://schemas.openxmlformats.org/officeDocument/2006/relationships/hyperlink" Target="https://en.uesp.net/wiki/Skyrim:A_Return_To_Your_Roots" TargetMode="External"/><Relationship Id="rId3" Type="http://schemas.openxmlformats.org/officeDocument/2006/relationships/hyperlink" Target="https://en.uesp.net/wiki/Skyrim:Frostflow_Abyss" TargetMode="External"/><Relationship Id="rId4" Type="http://schemas.openxmlformats.org/officeDocument/2006/relationships/hyperlink" Target="https://en.uesp.net/wiki/Skyrim:No_Stone_Unturned" TargetMode="External"/><Relationship Id="rId9" Type="http://schemas.openxmlformats.org/officeDocument/2006/relationships/hyperlink" Target="https://en.uesp.net/wiki/Skyrim:Dragon_Research" TargetMode="External"/><Relationship Id="rId5" Type="http://schemas.openxmlformats.org/officeDocument/2006/relationships/hyperlink" Target="https://en.uesp.net/wiki/Skyrim:The_Book_of_Love" TargetMode="External"/><Relationship Id="rId6" Type="http://schemas.openxmlformats.org/officeDocument/2006/relationships/hyperlink" Target="https://en.uesp.net/wiki/Skyrim:The_Heart_of_Dibella" TargetMode="External"/><Relationship Id="rId7" Type="http://schemas.openxmlformats.org/officeDocument/2006/relationships/hyperlink" Target="https://en.uesp.net/wiki/Skyrim:Trinity_Restored" TargetMode="External"/><Relationship Id="rId8" Type="http://schemas.openxmlformats.org/officeDocument/2006/relationships/hyperlink" Target="https://en.uesp.net/wiki/Skyrim:Unfathomable_Depth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75.71"/>
    <col customWidth="1" min="4" max="4" width="45.0"/>
  </cols>
  <sheetData>
    <row r="1">
      <c r="A1" s="1" t="s">
        <v>0</v>
      </c>
      <c r="B1" s="2" t="s">
        <v>1</v>
      </c>
      <c r="C1" s="3" t="s">
        <v>2</v>
      </c>
      <c r="D1" s="3" t="s">
        <v>3</v>
      </c>
    </row>
    <row r="2">
      <c r="A2" s="4"/>
      <c r="B2" s="5"/>
      <c r="C2" s="6" t="s">
        <v>4</v>
      </c>
      <c r="D2" s="7" t="str">
        <f>hyperlink("https://docs.google.com/spreadsheets/d/1W4P83Y9umpGs8DX9VtzXngE-Knhv8sndDhj1QpBIYUA/edit?usp=sharing" , "Link to main google sheet 
(If you're using web view or need a link to the main document use this)")
</f>
        <v>Link to main google sheet 
(If you're using web view or need a link to the main document use this)</v>
      </c>
    </row>
    <row r="3">
      <c r="A3" s="4"/>
      <c r="B3" s="5"/>
      <c r="C3" s="8" t="s">
        <v>5</v>
      </c>
      <c r="D3" s="7" t="str">
        <f>HYPERLINK("https://docs.google.com/spreadsheets/d/e/2PACX-1vSE_QojDmDDLYDmNQuy4Lkpl2PrJ_NB7DoCbMYJ_E8xFgKoBgMjNmWf1oiHz2Of9eQYrIpFdzQVgbw1/pubhtml", "Link to web view 
(Page loads much faster but CAN'T be copied or edited! Useful if you just want to use it as a refrence)")
</f>
        <v>Link to web view 
(Page loads much faster but CAN'T be copied or edited! Useful if you just want to use it as a refrence)</v>
      </c>
    </row>
    <row r="4">
      <c r="A4" s="4">
        <v>1.1</v>
      </c>
      <c r="B4" s="5">
        <v>45606.0</v>
      </c>
      <c r="C4" s="9" t="s">
        <v>6</v>
      </c>
      <c r="D4" s="10"/>
    </row>
    <row r="5">
      <c r="A5" s="11" t="s">
        <v>7</v>
      </c>
      <c r="B5" s="5">
        <v>45603.0</v>
      </c>
      <c r="C5" s="12" t="s">
        <v>8</v>
      </c>
      <c r="D5" s="10"/>
    </row>
    <row r="6">
      <c r="A6" s="4"/>
      <c r="B6" s="5">
        <v>44446.0</v>
      </c>
      <c r="C6" s="12" t="s">
        <v>9</v>
      </c>
      <c r="D6" s="10"/>
    </row>
    <row r="7">
      <c r="A7" s="4"/>
      <c r="B7" s="5">
        <v>44444.0</v>
      </c>
      <c r="C7" s="12" t="s">
        <v>10</v>
      </c>
      <c r="D7" s="10"/>
    </row>
    <row r="8">
      <c r="A8" s="4"/>
      <c r="B8" s="5">
        <v>44438.0</v>
      </c>
      <c r="C8" s="12" t="s">
        <v>11</v>
      </c>
      <c r="D8" s="10"/>
    </row>
    <row r="9">
      <c r="A9" s="4"/>
      <c r="B9" s="13">
        <v>44433.0</v>
      </c>
      <c r="C9" s="14" t="s">
        <v>12</v>
      </c>
    </row>
    <row r="10">
      <c r="A10" s="4"/>
      <c r="B10" s="13">
        <v>44430.0</v>
      </c>
      <c r="C10" s="15" t="s">
        <v>13</v>
      </c>
    </row>
    <row r="11">
      <c r="A11" s="4"/>
      <c r="B11" s="13">
        <v>44429.0</v>
      </c>
      <c r="C11" s="15" t="s">
        <v>14</v>
      </c>
    </row>
    <row r="12">
      <c r="A12" s="4"/>
      <c r="B12" s="13">
        <v>44426.0</v>
      </c>
      <c r="C12" s="16" t="s">
        <v>15</v>
      </c>
    </row>
    <row r="13">
      <c r="A13" s="4"/>
      <c r="B13" s="13">
        <v>44423.0</v>
      </c>
      <c r="C13" s="17" t="s">
        <v>16</v>
      </c>
    </row>
    <row r="14">
      <c r="A14" s="4"/>
      <c r="B14" s="13">
        <v>44421.0</v>
      </c>
      <c r="C14" s="18" t="s">
        <v>17</v>
      </c>
      <c r="D14" s="10"/>
    </row>
    <row r="15">
      <c r="A15" s="4"/>
      <c r="B15" s="13">
        <v>44410.0</v>
      </c>
      <c r="C15" s="10" t="s">
        <v>18</v>
      </c>
    </row>
    <row r="16">
      <c r="A16" s="4">
        <v>0.5</v>
      </c>
      <c r="B16" s="13">
        <v>44283.0</v>
      </c>
      <c r="C16" s="10" t="s">
        <v>19</v>
      </c>
    </row>
    <row r="17">
      <c r="A17" s="4"/>
      <c r="B17" s="13">
        <v>44272.0</v>
      </c>
      <c r="C17" s="10" t="s">
        <v>20</v>
      </c>
    </row>
    <row r="18">
      <c r="A18" s="19"/>
      <c r="B18" s="13">
        <v>44226.0</v>
      </c>
      <c r="C18" s="10" t="s">
        <v>21</v>
      </c>
    </row>
    <row r="19">
      <c r="A19" s="19">
        <v>0.4</v>
      </c>
      <c r="B19" s="13">
        <v>44095.0</v>
      </c>
      <c r="C19" s="10" t="s">
        <v>22</v>
      </c>
      <c r="D19" s="20"/>
    </row>
    <row r="20">
      <c r="A20" s="19"/>
      <c r="B20" s="13">
        <v>43982.0</v>
      </c>
      <c r="C20" s="10" t="s">
        <v>23</v>
      </c>
      <c r="D20" s="20"/>
    </row>
    <row r="21">
      <c r="A21" s="19"/>
      <c r="B21" s="13">
        <v>43971.0</v>
      </c>
      <c r="C21" s="10" t="s">
        <v>24</v>
      </c>
      <c r="D21" s="20"/>
    </row>
    <row r="22">
      <c r="A22" s="19"/>
      <c r="B22" s="13">
        <v>43959.0</v>
      </c>
      <c r="C22" s="10" t="s">
        <v>25</v>
      </c>
      <c r="D22" s="20"/>
    </row>
    <row r="23">
      <c r="A23" s="19"/>
      <c r="B23" s="13">
        <v>43953.0</v>
      </c>
      <c r="C23" s="10" t="s">
        <v>26</v>
      </c>
      <c r="D23" s="20"/>
    </row>
    <row r="24">
      <c r="A24" s="19"/>
      <c r="B24" s="13">
        <v>43949.0</v>
      </c>
      <c r="C24" s="10" t="s">
        <v>27</v>
      </c>
      <c r="D24" s="20"/>
    </row>
    <row r="25">
      <c r="A25" s="19">
        <v>0.3</v>
      </c>
      <c r="B25" s="13">
        <v>43947.0</v>
      </c>
      <c r="C25" s="10" t="s">
        <v>28</v>
      </c>
      <c r="D25" s="20"/>
    </row>
    <row r="26">
      <c r="A26" s="19"/>
      <c r="B26" s="13">
        <v>43945.0</v>
      </c>
      <c r="C26" s="10" t="s">
        <v>29</v>
      </c>
      <c r="D26" s="20"/>
    </row>
    <row r="27">
      <c r="A27" s="4">
        <v>0.2</v>
      </c>
      <c r="B27" s="13">
        <v>43934.0</v>
      </c>
      <c r="C27" s="10" t="s">
        <v>30</v>
      </c>
      <c r="D27" s="20"/>
    </row>
    <row r="28">
      <c r="A28" s="4">
        <v>0.1</v>
      </c>
      <c r="B28" s="13">
        <v>43369.0</v>
      </c>
      <c r="C28" s="21" t="s">
        <v>31</v>
      </c>
      <c r="D28" s="22" t="str">
        <f>HYPERLINK("https://docs.google.com/spreadsheets/d/1yHg39nzekiEgwuG07YFAhSequQBaKBT-6ArOAbQaOT4/edit?usp=sharing","link to original version (mostly here for crediting the original work)")</f>
        <v>link to original version (mostly here for crediting the original work)</v>
      </c>
    </row>
  </sheetData>
  <hyperlinks>
    <hyperlink r:id="rId1" ref="C10"/>
    <hyperlink r:id="rId2" ref="C11"/>
    <hyperlink r:id="rId3" ref="C1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14"/>
    <col customWidth="1" min="2" max="2" width="103.71"/>
  </cols>
  <sheetData>
    <row r="1">
      <c r="A1" s="23" t="s">
        <v>32</v>
      </c>
      <c r="B1" s="23" t="s">
        <v>33</v>
      </c>
    </row>
    <row r="2">
      <c r="A2" s="24" t="s">
        <v>34</v>
      </c>
      <c r="B2" s="25"/>
    </row>
    <row r="3">
      <c r="A3" s="26"/>
      <c r="B3" s="27" t="s">
        <v>35</v>
      </c>
    </row>
    <row r="4">
      <c r="A4" s="28"/>
      <c r="B4" s="29" t="s">
        <v>36</v>
      </c>
    </row>
    <row r="5">
      <c r="A5" s="28"/>
      <c r="B5" s="30" t="s">
        <v>37</v>
      </c>
    </row>
    <row r="6">
      <c r="A6" s="28"/>
      <c r="B6" s="31" t="s">
        <v>38</v>
      </c>
    </row>
    <row r="7">
      <c r="A7" s="32">
        <v>1.0</v>
      </c>
      <c r="B7" s="31" t="s">
        <v>39</v>
      </c>
    </row>
    <row r="8">
      <c r="A8" s="32">
        <v>1.0</v>
      </c>
      <c r="B8" s="31" t="s">
        <v>40</v>
      </c>
    </row>
    <row r="9">
      <c r="A9" s="32">
        <v>1.0</v>
      </c>
      <c r="B9" s="31" t="s">
        <v>41</v>
      </c>
    </row>
    <row r="10">
      <c r="A10" s="33">
        <v>1.0</v>
      </c>
      <c r="B10" s="31" t="s">
        <v>42</v>
      </c>
    </row>
    <row r="11">
      <c r="A11" s="33">
        <v>1.0</v>
      </c>
      <c r="B11" s="31" t="s">
        <v>43</v>
      </c>
    </row>
    <row r="12">
      <c r="A12" s="33">
        <v>1.0</v>
      </c>
      <c r="B12" s="31" t="s">
        <v>44</v>
      </c>
    </row>
    <row r="13">
      <c r="A13" s="33">
        <v>1.0</v>
      </c>
      <c r="B13" s="31" t="s">
        <v>45</v>
      </c>
    </row>
    <row r="14">
      <c r="A14" s="33">
        <v>1.0</v>
      </c>
      <c r="B14" s="31" t="s">
        <v>46</v>
      </c>
    </row>
    <row r="15">
      <c r="A15" s="32">
        <v>1.0</v>
      </c>
      <c r="B15" s="31" t="s">
        <v>47</v>
      </c>
    </row>
    <row r="16">
      <c r="A16" s="33">
        <v>1.0</v>
      </c>
      <c r="B16" s="31" t="s">
        <v>48</v>
      </c>
    </row>
    <row r="17">
      <c r="A17" s="33">
        <v>1.0</v>
      </c>
      <c r="B17" s="31" t="s">
        <v>49</v>
      </c>
    </row>
    <row r="18">
      <c r="A18" s="33">
        <v>1.0</v>
      </c>
      <c r="B18" s="31" t="s">
        <v>50</v>
      </c>
    </row>
    <row r="19">
      <c r="A19" s="33">
        <v>1.0</v>
      </c>
      <c r="B19" s="31" t="s">
        <v>51</v>
      </c>
    </row>
    <row r="20">
      <c r="A20" s="33">
        <v>1.0</v>
      </c>
      <c r="B20" s="31" t="s">
        <v>52</v>
      </c>
    </row>
    <row r="21">
      <c r="A21" s="33">
        <v>1.0</v>
      </c>
      <c r="B21" s="31" t="s">
        <v>53</v>
      </c>
    </row>
    <row r="22">
      <c r="A22" s="33">
        <v>1.0</v>
      </c>
      <c r="B22" s="31" t="s">
        <v>54</v>
      </c>
    </row>
    <row r="23" ht="14.25" customHeight="1">
      <c r="A23" s="33">
        <v>1.0</v>
      </c>
      <c r="B23" s="31" t="s">
        <v>55</v>
      </c>
    </row>
    <row r="24">
      <c r="A24" s="33">
        <v>1.0</v>
      </c>
      <c r="B24" s="31" t="s">
        <v>56</v>
      </c>
    </row>
    <row r="25">
      <c r="A25" s="33">
        <v>1.0</v>
      </c>
      <c r="B25" s="31" t="s">
        <v>57</v>
      </c>
    </row>
    <row r="26">
      <c r="A26" s="33">
        <v>1.0</v>
      </c>
      <c r="B26" s="31" t="s">
        <v>58</v>
      </c>
    </row>
    <row r="27">
      <c r="A27" s="33">
        <v>1.0</v>
      </c>
      <c r="B27" s="31" t="s">
        <v>59</v>
      </c>
    </row>
    <row r="28">
      <c r="A28" s="33">
        <v>0.8</v>
      </c>
      <c r="B28" s="31" t="s">
        <v>60</v>
      </c>
    </row>
    <row r="29">
      <c r="A29" s="33">
        <v>0.5</v>
      </c>
      <c r="B29" s="31" t="s">
        <v>61</v>
      </c>
    </row>
    <row r="30">
      <c r="A30" s="33">
        <v>0.9</v>
      </c>
      <c r="B30" s="31" t="s">
        <v>62</v>
      </c>
    </row>
    <row r="31">
      <c r="A31" s="32">
        <v>0.9</v>
      </c>
      <c r="B31" s="31" t="s">
        <v>63</v>
      </c>
    </row>
    <row r="32">
      <c r="A32" s="33">
        <v>1.0</v>
      </c>
      <c r="B32" s="31" t="s">
        <v>64</v>
      </c>
    </row>
    <row r="33">
      <c r="A33" s="33">
        <v>0.9</v>
      </c>
      <c r="B33" s="31" t="s">
        <v>65</v>
      </c>
    </row>
    <row r="34">
      <c r="A34" s="34">
        <v>0.9</v>
      </c>
      <c r="B34" s="35" t="s">
        <v>66</v>
      </c>
    </row>
    <row r="35">
      <c r="A35" s="33">
        <v>1.0</v>
      </c>
      <c r="B35" s="31" t="s">
        <v>67</v>
      </c>
    </row>
    <row r="36">
      <c r="A36" s="33">
        <v>0.0</v>
      </c>
      <c r="B36" s="31" t="s">
        <v>68</v>
      </c>
    </row>
  </sheetData>
  <conditionalFormatting sqref="A4:A36">
    <cfRule type="cellIs" dxfId="0" priority="1" operator="equal">
      <formula>1</formula>
    </cfRule>
  </conditionalFormatting>
  <conditionalFormatting sqref="A4:A36">
    <cfRule type="cellIs" dxfId="1" priority="2" operator="between">
      <formula>0.9</formula>
      <formula>1</formula>
    </cfRule>
  </conditionalFormatting>
  <conditionalFormatting sqref="A4:A36">
    <cfRule type="cellIs" dxfId="2" priority="3" operator="between">
      <formula>0.1</formula>
      <formula>0.9</formula>
    </cfRule>
  </conditionalFormatting>
  <conditionalFormatting sqref="A4:A36">
    <cfRule type="cellIs" dxfId="3" priority="4" operator="between">
      <formula>0</formula>
      <formula>0.1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09E00"/>
    <outlinePr summaryBelow="0" summaryRight="0"/>
  </sheetPr>
  <sheetViews>
    <sheetView workbookViewId="0"/>
  </sheetViews>
  <sheetFormatPr customHeight="1" defaultColWidth="14.43" defaultRowHeight="15.0"/>
  <cols>
    <col customWidth="1" min="1" max="1" width="25.29"/>
    <col customWidth="1" min="7" max="7" width="16.71"/>
    <col hidden="1" min="8" max="8" width="14.43"/>
    <col customWidth="1" hidden="1" min="9" max="9" width="11.86"/>
  </cols>
  <sheetData>
    <row r="1" ht="19.5" customHeight="1">
      <c r="A1" s="36" t="s">
        <v>69</v>
      </c>
      <c r="B1" s="36" t="s">
        <v>70</v>
      </c>
      <c r="C1" s="37" t="s">
        <v>71</v>
      </c>
      <c r="D1" s="38"/>
      <c r="E1" s="38"/>
      <c r="F1" s="39"/>
      <c r="G1" s="36" t="s">
        <v>72</v>
      </c>
      <c r="H1" s="36" t="s">
        <v>73</v>
      </c>
      <c r="I1" s="40" t="s">
        <v>74</v>
      </c>
    </row>
    <row r="2" ht="40.5" customHeight="1">
      <c r="A2" s="41" t="s">
        <v>75</v>
      </c>
      <c r="B2" s="42" t="s">
        <v>76</v>
      </c>
      <c r="C2" s="43" t="str">
        <f>IFERROR(__xludf.DUMMYFUNCTION("IF(B2=""Y"",SPARKLINE(G2:H2,{""charttype"",""bar"";""max"",1;""min"",0;""color1"",""#b7e1cd"";""color2"",""#f4c7c3""}),""Not tracked"")"),"")</f>
        <v/>
      </c>
      <c r="D2" s="38"/>
      <c r="E2" s="38"/>
      <c r="F2" s="39"/>
      <c r="G2" s="44">
        <f>round(SUMPRODUCT(G3:G14,I3:I14)/COUNTIF(I3:I14,"=1"),4)</f>
        <v>0.001</v>
      </c>
      <c r="H2" s="44">
        <f t="shared" ref="H2:H14" si="1">100%-G2</f>
        <v>0.999</v>
      </c>
      <c r="I2" s="45">
        <f t="shared" ref="I2:I14" si="2">if(B2="Y",1,0)</f>
        <v>1</v>
      </c>
    </row>
    <row r="3" ht="22.5" customHeight="1">
      <c r="A3" s="46" t="s">
        <v>77</v>
      </c>
      <c r="B3" s="42" t="s">
        <v>76</v>
      </c>
      <c r="C3" s="43" t="str">
        <f>IFERROR(__xludf.DUMMYFUNCTION("IF(B3=""Y"",SPARKLINE(G3:H3,{""charttype"",""bar"";""max"",1;""min"",0;""color1"",""#b7e1cd"";""color2"",""#f4c7c3""}),""Not tracked"")"),"")</f>
        <v/>
      </c>
      <c r="D3" s="38"/>
      <c r="E3" s="38"/>
      <c r="F3" s="39"/>
      <c r="G3" s="44">
        <f>Quests!I1</f>
        <v>0</v>
      </c>
      <c r="H3" s="44">
        <f t="shared" si="1"/>
        <v>1</v>
      </c>
      <c r="I3" s="45">
        <f t="shared" si="2"/>
        <v>1</v>
      </c>
    </row>
    <row r="4" ht="22.5" customHeight="1">
      <c r="A4" s="46" t="s">
        <v>78</v>
      </c>
      <c r="B4" s="42" t="s">
        <v>76</v>
      </c>
      <c r="C4" s="43" t="str">
        <f>IFERROR(__xludf.DUMMYFUNCTION("IF(B4=""Y"",SPARKLINE(G4:H4,{""charttype"",""bar"";""max"",1;""min"",0;""color1"",""#b7e1cd"";""color2"",""#f4c7c3""}),""Not tracked"")"),"")</f>
        <v/>
      </c>
      <c r="D4" s="38"/>
      <c r="E4" s="38"/>
      <c r="F4" s="39"/>
      <c r="G4" s="47">
        <f>'Enchanting Effects'!B2</f>
        <v>0</v>
      </c>
      <c r="H4" s="47">
        <f t="shared" si="1"/>
        <v>1</v>
      </c>
      <c r="I4" s="45">
        <f t="shared" si="2"/>
        <v>1</v>
      </c>
    </row>
    <row r="5" ht="22.5" customHeight="1">
      <c r="A5" s="46" t="s">
        <v>79</v>
      </c>
      <c r="B5" s="42" t="s">
        <v>76</v>
      </c>
      <c r="C5" s="43" t="str">
        <f>IFERROR(__xludf.DUMMYFUNCTION("IF(B5=""Y"",SPARKLINE(G5:H5,{""charttype"",""bar"";""max"",1;""min"",0;""color1"",""#b7e1cd"";""color2"",""#f4c7c3""}),""Not tracked"")"),"")</f>
        <v/>
      </c>
      <c r="D5" s="38"/>
      <c r="E5" s="38"/>
      <c r="F5" s="39"/>
      <c r="G5" s="47">
        <f>Spells!B2</f>
        <v>0.0119760479</v>
      </c>
      <c r="H5" s="47">
        <f t="shared" si="1"/>
        <v>0.9880239521</v>
      </c>
      <c r="I5" s="45">
        <f t="shared" si="2"/>
        <v>1</v>
      </c>
    </row>
    <row r="6" ht="22.5" customHeight="1">
      <c r="A6" s="46" t="s">
        <v>80</v>
      </c>
      <c r="B6" s="42" t="s">
        <v>76</v>
      </c>
      <c r="C6" s="43" t="str">
        <f>IFERROR(__xludf.DUMMYFUNCTION("IF(B6=""Y"",SPARKLINE(G6:H6,{""charttype"",""bar"";""max"",1;""min"",0;""color1"",""#b7e1cd"";""color2"",""#f4c7c3""}),""Not tracked"")"),"")</f>
        <v/>
      </c>
      <c r="D6" s="38"/>
      <c r="E6" s="38"/>
      <c r="F6" s="39"/>
      <c r="G6" s="47">
        <f>'Dragon Shouts'!A2</f>
        <v>0</v>
      </c>
      <c r="H6" s="47">
        <f t="shared" si="1"/>
        <v>1</v>
      </c>
      <c r="I6" s="45">
        <f t="shared" si="2"/>
        <v>1</v>
      </c>
    </row>
    <row r="7" ht="22.5" customHeight="1">
      <c r="A7" s="46" t="s">
        <v>81</v>
      </c>
      <c r="B7" s="42" t="s">
        <v>76</v>
      </c>
      <c r="C7" s="43" t="str">
        <f>IFERROR(__xludf.DUMMYFUNCTION("IF(B7=""Y"",SPARKLINE(G7:H7,{""charttype"",""bar"";""max"",1;""min"",0;""color1"",""#b7e1cd"";""color2"",""#f4c7c3""}),""Not tracked"")"),"")</f>
        <v/>
      </c>
      <c r="D7" s="38"/>
      <c r="E7" s="38"/>
      <c r="F7" s="39"/>
      <c r="G7" s="47">
        <f>Locations!G4</f>
        <v>0</v>
      </c>
      <c r="H7" s="47">
        <f t="shared" si="1"/>
        <v>1</v>
      </c>
      <c r="I7" s="45">
        <f t="shared" si="2"/>
        <v>1</v>
      </c>
    </row>
    <row r="8" ht="22.5" customHeight="1">
      <c r="A8" s="46" t="s">
        <v>82</v>
      </c>
      <c r="B8" s="42" t="s">
        <v>76</v>
      </c>
      <c r="C8" s="43" t="str">
        <f>IFERROR(__xludf.DUMMYFUNCTION("IF(B8=""Y"",SPARKLINE(G8:H8,{""charttype"",""bar"";""max"",1;""min"",0;""color1"",""#b7e1cd"";""color2"",""#f4c7c3""}),""Not tracked"")"),"")</f>
        <v/>
      </c>
      <c r="D8" s="38"/>
      <c r="E8" s="38"/>
      <c r="F8" s="39"/>
      <c r="G8" s="48">
        <f>Merchants!C3</f>
        <v>0</v>
      </c>
      <c r="H8" s="47">
        <f t="shared" si="1"/>
        <v>1</v>
      </c>
      <c r="I8" s="45">
        <f t="shared" si="2"/>
        <v>1</v>
      </c>
    </row>
    <row r="9" ht="22.5" customHeight="1">
      <c r="A9" s="46" t="s">
        <v>83</v>
      </c>
      <c r="B9" s="42" t="s">
        <v>76</v>
      </c>
      <c r="C9" s="43" t="str">
        <f>IFERROR(__xludf.DUMMYFUNCTION("IF(B9=""Y"",SPARKLINE(G9:H9,{""charttype"",""bar"";""max"",1;""min"",0;""color1"",""#b7e1cd"";""color2"",""#f4c7c3""}),""Not tracked"")"),"")</f>
        <v/>
      </c>
      <c r="D9" s="38"/>
      <c r="E9" s="38"/>
      <c r="F9" s="39"/>
      <c r="G9" s="48">
        <f>('Unique Gear'!D6 + 'Unique Gear'!D186 + 'Unique Gear'!D216)/3</f>
        <v>0</v>
      </c>
      <c r="H9" s="47">
        <f t="shared" si="1"/>
        <v>1</v>
      </c>
      <c r="I9" s="45">
        <f t="shared" si="2"/>
        <v>1</v>
      </c>
    </row>
    <row r="10" ht="22.5" customHeight="1">
      <c r="A10" s="46" t="s">
        <v>84</v>
      </c>
      <c r="B10" s="42" t="s">
        <v>76</v>
      </c>
      <c r="C10" s="43" t="str">
        <f>IFERROR(__xludf.DUMMYFUNCTION("IF(B10=""Y"",SPARKLINE(G10:H10,{""charttype"",""bar"";""max"",1;""min"",0;""color1"",""#b7e1cd"";""color2"",""#f4c7c3""}),""Not tracked"")"),"")</f>
        <v/>
      </c>
      <c r="D10" s="38"/>
      <c r="E10" s="38"/>
      <c r="F10" s="39"/>
      <c r="G10" s="48">
        <f>'Collectible Items'!A31</f>
        <v>0</v>
      </c>
      <c r="H10" s="47">
        <f t="shared" si="1"/>
        <v>1</v>
      </c>
      <c r="I10" s="45">
        <f t="shared" si="2"/>
        <v>1</v>
      </c>
    </row>
    <row r="11" ht="22.5" customHeight="1">
      <c r="A11" s="46" t="s">
        <v>85</v>
      </c>
      <c r="B11" s="42" t="s">
        <v>76</v>
      </c>
      <c r="C11" s="43" t="str">
        <f>IFERROR(__xludf.DUMMYFUNCTION("IF(B11=""Y"",SPARKLINE(G11:H11,{""charttype"",""bar"";""max"",1;""min"",0;""color1"",""#b7e1cd"";""color2"",""#f4c7c3""}),""Not tracked"")"),"")</f>
        <v/>
      </c>
      <c r="D11" s="38"/>
      <c r="E11" s="38"/>
      <c r="F11" s="39"/>
      <c r="G11" s="47">
        <f>(Books!G3 + Books!K3 + Books!M3 + Books!K601)/400</f>
        <v>0</v>
      </c>
      <c r="H11" s="47">
        <f t="shared" si="1"/>
        <v>1</v>
      </c>
      <c r="I11" s="45">
        <f t="shared" si="2"/>
        <v>1</v>
      </c>
    </row>
    <row r="12" ht="22.5" customHeight="1">
      <c r="A12" s="46" t="s">
        <v>86</v>
      </c>
      <c r="B12" s="42" t="s">
        <v>76</v>
      </c>
      <c r="C12" s="43" t="str">
        <f>IFERROR(__xludf.DUMMYFUNCTION("IF(B12=""Y"",SPARKLINE(G12:H12,{""charttype"",""bar"";""max"",1;""min"",0;""color1"",""#b7e1cd"";""color2"",""#f4c7c3""}),""Not tracked"")"),"")</f>
        <v/>
      </c>
      <c r="D12" s="38"/>
      <c r="E12" s="38"/>
      <c r="F12" s="39"/>
      <c r="G12" s="47">
        <f>'Recruitable Followers'!B2</f>
        <v>0</v>
      </c>
      <c r="H12" s="47">
        <f t="shared" si="1"/>
        <v>1</v>
      </c>
      <c r="I12" s="45">
        <f t="shared" si="2"/>
        <v>1</v>
      </c>
    </row>
    <row r="13" ht="22.5" customHeight="1">
      <c r="A13" s="46" t="s">
        <v>87</v>
      </c>
      <c r="B13" s="42" t="s">
        <v>76</v>
      </c>
      <c r="C13" s="43" t="str">
        <f>IFERROR(__xludf.DUMMYFUNCTION("IF(B13=""Y"",SPARKLINE(G13:H13,{""charttype"",""bar"";""max"",1;""min"",0;""color1"",""#b7e1cd"";""color2"",""#f4c7c3""}),""Not tracked"")"),"")</f>
        <v/>
      </c>
      <c r="D13" s="38"/>
      <c r="E13" s="38"/>
      <c r="F13" s="39"/>
      <c r="G13" s="47">
        <f>'Learned Alchemy Effects'!A2</f>
        <v>0</v>
      </c>
      <c r="H13" s="47">
        <f t="shared" si="1"/>
        <v>1</v>
      </c>
      <c r="I13" s="45">
        <f t="shared" si="2"/>
        <v>1</v>
      </c>
    </row>
    <row r="14" ht="22.5" customHeight="1">
      <c r="A14" s="46" t="s">
        <v>88</v>
      </c>
      <c r="B14" s="42" t="s">
        <v>76</v>
      </c>
      <c r="C14" s="43" t="str">
        <f>IFERROR(__xludf.DUMMYFUNCTION("IF(B14=""Y"",SPARKLINE(G14:H14,{""charttype"",""bar"";""max"",1;""min"",0;""color1"",""#b7e1cd"";""color2"",""#f4c7c3""}),""Not tracked"")"),"")</f>
        <v/>
      </c>
      <c r="D14" s="38"/>
      <c r="E14" s="38"/>
      <c r="F14" s="39"/>
      <c r="G14" s="47">
        <f>Perks!M4</f>
        <v>0</v>
      </c>
      <c r="H14" s="47">
        <f t="shared" si="1"/>
        <v>1</v>
      </c>
      <c r="I14" s="45">
        <f t="shared" si="2"/>
        <v>1</v>
      </c>
    </row>
  </sheetData>
  <mergeCells count="14">
    <mergeCell ref="C8:F8"/>
    <mergeCell ref="C9:F9"/>
    <mergeCell ref="C10:F10"/>
    <mergeCell ref="C11:F11"/>
    <mergeCell ref="C12:F12"/>
    <mergeCell ref="C13:F13"/>
    <mergeCell ref="C14:F14"/>
    <mergeCell ref="C1:F1"/>
    <mergeCell ref="C2:F2"/>
    <mergeCell ref="C3:F3"/>
    <mergeCell ref="C4:F4"/>
    <mergeCell ref="C5:F5"/>
    <mergeCell ref="C6:F6"/>
    <mergeCell ref="C7:F7"/>
  </mergeCells>
  <conditionalFormatting sqref="B2:B14">
    <cfRule type="containsText" dxfId="1" priority="1" operator="containsText" text="Y">
      <formula>NOT(ISERROR(SEARCH(("Y"),(B2))))</formula>
    </cfRule>
  </conditionalFormatting>
  <conditionalFormatting sqref="B2:B14">
    <cfRule type="containsText" dxfId="4" priority="2" operator="containsText" text="N">
      <formula>NOT(ISERROR(SEARCH(("N"),(B2))))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4.43" defaultRowHeight="15.0"/>
  <cols>
    <col customWidth="1" min="1" max="1" width="78.71"/>
    <col customWidth="1" min="2" max="2" width="27.57"/>
    <col customWidth="1" min="3" max="3" width="62.29"/>
  </cols>
  <sheetData>
    <row r="1">
      <c r="A1" s="49" t="s">
        <v>89</v>
      </c>
      <c r="B1" s="49" t="s">
        <v>90</v>
      </c>
      <c r="C1" s="50" t="s">
        <v>91</v>
      </c>
    </row>
    <row r="2">
      <c r="A2" s="51" t="s">
        <v>92</v>
      </c>
      <c r="B2" s="52" t="s">
        <v>93</v>
      </c>
      <c r="C2" s="53" t="s">
        <v>94</v>
      </c>
    </row>
    <row r="3">
      <c r="A3" s="54"/>
      <c r="B3" s="55" t="s">
        <v>95</v>
      </c>
      <c r="C3" s="53" t="s">
        <v>96</v>
      </c>
    </row>
    <row r="4">
      <c r="A4" s="56" t="s">
        <v>97</v>
      </c>
      <c r="B4" s="52" t="s">
        <v>98</v>
      </c>
      <c r="C4" s="53" t="s">
        <v>99</v>
      </c>
    </row>
    <row r="5">
      <c r="A5" s="56" t="s">
        <v>100</v>
      </c>
      <c r="B5" s="52" t="s">
        <v>101</v>
      </c>
      <c r="C5" s="53" t="s">
        <v>102</v>
      </c>
    </row>
    <row r="6">
      <c r="A6" s="56" t="s">
        <v>103</v>
      </c>
      <c r="B6" s="52" t="s">
        <v>104</v>
      </c>
      <c r="C6" s="53" t="s">
        <v>105</v>
      </c>
    </row>
    <row r="7">
      <c r="A7" s="57"/>
      <c r="B7" s="58" t="s">
        <v>106</v>
      </c>
      <c r="C7" s="53" t="s">
        <v>107</v>
      </c>
    </row>
    <row r="8">
      <c r="A8" s="59" t="s">
        <v>108</v>
      </c>
      <c r="B8" s="52" t="s">
        <v>109</v>
      </c>
      <c r="C8" s="60" t="s">
        <v>110</v>
      </c>
    </row>
    <row r="9">
      <c r="A9" s="59" t="str">
        <f>HYPERLINK("https://www.nexusmods.com/skyrim/mods/23188/?tab=images","Skyrim Books Checklist")</f>
        <v>Skyrim Books Checklist</v>
      </c>
      <c r="B9" s="31" t="s">
        <v>111</v>
      </c>
      <c r="C9" s="53" t="s">
        <v>112</v>
      </c>
    </row>
    <row r="10">
      <c r="A10" s="59" t="str">
        <f>HYPERLINK("https://www.reddit.com/r/skyrim/comments/50d750/skyrim_character_planning_spreadsheet/","Skyrim Character Planning Spreadsheet")</f>
        <v>Skyrim Character Planning Spreadsheet</v>
      </c>
      <c r="B10" s="31" t="s">
        <v>113</v>
      </c>
      <c r="C10" s="53" t="s">
        <v>114</v>
      </c>
    </row>
    <row r="11">
      <c r="A11" s="59" t="str">
        <f>HYPERLINK("https://www.reddit.com/r/skyrim/comments/2r8nvw/all_skyrim_spells_broken_down_by_level_and_school/","All Skyrim Spells broken down by Level and School")</f>
        <v>All Skyrim Spells broken down by Level and School</v>
      </c>
      <c r="B11" s="31" t="s">
        <v>115</v>
      </c>
      <c r="C11" s="53" t="s">
        <v>116</v>
      </c>
    </row>
    <row r="12">
      <c r="A12" s="59" t="str">
        <f>HYPERLINK("https://www.nexusmods.com/skyrim/mods/51284/?tab=1&amp;navtag=http%3A%2F%2Fwww.nexusmods.com%2Fskyrim%2Fajax%2Fmoddescription%2F%3Fid%3D51284%26preview%3D&amp;pUp=1","Skyrim Quest Checklists and Quest Mod Checklists")</f>
        <v>Skyrim Quest Checklists and Quest Mod Checklists</v>
      </c>
      <c r="B12" s="31" t="s">
        <v>117</v>
      </c>
      <c r="C12" s="53" t="s">
        <v>118</v>
      </c>
    </row>
    <row r="13">
      <c r="A13" s="59" t="str">
        <f>HYPERLINK("https://www.reddit.com/r/skyrim/comments/mmtdf/filterable_list_of_alchemy_ingredients/","Filterable list of alchemy ingredients")</f>
        <v>Filterable list of alchemy ingredients</v>
      </c>
      <c r="B13" s="31" t="s">
        <v>119</v>
      </c>
      <c r="C13" s="53" t="s">
        <v>120</v>
      </c>
    </row>
    <row r="14">
      <c r="A14" s="59" t="str">
        <f>HYPERLINK("https://en.uesp.net/wiki/Main_Page","The UESP Wiki")</f>
        <v>The UESP Wiki</v>
      </c>
      <c r="B14" s="31" t="s">
        <v>121</v>
      </c>
      <c r="C14" s="53" t="s">
        <v>122</v>
      </c>
    </row>
    <row r="15">
      <c r="A15" s="61" t="s">
        <v>123</v>
      </c>
      <c r="B15" s="38"/>
      <c r="C15" s="39"/>
    </row>
    <row r="16">
      <c r="A16" s="62" t="str">
        <f>HYPERLINK("https://creativecommons.org/licenses/by/4.0/","This work is licensed under a Creative Commons Attribution 4.0 International License.")</f>
        <v>This work is licensed under a Creative Commons Attribution 4.0 International License.</v>
      </c>
      <c r="B16" s="38"/>
      <c r="C16" s="39"/>
    </row>
  </sheetData>
  <mergeCells count="2">
    <mergeCell ref="A15:C15"/>
    <mergeCell ref="A16:C16"/>
  </mergeCells>
  <hyperlinks>
    <hyperlink r:id="rId1" ref="A2"/>
    <hyperlink r:id="rId2" location="gid=2119072918" ref="A4"/>
    <hyperlink r:id="rId3" ref="A5"/>
    <hyperlink r:id="rId4" location="gid=2119072918" ref="A6"/>
    <hyperlink r:id="rId5" ref="A8"/>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4.86"/>
    <col customWidth="1" min="2" max="2" width="13.29"/>
    <col customWidth="1" min="3" max="3" width="22.29"/>
    <col customWidth="1" min="4" max="4" width="9.71"/>
    <col customWidth="1" min="5" max="5" width="0.86"/>
    <col customWidth="1" min="6" max="6" width="4.86"/>
    <col customWidth="1" min="7" max="7" width="13.29"/>
    <col customWidth="1" min="8" max="8" width="22.29"/>
    <col customWidth="1" min="9" max="9" width="9.71"/>
  </cols>
  <sheetData>
    <row r="1" ht="63.0" customHeight="1">
      <c r="A1" s="63" t="s">
        <v>76</v>
      </c>
      <c r="B1" s="64" t="s">
        <v>124</v>
      </c>
      <c r="C1" s="65" t="s">
        <v>125</v>
      </c>
      <c r="D1" s="38"/>
      <c r="E1" s="38"/>
      <c r="F1" s="38"/>
      <c r="G1" s="38"/>
      <c r="H1" s="39"/>
      <c r="I1" s="66">
        <f>if(A1="Y", (average(I4,I27,D46,I46,D54,I75,I98,I132,I153,I178,I183,I214,I242,I257,I274,I300,I329,I360,I386,I400,I410,I441,I471,I519)),average(I4,I27,D46,I46,D54,I75,I98,I132,I153,I178,I183,I214,I242,I257,I274,I300,I329,I360,I386,I400,I410,I441,I471))</f>
        <v>0</v>
      </c>
    </row>
    <row r="2" ht="22.5" customHeight="1">
      <c r="A2" s="67" t="s">
        <v>126</v>
      </c>
      <c r="B2" s="68"/>
      <c r="C2" s="68"/>
      <c r="D2" s="68"/>
      <c r="E2" s="68"/>
      <c r="F2" s="69"/>
      <c r="G2" s="70"/>
      <c r="H2" s="71" t="s">
        <v>127</v>
      </c>
      <c r="I2" s="72"/>
    </row>
    <row r="3" ht="22.5" customHeight="1">
      <c r="A3" s="73"/>
      <c r="B3" s="74" t="s">
        <v>128</v>
      </c>
      <c r="C3" s="39"/>
      <c r="D3" s="75" t="s">
        <v>129</v>
      </c>
      <c r="E3" s="38"/>
      <c r="F3" s="38"/>
      <c r="G3" s="38"/>
      <c r="H3" s="39"/>
      <c r="I3" s="76" t="s">
        <v>130</v>
      </c>
    </row>
    <row r="4" ht="22.5" customHeight="1">
      <c r="A4" s="77" t="s">
        <v>131</v>
      </c>
      <c r="B4" s="38"/>
      <c r="C4" s="38"/>
      <c r="D4" s="38"/>
      <c r="E4" s="38"/>
      <c r="F4" s="38"/>
      <c r="G4" s="38"/>
      <c r="H4" s="38"/>
      <c r="I4" s="78">
        <f>(countif(A5:A23,"Y")/19)</f>
        <v>0</v>
      </c>
    </row>
    <row r="5" ht="30.0" customHeight="1">
      <c r="A5" s="63" t="s">
        <v>132</v>
      </c>
      <c r="B5" s="79" t="str">
        <f>hyperlink("https://en.uesp.net/wiki/Skyrim:Unbound", "Unbound")</f>
        <v>Unbound</v>
      </c>
      <c r="C5" s="39"/>
      <c r="D5" s="80" t="s">
        <v>133</v>
      </c>
      <c r="E5" s="38"/>
      <c r="F5" s="38"/>
      <c r="G5" s="38"/>
      <c r="H5" s="39"/>
      <c r="I5" s="81" t="s">
        <v>134</v>
      </c>
    </row>
    <row r="6" ht="30.0" customHeight="1">
      <c r="A6" s="63" t="s">
        <v>132</v>
      </c>
      <c r="B6" s="79" t="str">
        <f>hyperlink("https://en.uesp.net/wiki/Skyrim:Before_the_Storm", "Before the Storm")</f>
        <v>Before the Storm</v>
      </c>
      <c r="C6" s="39"/>
      <c r="D6" s="80" t="s">
        <v>135</v>
      </c>
      <c r="E6" s="38"/>
      <c r="F6" s="38"/>
      <c r="G6" s="38"/>
      <c r="H6" s="39"/>
      <c r="I6" s="82" t="s">
        <v>136</v>
      </c>
    </row>
    <row r="7" ht="30.0" customHeight="1">
      <c r="A7" s="63" t="s">
        <v>132</v>
      </c>
      <c r="B7" s="79" t="str">
        <f>hyperlink("https://en.uesp.net/wiki/Skyrim:Bleak_Falls_Barrow_(quest)", "Bleak Falls Barrow")</f>
        <v>Bleak Falls Barrow</v>
      </c>
      <c r="C7" s="39"/>
      <c r="D7" s="80" t="s">
        <v>137</v>
      </c>
      <c r="E7" s="38"/>
      <c r="F7" s="38"/>
      <c r="G7" s="38"/>
      <c r="H7" s="39"/>
      <c r="I7" s="82" t="s">
        <v>138</v>
      </c>
    </row>
    <row r="8" ht="30.0" customHeight="1">
      <c r="A8" s="63" t="s">
        <v>132</v>
      </c>
      <c r="B8" s="79" t="str">
        <f>hyperlink("https://en.uesp.net/wiki/Skyrim:Dragon_Rising", "Dragon Rising")</f>
        <v>Dragon Rising</v>
      </c>
      <c r="C8" s="39"/>
      <c r="D8" s="80" t="s">
        <v>139</v>
      </c>
      <c r="E8" s="38"/>
      <c r="F8" s="38"/>
      <c r="G8" s="38"/>
      <c r="H8" s="39"/>
      <c r="I8" s="82" t="s">
        <v>138</v>
      </c>
    </row>
    <row r="9" ht="30.0" customHeight="1">
      <c r="A9" s="63" t="s">
        <v>132</v>
      </c>
      <c r="B9" s="79" t="str">
        <f>hyperlink("https://en.uesp.net/wiki/Skyrim:The_Way_of_the_Voice", "The Way of the Voice")</f>
        <v>The Way of the Voice</v>
      </c>
      <c r="C9" s="39"/>
      <c r="D9" s="80" t="s">
        <v>140</v>
      </c>
      <c r="E9" s="38"/>
      <c r="F9" s="38"/>
      <c r="G9" s="38"/>
      <c r="H9" s="39"/>
      <c r="I9" s="82" t="s">
        <v>138</v>
      </c>
    </row>
    <row r="10" ht="30.0" customHeight="1">
      <c r="A10" s="63" t="s">
        <v>132</v>
      </c>
      <c r="B10" s="79" t="str">
        <f>hyperlink("https://en.uesp.net/wiki/Skyrim:The_Horn_of_Jurgen_Windcaller", "The Horn of Jurgen Windcaller")</f>
        <v>The Horn of Jurgen Windcaller</v>
      </c>
      <c r="C10" s="39"/>
      <c r="D10" s="80" t="s">
        <v>141</v>
      </c>
      <c r="E10" s="38"/>
      <c r="F10" s="38"/>
      <c r="G10" s="38"/>
      <c r="H10" s="39"/>
      <c r="I10" s="82" t="s">
        <v>142</v>
      </c>
    </row>
    <row r="11" ht="30.0" customHeight="1">
      <c r="A11" s="63" t="s">
        <v>132</v>
      </c>
      <c r="B11" s="79" t="str">
        <f>hyperlink("https://en.uesp.net/wiki/Skyrim:A_Blade_in_the_Dark", "A Blade in the Dark")</f>
        <v>A Blade in the Dark</v>
      </c>
      <c r="C11" s="39"/>
      <c r="D11" s="80" t="s">
        <v>143</v>
      </c>
      <c r="E11" s="38"/>
      <c r="F11" s="38"/>
      <c r="G11" s="38"/>
      <c r="H11" s="39"/>
      <c r="I11" s="82" t="s">
        <v>144</v>
      </c>
    </row>
    <row r="12" ht="30.0" customHeight="1">
      <c r="A12" s="63" t="s">
        <v>132</v>
      </c>
      <c r="B12" s="79" t="str">
        <f>hyperlink("https://en.uesp.net/wiki/Skyrim:Diplomatic_Immunity", "Diplomatic Immunity")</f>
        <v>Diplomatic Immunity</v>
      </c>
      <c r="C12" s="39"/>
      <c r="D12" s="80" t="s">
        <v>145</v>
      </c>
      <c r="E12" s="38"/>
      <c r="F12" s="38"/>
      <c r="G12" s="38"/>
      <c r="H12" s="39"/>
      <c r="I12" s="82" t="s">
        <v>146</v>
      </c>
    </row>
    <row r="13" ht="30.0" customHeight="1">
      <c r="A13" s="63" t="s">
        <v>132</v>
      </c>
      <c r="B13" s="79" t="str">
        <f>hyperlink("https://en.uesp.net/wiki/Skyrim:A_Cornered_Rat", "A Cornered Rat")</f>
        <v>A Cornered Rat</v>
      </c>
      <c r="C13" s="39"/>
      <c r="D13" s="80" t="s">
        <v>147</v>
      </c>
      <c r="E13" s="38"/>
      <c r="F13" s="38"/>
      <c r="G13" s="38"/>
      <c r="H13" s="39"/>
      <c r="I13" s="82" t="s">
        <v>146</v>
      </c>
    </row>
    <row r="14" ht="30.0" customHeight="1">
      <c r="A14" s="63" t="s">
        <v>132</v>
      </c>
      <c r="B14" s="79" t="str">
        <f>hyperlink("https://en.uesp.net/wiki/Skyrim:Alduin's_Wall", "Alduin's Wall")</f>
        <v>Alduin's Wall</v>
      </c>
      <c r="C14" s="39"/>
      <c r="D14" s="80" t="s">
        <v>148</v>
      </c>
      <c r="E14" s="38"/>
      <c r="F14" s="38"/>
      <c r="G14" s="38"/>
      <c r="H14" s="39"/>
      <c r="I14" s="82" t="s">
        <v>149</v>
      </c>
    </row>
    <row r="15" ht="30.0" customHeight="1">
      <c r="A15" s="63" t="s">
        <v>132</v>
      </c>
      <c r="B15" s="79" t="str">
        <f>hyperlink("https://en.uesp.net/wiki/Skyrim:The_Throat_of_the_World", "The Throat of the World")</f>
        <v>The Throat of the World</v>
      </c>
      <c r="C15" s="39"/>
      <c r="D15" s="80" t="s">
        <v>150</v>
      </c>
      <c r="E15" s="38"/>
      <c r="F15" s="38"/>
      <c r="G15" s="38"/>
      <c r="H15" s="39"/>
      <c r="I15" s="82" t="s">
        <v>142</v>
      </c>
    </row>
    <row r="16" ht="30.0" customHeight="1">
      <c r="A16" s="63" t="s">
        <v>132</v>
      </c>
      <c r="B16" s="79" t="str">
        <f>hyperlink("https://en.uesp.net/wiki/Skyrim:Elder_Knowledge", "Elder Knowledge")</f>
        <v>Elder Knowledge</v>
      </c>
      <c r="C16" s="39"/>
      <c r="D16" s="80" t="s">
        <v>151</v>
      </c>
      <c r="E16" s="38"/>
      <c r="F16" s="38"/>
      <c r="G16" s="38"/>
      <c r="H16" s="39"/>
      <c r="I16" s="82" t="s">
        <v>152</v>
      </c>
    </row>
    <row r="17" ht="30.0" customHeight="1">
      <c r="A17" s="63" t="s">
        <v>132</v>
      </c>
      <c r="B17" s="79" t="str">
        <f>hyperlink("https://en.uesp.net/wiki/Skyrim:Alduin's_Bane", "Alduin's Bane")</f>
        <v>Alduin's Bane</v>
      </c>
      <c r="C17" s="39"/>
      <c r="D17" s="80" t="s">
        <v>153</v>
      </c>
      <c r="E17" s="38"/>
      <c r="F17" s="38"/>
      <c r="G17" s="38"/>
      <c r="H17" s="39"/>
      <c r="I17" s="82" t="s">
        <v>152</v>
      </c>
    </row>
    <row r="18" ht="33.75" customHeight="1">
      <c r="A18" s="63" t="s">
        <v>132</v>
      </c>
      <c r="B18" s="79" t="str">
        <f>hyperlink("https://en.uesp.net/wiki/Skyrim:The_Fallen", "The Fallen")</f>
        <v>The Fallen</v>
      </c>
      <c r="C18" s="39"/>
      <c r="D18" s="80" t="s">
        <v>154</v>
      </c>
      <c r="E18" s="38"/>
      <c r="F18" s="38"/>
      <c r="G18" s="38"/>
      <c r="H18" s="39"/>
      <c r="I18" s="82" t="s">
        <v>155</v>
      </c>
    </row>
    <row r="19" ht="30.0" customHeight="1">
      <c r="A19" s="63" t="s">
        <v>132</v>
      </c>
      <c r="B19" s="79" t="str">
        <f>hyperlink("https://en.uesp.net/wiki/Skyrim:Paarthurnax_(quest)", "Paarthurnax (optional)")</f>
        <v>Paarthurnax (optional)</v>
      </c>
      <c r="C19" s="39"/>
      <c r="D19" s="80" t="s">
        <v>156</v>
      </c>
      <c r="E19" s="38"/>
      <c r="F19" s="38"/>
      <c r="G19" s="38"/>
      <c r="H19" s="39"/>
      <c r="I19" s="82"/>
    </row>
    <row r="20" ht="30.0" customHeight="1">
      <c r="A20" s="63" t="s">
        <v>132</v>
      </c>
      <c r="B20" s="79" t="str">
        <f>hyperlink("https://en.uesp.net/wiki/Skyrim:Season_Unending", "Season Unending (optional)")</f>
        <v>Season Unending (optional)</v>
      </c>
      <c r="C20" s="39"/>
      <c r="D20" s="80" t="s">
        <v>157</v>
      </c>
      <c r="E20" s="38"/>
      <c r="F20" s="38"/>
      <c r="G20" s="38"/>
      <c r="H20" s="39"/>
      <c r="I20" s="82"/>
    </row>
    <row r="21" ht="30.0" customHeight="1">
      <c r="A21" s="63" t="s">
        <v>132</v>
      </c>
      <c r="B21" s="79" t="str">
        <f>hyperlink("https://en.uesp.net/wiki/Skyrim:The_World-Eater's_Eyrie", "The World-Eater's Eyrie")</f>
        <v>The World-Eater's Eyrie</v>
      </c>
      <c r="C21" s="39"/>
      <c r="D21" s="80" t="s">
        <v>158</v>
      </c>
      <c r="E21" s="38"/>
      <c r="F21" s="38"/>
      <c r="G21" s="38"/>
      <c r="H21" s="39"/>
      <c r="I21" s="82"/>
    </row>
    <row r="22" ht="30.0" customHeight="1">
      <c r="A22" s="63" t="s">
        <v>132</v>
      </c>
      <c r="B22" s="79" t="str">
        <f>hyperlink("https://en.uesp.net/wiki/Skyrim:Sovngarde_(quest)", "Sovngarde")</f>
        <v>Sovngarde</v>
      </c>
      <c r="C22" s="39"/>
      <c r="D22" s="80" t="s">
        <v>159</v>
      </c>
      <c r="E22" s="38"/>
      <c r="F22" s="38"/>
      <c r="G22" s="38"/>
      <c r="H22" s="39"/>
      <c r="I22" s="82"/>
    </row>
    <row r="23" ht="30.0" customHeight="1">
      <c r="A23" s="63" t="s">
        <v>132</v>
      </c>
      <c r="B23" s="79" t="str">
        <f>hyperlink("https://en.uesp.net/wiki/Skyrim:Dragonslayer", "Dragonslayer")</f>
        <v>Dragonslayer</v>
      </c>
      <c r="C23" s="39"/>
      <c r="D23" s="80" t="s">
        <v>160</v>
      </c>
      <c r="E23" s="38"/>
      <c r="F23" s="38"/>
      <c r="G23" s="38"/>
      <c r="H23" s="39"/>
      <c r="I23" s="82"/>
    </row>
    <row r="24" ht="22.5" customHeight="1">
      <c r="A24" s="83"/>
      <c r="B24" s="84"/>
      <c r="C24" s="84"/>
      <c r="D24" s="84"/>
      <c r="E24" s="85"/>
      <c r="F24" s="83"/>
      <c r="G24" s="84"/>
      <c r="H24" s="84"/>
      <c r="I24" s="86"/>
    </row>
    <row r="25" ht="22.5" customHeight="1">
      <c r="A25" s="87" t="s">
        <v>161</v>
      </c>
      <c r="B25" s="88"/>
      <c r="C25" s="88"/>
      <c r="D25" s="88"/>
      <c r="E25" s="88"/>
      <c r="F25" s="88"/>
      <c r="G25" s="88"/>
      <c r="H25" s="88"/>
      <c r="I25" s="89"/>
    </row>
    <row r="26" ht="22.5" customHeight="1">
      <c r="A26" s="90"/>
      <c r="B26" s="91"/>
      <c r="C26" s="91"/>
      <c r="D26" s="91"/>
      <c r="E26" s="91"/>
      <c r="F26" s="91"/>
      <c r="G26" s="91"/>
      <c r="H26" s="91"/>
      <c r="I26" s="72"/>
    </row>
    <row r="27" ht="22.5" customHeight="1">
      <c r="A27" s="92" t="s">
        <v>162</v>
      </c>
      <c r="B27" s="38"/>
      <c r="C27" s="38"/>
      <c r="D27" s="38"/>
      <c r="E27" s="38"/>
      <c r="F27" s="38"/>
      <c r="G27" s="38"/>
      <c r="H27" s="38"/>
      <c r="I27" s="93">
        <f>((countif(A29:A44,"Y")+countif(F29:F44,"Y"))/25)</f>
        <v>0</v>
      </c>
    </row>
    <row r="28" ht="22.5" customHeight="1">
      <c r="A28" s="94" t="s">
        <v>163</v>
      </c>
      <c r="B28" s="38"/>
      <c r="C28" s="38"/>
      <c r="D28" s="39"/>
      <c r="E28" s="95"/>
      <c r="F28" s="94" t="s">
        <v>164</v>
      </c>
      <c r="G28" s="38"/>
      <c r="H28" s="38"/>
      <c r="I28" s="39"/>
    </row>
    <row r="29" ht="22.5" customHeight="1">
      <c r="A29" s="63" t="s">
        <v>132</v>
      </c>
      <c r="B29" s="96" t="str">
        <f>hyperlink("https://en.uesp.net/wiki/Skyrim:College_Objective_Quest", "College Objective Quest")</f>
        <v>College Objective Quest</v>
      </c>
      <c r="C29" s="82" t="s">
        <v>165</v>
      </c>
      <c r="D29" s="82"/>
      <c r="E29" s="95"/>
      <c r="F29" s="63" t="s">
        <v>132</v>
      </c>
      <c r="G29" s="96" t="str">
        <f>hyperlink("https://en.uesp.net/wiki/Skyrim:Enchanting_Pick-Up", "Enchanting Pick-Up")</f>
        <v>Enchanting Pick-Up</v>
      </c>
      <c r="H29" s="82" t="s">
        <v>166</v>
      </c>
      <c r="I29" s="82" t="s">
        <v>167</v>
      </c>
    </row>
    <row r="30" ht="22.5" customHeight="1">
      <c r="A30" s="63" t="s">
        <v>132</v>
      </c>
      <c r="B30" s="96" t="str">
        <f>hyperlink("https://en.uesp.net/wiki/Skyrim:First_Lessons", "First Lessons")</f>
        <v>First Lessons</v>
      </c>
      <c r="C30" s="82" t="s">
        <v>168</v>
      </c>
      <c r="D30" s="82"/>
      <c r="E30" s="95"/>
      <c r="F30" s="63" t="s">
        <v>132</v>
      </c>
      <c r="G30" s="96" t="str">
        <f>hyperlink("https://en.uesp.net/wiki/Skyrim:Restocking_Soul_Gems", "Restocking Soul Gems")</f>
        <v>Restocking Soul Gems</v>
      </c>
      <c r="H30" s="82" t="s">
        <v>169</v>
      </c>
      <c r="I30" s="82" t="s">
        <v>167</v>
      </c>
    </row>
    <row r="31" ht="22.5" customHeight="1">
      <c r="A31" s="63" t="s">
        <v>132</v>
      </c>
      <c r="B31" s="96" t="str">
        <f>hyperlink("https://en.uesp.net/wiki/Skyrim:Under_Saarthal", "Under Saarthal")</f>
        <v>Under Saarthal</v>
      </c>
      <c r="C31" s="82" t="s">
        <v>170</v>
      </c>
      <c r="D31" s="82" t="s">
        <v>171</v>
      </c>
      <c r="E31" s="95"/>
      <c r="F31" s="63" t="s">
        <v>132</v>
      </c>
      <c r="G31" s="96" t="str">
        <f>hyperlink("https://en.uesp.net/wiki/Skyrim:Tolfdir_The_Absent-Minded", "Tolfdir The Absent-Minded")</f>
        <v>Tolfdir The Absent-Minded</v>
      </c>
      <c r="H31" s="82" t="s">
        <v>172</v>
      </c>
      <c r="I31" s="82" t="s">
        <v>171</v>
      </c>
    </row>
    <row r="32" ht="22.5" customHeight="1">
      <c r="A32" s="63" t="s">
        <v>132</v>
      </c>
      <c r="B32" s="96" t="str">
        <f>hyperlink("https://en.uesp.net/wiki/Skyrim:Hitting_the_Books", "Hitting the Books")</f>
        <v>Hitting the Books</v>
      </c>
      <c r="C32" s="82" t="s">
        <v>173</v>
      </c>
      <c r="D32" s="82" t="s">
        <v>174</v>
      </c>
      <c r="E32" s="95"/>
      <c r="F32" s="63" t="s">
        <v>132</v>
      </c>
      <c r="G32" s="96" t="str">
        <f>hyperlink("https://en.uesp.net/wiki/Skyrim:Aftershock", "Aftershock")</f>
        <v>Aftershock</v>
      </c>
      <c r="H32" s="82" t="s">
        <v>175</v>
      </c>
      <c r="I32" s="82" t="s">
        <v>171</v>
      </c>
    </row>
    <row r="33" ht="22.5" customHeight="1">
      <c r="A33" s="63" t="s">
        <v>132</v>
      </c>
      <c r="B33" s="96" t="str">
        <f>hyperlink("https://en.uesp.net/wiki/Skyrim:Good_Intentions", "Good Intentions")</f>
        <v>Good Intentions</v>
      </c>
      <c r="C33" s="82" t="s">
        <v>176</v>
      </c>
      <c r="D33" s="82" t="s">
        <v>171</v>
      </c>
      <c r="E33" s="95"/>
      <c r="F33" s="63" t="s">
        <v>132</v>
      </c>
      <c r="G33" s="96" t="str">
        <f>hyperlink("https://en.uesp.net/wiki/Skyrim:Fetch_me_that_Book!", "Fetch me that Book!")</f>
        <v>Fetch me that Book!</v>
      </c>
      <c r="H33" s="82" t="s">
        <v>177</v>
      </c>
      <c r="I33" s="82" t="s">
        <v>178</v>
      </c>
    </row>
    <row r="34" ht="22.5" customHeight="1">
      <c r="A34" s="63" t="s">
        <v>132</v>
      </c>
      <c r="B34" s="96" t="str">
        <f>hyperlink("https://en.uesp.net/wiki/Skyrim:Revealing_the_Unseen", "Revealing the Unseen")</f>
        <v>Revealing the Unseen</v>
      </c>
      <c r="C34" s="82" t="s">
        <v>179</v>
      </c>
      <c r="D34" s="82" t="s">
        <v>180</v>
      </c>
      <c r="E34" s="95"/>
      <c r="F34" s="63" t="s">
        <v>132</v>
      </c>
      <c r="G34" s="96" t="str">
        <f>hyperlink("https://en.uesp.net/wiki/Skyrim:Shalidor's_Insights", "Shalidor's Insights")</f>
        <v>Shalidor's Insights</v>
      </c>
      <c r="H34" s="82" t="s">
        <v>181</v>
      </c>
      <c r="I34" s="82" t="s">
        <v>182</v>
      </c>
    </row>
    <row r="35" ht="22.5" customHeight="1">
      <c r="A35" s="63" t="s">
        <v>132</v>
      </c>
      <c r="B35" s="96" t="str">
        <f>hyperlink("https://en.uesp.net/wiki/Skyrim:Containment", "Containment")</f>
        <v>Containment</v>
      </c>
      <c r="C35" s="82" t="s">
        <v>183</v>
      </c>
      <c r="D35" s="82"/>
      <c r="E35" s="95"/>
      <c r="F35" s="94" t="s">
        <v>184</v>
      </c>
      <c r="G35" s="38"/>
      <c r="H35" s="38"/>
      <c r="I35" s="39"/>
    </row>
    <row r="36" ht="22.5" customHeight="1">
      <c r="A36" s="63" t="s">
        <v>132</v>
      </c>
      <c r="B36" s="96" t="str">
        <f>hyperlink("https://en.uesp.net/wiki/Skyrim:The_Staff_of_Magnus", "The Staff of Magnus")</f>
        <v>The Staff of Magnus</v>
      </c>
      <c r="C36" s="82" t="s">
        <v>185</v>
      </c>
      <c r="D36" s="82" t="s">
        <v>180</v>
      </c>
      <c r="E36" s="95"/>
      <c r="F36" s="63" t="s">
        <v>132</v>
      </c>
      <c r="G36" s="96" t="str">
        <f>hyperlink("https://en.uesp.net/wiki/Skyrim:Alteration_Ritual_Spell", "Alteration Ritual Spell")</f>
        <v>Alteration Ritual Spell</v>
      </c>
      <c r="H36" s="82" t="s">
        <v>186</v>
      </c>
      <c r="I36" s="82" t="s">
        <v>171</v>
      </c>
    </row>
    <row r="37" ht="22.5" customHeight="1">
      <c r="A37" s="63" t="s">
        <v>132</v>
      </c>
      <c r="B37" s="96" t="str">
        <f>hyperlink("https://en.uesp.net/wiki/Skyrim:The_Eye_of_Magnus", "The Eye of Magnus")</f>
        <v>The Eye of Magnus</v>
      </c>
      <c r="C37" s="82" t="s">
        <v>187</v>
      </c>
      <c r="D37" s="82"/>
      <c r="E37" s="95"/>
      <c r="F37" s="63" t="s">
        <v>132</v>
      </c>
      <c r="G37" s="96" t="str">
        <f>hyperlink("https://en.uesp.net/wiki/Skyrim:Conjuration_Ritual_Spell", "Conjuration Ritual Spell")</f>
        <v>Conjuration Ritual Spell</v>
      </c>
      <c r="H37" s="82" t="s">
        <v>188</v>
      </c>
      <c r="I37" s="82" t="s">
        <v>189</v>
      </c>
    </row>
    <row r="38" ht="22.5" customHeight="1">
      <c r="A38" s="94" t="s">
        <v>190</v>
      </c>
      <c r="B38" s="38"/>
      <c r="C38" s="38"/>
      <c r="D38" s="39"/>
      <c r="E38" s="95"/>
      <c r="F38" s="63" t="s">
        <v>132</v>
      </c>
      <c r="G38" s="96" t="str">
        <f>hyperlink("https://en.uesp.net/wiki/Skyrim:Destruction_Ritual_Spell", "Destruction Ritual Spell")</f>
        <v>Destruction Ritual Spell</v>
      </c>
      <c r="H38" s="82" t="s">
        <v>191</v>
      </c>
      <c r="I38" s="82" t="s">
        <v>192</v>
      </c>
    </row>
    <row r="39" ht="22.5" customHeight="1">
      <c r="A39" s="63" t="s">
        <v>132</v>
      </c>
      <c r="B39" s="96" t="str">
        <f>hyperlink("https://en.uesp.net/wiki/Skyrim:Arniel's_Endeavor", "Arniel's Endeavor")</f>
        <v>Arniel's Endeavor</v>
      </c>
      <c r="C39" s="82" t="s">
        <v>193</v>
      </c>
      <c r="D39" s="82" t="s">
        <v>194</v>
      </c>
      <c r="E39" s="95"/>
      <c r="F39" s="63" t="s">
        <v>132</v>
      </c>
      <c r="G39" s="96" t="str">
        <f>hyperlink("https://en.uesp.net/wiki/Skyrim:Illusion_Ritual_Spell", "Illusion Ritual Spell")</f>
        <v>Illusion Ritual Spell</v>
      </c>
      <c r="H39" s="82" t="s">
        <v>195</v>
      </c>
      <c r="I39" s="82" t="s">
        <v>196</v>
      </c>
    </row>
    <row r="40" ht="22.5" customHeight="1">
      <c r="A40" s="63" t="s">
        <v>132</v>
      </c>
      <c r="B40" s="96" t="str">
        <f>hyperlink("https://en.uesp.net/wiki/Skyrim:Brelyna's_Practice", "Brelyna's Practice")</f>
        <v>Brelyna's Practice</v>
      </c>
      <c r="C40" s="82" t="s">
        <v>197</v>
      </c>
      <c r="D40" s="82" t="s">
        <v>198</v>
      </c>
      <c r="E40" s="95"/>
      <c r="F40" s="63" t="s">
        <v>132</v>
      </c>
      <c r="G40" s="97" t="str">
        <f>hyperlink("https://en.uesp.net/wiki/Skyrim:Restoration_Ritual_Spell", "Restoration Ritual Spell")</f>
        <v>Restoration Ritual Spell</v>
      </c>
      <c r="H40" s="98" t="s">
        <v>199</v>
      </c>
      <c r="I40" s="98" t="s">
        <v>200</v>
      </c>
    </row>
    <row r="41" ht="22.5" customHeight="1">
      <c r="A41" s="63" t="s">
        <v>132</v>
      </c>
      <c r="B41" s="96" t="str">
        <f>hyperlink("https://en.uesp.net/wiki/Skyrim:J'zargo's_Experiment", "J'zargo's Experiment")</f>
        <v>J'zargo's Experiment</v>
      </c>
      <c r="C41" s="82" t="s">
        <v>201</v>
      </c>
      <c r="D41" s="82" t="s">
        <v>202</v>
      </c>
      <c r="E41" s="95"/>
      <c r="F41" s="99"/>
      <c r="G41" s="100"/>
      <c r="H41" s="101"/>
      <c r="I41" s="102"/>
    </row>
    <row r="42" ht="22.5" customHeight="1">
      <c r="A42" s="63" t="s">
        <v>132</v>
      </c>
      <c r="B42" s="96" t="str">
        <f>hyperlink("https://en.uesp.net/wiki/Skyrim:Onmund's_Request", "Onmund's Request")</f>
        <v>Onmund's Request</v>
      </c>
      <c r="C42" s="82" t="s">
        <v>203</v>
      </c>
      <c r="D42" s="82" t="s">
        <v>204</v>
      </c>
      <c r="E42" s="95"/>
      <c r="F42" s="103"/>
      <c r="G42" s="104"/>
      <c r="H42" s="105"/>
      <c r="I42" s="106"/>
    </row>
    <row r="43" ht="22.5" customHeight="1">
      <c r="A43" s="63" t="s">
        <v>132</v>
      </c>
      <c r="B43" s="96" t="str">
        <f>hyperlink("https://en.uesp.net/wiki/Skyrim:Out_of_Balance", "Out of Balance")</f>
        <v>Out of Balance</v>
      </c>
      <c r="C43" s="82" t="s">
        <v>205</v>
      </c>
      <c r="D43" s="82" t="s">
        <v>196</v>
      </c>
      <c r="E43" s="95"/>
      <c r="F43" s="103"/>
      <c r="G43" s="104"/>
      <c r="H43" s="105"/>
      <c r="I43" s="106"/>
    </row>
    <row r="44" ht="22.5" customHeight="1">
      <c r="A44" s="63" t="s">
        <v>132</v>
      </c>
      <c r="B44" s="96" t="str">
        <f>hyperlink("https://en.uesp.net/wiki/Skyrim:Rejoining_the_College", "Rejoining the College")</f>
        <v>Rejoining the College</v>
      </c>
      <c r="C44" s="82" t="s">
        <v>206</v>
      </c>
      <c r="D44" s="81" t="s">
        <v>207</v>
      </c>
      <c r="E44" s="95"/>
      <c r="F44" s="107"/>
      <c r="G44" s="108"/>
      <c r="H44" s="109"/>
      <c r="I44" s="110"/>
    </row>
    <row r="45" ht="22.5" customHeight="1">
      <c r="A45" s="111"/>
      <c r="B45" s="112"/>
      <c r="C45" s="112"/>
      <c r="D45" s="112"/>
      <c r="E45" s="113"/>
      <c r="F45" s="111"/>
      <c r="G45" s="112"/>
      <c r="H45" s="112"/>
      <c r="I45" s="114"/>
    </row>
    <row r="46" ht="22.5" customHeight="1">
      <c r="A46" s="92" t="s">
        <v>208</v>
      </c>
      <c r="B46" s="38"/>
      <c r="C46" s="38"/>
      <c r="D46" s="115">
        <f>(countif(A48:A53,"Y")/5)</f>
        <v>0</v>
      </c>
      <c r="E46" s="95"/>
      <c r="F46" s="92" t="s">
        <v>209</v>
      </c>
      <c r="G46" s="38"/>
      <c r="H46" s="38"/>
      <c r="I46" s="93">
        <f>(countif(F48:F73,"Y")/19)</f>
        <v>0</v>
      </c>
    </row>
    <row r="47" ht="22.5" customHeight="1">
      <c r="A47" s="94" t="s">
        <v>210</v>
      </c>
      <c r="B47" s="38"/>
      <c r="C47" s="38"/>
      <c r="D47" s="39"/>
      <c r="E47" s="95"/>
      <c r="F47" s="94" t="s">
        <v>211</v>
      </c>
      <c r="G47" s="38"/>
      <c r="H47" s="38"/>
      <c r="I47" s="39"/>
    </row>
    <row r="48" ht="22.5" customHeight="1">
      <c r="A48" s="63" t="s">
        <v>132</v>
      </c>
      <c r="B48" s="116" t="str">
        <f>hyperlink("https://en.uesp.net/wiki/Skyrim:Tending_the_Flames", "Tending the Flames") </f>
        <v>Tending the Flames</v>
      </c>
      <c r="C48" s="117" t="s">
        <v>212</v>
      </c>
      <c r="D48" s="117" t="s">
        <v>213</v>
      </c>
      <c r="E48" s="95"/>
      <c r="F48" s="63" t="s">
        <v>132</v>
      </c>
      <c r="G48" s="118" t="s">
        <v>214</v>
      </c>
      <c r="H48" s="82" t="s">
        <v>215</v>
      </c>
      <c r="I48" s="81" t="s">
        <v>216</v>
      </c>
    </row>
    <row r="49" ht="22.5" customHeight="1">
      <c r="A49" s="94" t="s">
        <v>217</v>
      </c>
      <c r="B49" s="38"/>
      <c r="C49" s="38"/>
      <c r="D49" s="39"/>
      <c r="E49" s="95"/>
      <c r="F49" s="119" t="s">
        <v>218</v>
      </c>
      <c r="G49" s="38"/>
      <c r="H49" s="38"/>
      <c r="I49" s="39"/>
    </row>
    <row r="50" ht="22.5" customHeight="1">
      <c r="A50" s="63" t="s">
        <v>132</v>
      </c>
      <c r="B50" s="120" t="str">
        <f>hyperlink("https://en.uesp.net/wiki/Skyrim:Investigate_the_Bards_College", "Investigate the Bards College") </f>
        <v>Investigate the Bards College</v>
      </c>
      <c r="C50" s="82" t="s">
        <v>219</v>
      </c>
      <c r="D50" s="82" t="s">
        <v>220</v>
      </c>
      <c r="E50" s="95"/>
      <c r="F50" s="63" t="s">
        <v>132</v>
      </c>
      <c r="G50" s="96" t="str">
        <f> hyperlink("https://en.uesp.net/wiki/Skyrim:Proving_Honor", "Proving Honor")</f>
        <v>Proving Honor</v>
      </c>
      <c r="H50" s="82" t="s">
        <v>221</v>
      </c>
      <c r="I50" s="82" t="s">
        <v>222</v>
      </c>
    </row>
    <row r="51" ht="22.5" customHeight="1">
      <c r="A51" s="63" t="s">
        <v>132</v>
      </c>
      <c r="B51" s="96" t="str">
        <f>hyperlink("https://en.uesp.net/wiki/Skyrim:Finn's_Lute", "Finn's Lute")</f>
        <v>Finn's Lute</v>
      </c>
      <c r="C51" s="82" t="s">
        <v>223</v>
      </c>
      <c r="D51" s="82" t="s">
        <v>224</v>
      </c>
      <c r="E51" s="95"/>
      <c r="F51" s="119" t="s">
        <v>218</v>
      </c>
      <c r="G51" s="38"/>
      <c r="H51" s="38"/>
      <c r="I51" s="39"/>
    </row>
    <row r="52" ht="22.5" customHeight="1">
      <c r="A52" s="63" t="s">
        <v>132</v>
      </c>
      <c r="B52" s="96" t="str">
        <f>hyperlink("https://en.uesp.net/wiki/Skyrim:Pantea's_Flute", "Pantea's Flute")</f>
        <v>Pantea's Flute</v>
      </c>
      <c r="C52" s="82" t="s">
        <v>225</v>
      </c>
      <c r="D52" s="82" t="s">
        <v>226</v>
      </c>
      <c r="E52" s="95"/>
      <c r="F52" s="63" t="s">
        <v>132</v>
      </c>
      <c r="G52" s="96" t="str">
        <f>hyperlink("https://en.uesp.net/wiki/Skyrim:The_Silver_Hand", "The Silver Hand")</f>
        <v>The Silver Hand</v>
      </c>
      <c r="H52" s="82" t="s">
        <v>227</v>
      </c>
      <c r="I52" s="82" t="s">
        <v>222</v>
      </c>
    </row>
    <row r="53" ht="22.5" customHeight="1">
      <c r="A53" s="63" t="s">
        <v>132</v>
      </c>
      <c r="B53" s="96" t="str">
        <f>hyperlink("https://en.uesp.net/wiki/Skyrim:Rjorn's_Drum", "Rjorn's Drum")</f>
        <v>Rjorn's Drum</v>
      </c>
      <c r="C53" s="82" t="s">
        <v>228</v>
      </c>
      <c r="D53" s="82" t="s">
        <v>229</v>
      </c>
      <c r="E53" s="95"/>
      <c r="F53" s="119" t="s">
        <v>230</v>
      </c>
      <c r="G53" s="38"/>
      <c r="H53" s="38"/>
      <c r="I53" s="39"/>
    </row>
    <row r="54" ht="22.5" customHeight="1">
      <c r="A54" s="92" t="s">
        <v>231</v>
      </c>
      <c r="B54" s="38"/>
      <c r="C54" s="38"/>
      <c r="D54" s="115">
        <f>(countif(A56:A58,"Y")/3)</f>
        <v>0</v>
      </c>
      <c r="E54" s="121"/>
      <c r="F54" s="63" t="s">
        <v>132</v>
      </c>
      <c r="G54" s="96" t="str">
        <f>hyperlink("https://en.uesp.net/wiki/Skyrim:Blood's_Honor", "Blood's Honor")</f>
        <v>Blood's Honor</v>
      </c>
      <c r="H54" s="82" t="s">
        <v>232</v>
      </c>
      <c r="I54" s="82" t="s">
        <v>233</v>
      </c>
    </row>
    <row r="55" ht="22.5" customHeight="1">
      <c r="A55" s="94" t="s">
        <v>217</v>
      </c>
      <c r="B55" s="38"/>
      <c r="C55" s="38"/>
      <c r="D55" s="39"/>
      <c r="E55" s="121"/>
      <c r="F55" s="63" t="s">
        <v>132</v>
      </c>
      <c r="G55" s="122" t="str">
        <f>hyperlink("https://en.uesp.net/wiki/Skyrim:Purity_of_Revenge", "Purity of Revenge")</f>
        <v>Purity of Revenge</v>
      </c>
      <c r="H55" s="123" t="s">
        <v>234</v>
      </c>
      <c r="I55" s="123" t="s">
        <v>235</v>
      </c>
    </row>
    <row r="56" ht="22.5" customHeight="1">
      <c r="A56" s="63" t="s">
        <v>132</v>
      </c>
      <c r="B56" s="96" t="str">
        <f>hyperlink("https://en.uesp.net/wiki/Skyrim:Rebuilding_the_Blades", "Rebuilding the Blades") </f>
        <v>Rebuilding the Blades</v>
      </c>
      <c r="C56" s="82" t="s">
        <v>236</v>
      </c>
      <c r="D56" s="82" t="s">
        <v>146</v>
      </c>
      <c r="E56" s="121"/>
      <c r="F56" s="63" t="s">
        <v>132</v>
      </c>
      <c r="G56" s="96" t="str">
        <f>hyperlink("https://en.uesp.net/wiki/Skyrim:Glory_of_the_Dead", "Glory of the Dead")</f>
        <v>Glory of the Dead</v>
      </c>
      <c r="H56" s="82" t="s">
        <v>237</v>
      </c>
      <c r="I56" s="82" t="s">
        <v>235</v>
      </c>
    </row>
    <row r="57" ht="22.5" customHeight="1">
      <c r="A57" s="63" t="s">
        <v>132</v>
      </c>
      <c r="B57" s="96" t="str">
        <f>hyperlink("https://en.uesp.net/wiki/Skyrim:Dragon_Hunting", "Dragon Hunting") </f>
        <v>Dragon Hunting</v>
      </c>
      <c r="C57" s="82" t="s">
        <v>238</v>
      </c>
      <c r="D57" s="82" t="s">
        <v>149</v>
      </c>
      <c r="E57" s="121"/>
      <c r="F57" s="94" t="s">
        <v>164</v>
      </c>
      <c r="G57" s="38"/>
      <c r="H57" s="38"/>
      <c r="I57" s="39"/>
    </row>
    <row r="58" ht="22.5" customHeight="1">
      <c r="A58" s="63" t="s">
        <v>132</v>
      </c>
      <c r="B58" s="96" t="str">
        <f>hyperlink("https://en.uesp.net/wiki/Skyrim:Dragon_Research", "Dragon Research") </f>
        <v>Dragon Research</v>
      </c>
      <c r="C58" s="82" t="s">
        <v>239</v>
      </c>
      <c r="D58" s="82" t="s">
        <v>149</v>
      </c>
      <c r="E58" s="95"/>
      <c r="F58" s="124" t="s">
        <v>240</v>
      </c>
      <c r="G58" s="38"/>
      <c r="H58" s="38"/>
      <c r="I58" s="39"/>
    </row>
    <row r="59" ht="22.5" customHeight="1">
      <c r="A59" s="125"/>
      <c r="B59" s="126"/>
      <c r="C59" s="126"/>
      <c r="D59" s="126"/>
      <c r="E59" s="95"/>
      <c r="F59" s="63" t="s">
        <v>132</v>
      </c>
      <c r="G59" s="127" t="str">
        <f t="shared" ref="G59:G60" si="1">hyperlink("https://en.uesp.net/wiki/Skyrim:Animal_Extermination", "Animal Extermination")</f>
        <v>Animal Extermination</v>
      </c>
      <c r="H59" s="82" t="s">
        <v>241</v>
      </c>
      <c r="I59" s="82" t="s">
        <v>242</v>
      </c>
    </row>
    <row r="60" ht="22.5" customHeight="1">
      <c r="A60" s="125"/>
      <c r="B60" s="126"/>
      <c r="C60" s="126"/>
      <c r="D60" s="126"/>
      <c r="E60" s="95"/>
      <c r="F60" s="63" t="s">
        <v>132</v>
      </c>
      <c r="G60" s="127" t="str">
        <f t="shared" si="1"/>
        <v>Animal Extermination</v>
      </c>
      <c r="H60" s="82" t="s">
        <v>243</v>
      </c>
      <c r="I60" s="82" t="s">
        <v>242</v>
      </c>
    </row>
    <row r="61" ht="22.5" customHeight="1">
      <c r="A61" s="125"/>
      <c r="B61" s="126"/>
      <c r="C61" s="126"/>
      <c r="D61" s="126"/>
      <c r="E61" s="95"/>
      <c r="F61" s="63" t="s">
        <v>132</v>
      </c>
      <c r="G61" s="127" t="str">
        <f>hyperlink("https://en.uesp.net/wiki/Skyrim:Striking_the_Heart", "Striking the Heart")</f>
        <v>Striking the Heart</v>
      </c>
      <c r="H61" s="82" t="s">
        <v>244</v>
      </c>
      <c r="I61" s="82" t="s">
        <v>242</v>
      </c>
    </row>
    <row r="62" ht="22.5" customHeight="1">
      <c r="A62" s="128"/>
      <c r="B62" s="129"/>
      <c r="C62" s="129"/>
      <c r="D62" s="129"/>
      <c r="E62" s="95"/>
      <c r="F62" s="63" t="s">
        <v>132</v>
      </c>
      <c r="G62" s="127" t="str">
        <f>hyperlink("https://en.uesp.net/wiki/Skyrim:Stealing_Plans", "Stealing Plans")</f>
        <v>Stealing Plans</v>
      </c>
      <c r="H62" s="82" t="s">
        <v>245</v>
      </c>
      <c r="I62" s="82" t="s">
        <v>242</v>
      </c>
    </row>
    <row r="63" ht="22.5" customHeight="1">
      <c r="A63" s="128"/>
      <c r="B63" s="129"/>
      <c r="C63" s="129"/>
      <c r="D63" s="129"/>
      <c r="E63" s="95"/>
      <c r="F63" s="63" t="s">
        <v>132</v>
      </c>
      <c r="G63" s="127" t="str">
        <f>hyperlink("https://en.uesp.net/wiki/Skyrim:Retrieval", "Retrieval")</f>
        <v>Retrieval</v>
      </c>
      <c r="H63" s="82" t="s">
        <v>246</v>
      </c>
      <c r="I63" s="82" t="s">
        <v>242</v>
      </c>
    </row>
    <row r="64" ht="22.5" customHeight="1">
      <c r="A64" s="128"/>
      <c r="B64" s="129"/>
      <c r="C64" s="129"/>
      <c r="D64" s="129"/>
      <c r="E64" s="95"/>
      <c r="F64" s="63" t="s">
        <v>132</v>
      </c>
      <c r="G64" s="127" t="str">
        <f>hyperlink("https://en.uesp.net/wiki/Skyrim:Totems_of_Hircine", "Totems of Hircine")</f>
        <v>Totems of Hircine</v>
      </c>
      <c r="H64" s="82" t="s">
        <v>247</v>
      </c>
      <c r="I64" s="82" t="s">
        <v>242</v>
      </c>
    </row>
    <row r="65" ht="22.5" customHeight="1">
      <c r="A65" s="128"/>
      <c r="B65" s="129"/>
      <c r="C65" s="129"/>
      <c r="D65" s="129"/>
      <c r="E65" s="95"/>
      <c r="F65" s="124" t="s">
        <v>248</v>
      </c>
      <c r="G65" s="38"/>
      <c r="H65" s="38"/>
      <c r="I65" s="39"/>
    </row>
    <row r="66" ht="22.5" customHeight="1">
      <c r="A66" s="125"/>
      <c r="B66" s="126"/>
      <c r="C66" s="126"/>
      <c r="D66" s="126"/>
      <c r="E66" s="95"/>
      <c r="F66" s="63" t="s">
        <v>132</v>
      </c>
      <c r="G66" s="96" t="str">
        <f>hyperlink("https://en.uesp.net/wiki/Skyrim:Hired_Muscle", "Hired Muscle")</f>
        <v>Hired Muscle</v>
      </c>
      <c r="H66" s="82" t="s">
        <v>249</v>
      </c>
      <c r="I66" s="82" t="s">
        <v>250</v>
      </c>
    </row>
    <row r="67" ht="22.5" customHeight="1">
      <c r="A67" s="125"/>
      <c r="B67" s="126"/>
      <c r="C67" s="126"/>
      <c r="D67" s="126"/>
      <c r="E67" s="95"/>
      <c r="F67" s="63" t="s">
        <v>132</v>
      </c>
      <c r="G67" s="96" t="str">
        <f>hyperlink("https://en.uesp.net/wiki/Skyrim:Trouble_in_Skyrim", "Trouble in Skyrim")</f>
        <v>Trouble in Skyrim</v>
      </c>
      <c r="H67" s="82" t="s">
        <v>251</v>
      </c>
      <c r="I67" s="82" t="s">
        <v>250</v>
      </c>
    </row>
    <row r="68" ht="22.5" customHeight="1">
      <c r="A68" s="128"/>
      <c r="B68" s="129"/>
      <c r="C68" s="129"/>
      <c r="D68" s="129"/>
      <c r="E68" s="95"/>
      <c r="F68" s="124" t="s">
        <v>252</v>
      </c>
      <c r="G68" s="38"/>
      <c r="H68" s="38"/>
      <c r="I68" s="39"/>
    </row>
    <row r="69" ht="22.5" customHeight="1">
      <c r="A69" s="128"/>
      <c r="B69" s="129"/>
      <c r="C69" s="129"/>
      <c r="D69" s="129"/>
      <c r="E69" s="95"/>
      <c r="F69" s="63" t="s">
        <v>132</v>
      </c>
      <c r="G69" s="96" t="str">
        <f>hyperlink("https://en.uesp.net/wiki/Skyrim:Family_Heirloom", "Family Heirloom")</f>
        <v>Family Heirloom</v>
      </c>
      <c r="H69" s="82" t="s">
        <v>253</v>
      </c>
      <c r="I69" s="82" t="s">
        <v>254</v>
      </c>
    </row>
    <row r="70" ht="22.5" customHeight="1">
      <c r="A70" s="128"/>
      <c r="B70" s="129"/>
      <c r="C70" s="129"/>
      <c r="D70" s="129"/>
      <c r="E70" s="95"/>
      <c r="F70" s="63" t="s">
        <v>132</v>
      </c>
      <c r="G70" s="96" t="str">
        <f>hyperlink("https://en.uesp.net/wiki/Skyrim:Escaped_Criminal", "Escaped Criminal")</f>
        <v>Escaped Criminal</v>
      </c>
      <c r="H70" s="82" t="s">
        <v>255</v>
      </c>
      <c r="I70" s="82" t="s">
        <v>254</v>
      </c>
    </row>
    <row r="71" ht="22.5" customHeight="1">
      <c r="A71" s="128"/>
      <c r="B71" s="129"/>
      <c r="C71" s="129"/>
      <c r="D71" s="129"/>
      <c r="E71" s="95"/>
      <c r="F71" s="63" t="s">
        <v>132</v>
      </c>
      <c r="G71" s="96" t="str">
        <f>hyperlink("https://en.uesp.net/wiki/Skyrim:Rescue_Mission", "Rescue Mission")</f>
        <v>Rescue Mission</v>
      </c>
      <c r="H71" s="82" t="s">
        <v>256</v>
      </c>
      <c r="I71" s="82" t="s">
        <v>254</v>
      </c>
    </row>
    <row r="72" ht="22.5" customHeight="1">
      <c r="A72" s="130"/>
      <c r="B72" s="129"/>
      <c r="C72" s="129"/>
      <c r="D72" s="129"/>
      <c r="E72" s="95"/>
      <c r="F72" s="63" t="s">
        <v>132</v>
      </c>
      <c r="G72" s="96" t="str">
        <f>hyperlink("https://en.uesp.net/wiki/Skyrim:Purity", "Purity")</f>
        <v>Purity</v>
      </c>
      <c r="H72" s="82" t="s">
        <v>257</v>
      </c>
      <c r="I72" s="81" t="s">
        <v>258</v>
      </c>
    </row>
    <row r="73" ht="22.5" customHeight="1">
      <c r="A73" s="128"/>
      <c r="B73" s="129"/>
      <c r="C73" s="129"/>
      <c r="D73" s="129"/>
      <c r="E73" s="95"/>
      <c r="F73" s="63" t="s">
        <v>132</v>
      </c>
      <c r="G73" s="96" t="str">
        <f>hyperlink("https://en.uesp.net/wiki/Skyrim:Dragon_Seekers", "Dragon Seekers")</f>
        <v>Dragon Seekers</v>
      </c>
      <c r="H73" s="82" t="s">
        <v>259</v>
      </c>
      <c r="I73" s="81" t="s">
        <v>258</v>
      </c>
    </row>
    <row r="74" ht="22.5" customHeight="1">
      <c r="A74" s="111"/>
      <c r="B74" s="112"/>
      <c r="C74" s="112"/>
      <c r="D74" s="112"/>
      <c r="E74" s="131"/>
      <c r="F74" s="132"/>
      <c r="G74" s="112"/>
      <c r="H74" s="112"/>
      <c r="I74" s="114"/>
    </row>
    <row r="75" ht="22.5" customHeight="1">
      <c r="A75" s="92" t="s">
        <v>260</v>
      </c>
      <c r="B75" s="38"/>
      <c r="C75" s="38"/>
      <c r="D75" s="38"/>
      <c r="E75" s="38"/>
      <c r="F75" s="38"/>
      <c r="G75" s="38"/>
      <c r="H75" s="38"/>
      <c r="I75" s="93">
        <f>if(A92="N",((countif(A77:A96,"Y")+countif(F77:F96,"Y"))/30),1)</f>
        <v>0</v>
      </c>
    </row>
    <row r="76" ht="22.5" customHeight="1">
      <c r="A76" s="94" t="s">
        <v>163</v>
      </c>
      <c r="B76" s="38"/>
      <c r="C76" s="38"/>
      <c r="D76" s="39"/>
      <c r="E76" s="133"/>
      <c r="F76" s="134" t="s">
        <v>261</v>
      </c>
      <c r="G76" s="91"/>
      <c r="H76" s="91"/>
      <c r="I76" s="72"/>
    </row>
    <row r="77" ht="22.5" customHeight="1">
      <c r="A77" s="63" t="s">
        <v>132</v>
      </c>
      <c r="B77" s="116" t="str">
        <f>hyperlink("https://en.uesp.net/wiki/Skyrim:Delayed_Burial", "Delayed Burial (optional)")</f>
        <v>Delayed Burial (optional)</v>
      </c>
      <c r="C77" s="117" t="s">
        <v>262</v>
      </c>
      <c r="D77" s="117" t="s">
        <v>263</v>
      </c>
      <c r="E77" s="95"/>
      <c r="F77" s="63" t="s">
        <v>132</v>
      </c>
      <c r="G77" s="96" t="str">
        <f>hyperlink("https://en.uesp.net/wiki/Skyrim:Kill_Narfi", "Kill Narfi")</f>
        <v>Kill Narfi</v>
      </c>
      <c r="H77" s="82" t="s">
        <v>264</v>
      </c>
      <c r="I77" s="82" t="s">
        <v>265</v>
      </c>
    </row>
    <row r="78" ht="22.5" customHeight="1">
      <c r="A78" s="63" t="s">
        <v>132</v>
      </c>
      <c r="B78" s="96" t="str">
        <f>hyperlink("https://en.uesp.net/wiki/Skyrim:Innocence_Lost", "Innocence Lost")</f>
        <v>Innocence Lost</v>
      </c>
      <c r="C78" s="82" t="s">
        <v>266</v>
      </c>
      <c r="D78" s="82" t="s">
        <v>267</v>
      </c>
      <c r="E78" s="95"/>
      <c r="F78" s="63" t="s">
        <v>132</v>
      </c>
      <c r="G78" s="96" t="str">
        <f>hyperlink("https://en.uesp.net/wiki/Skyrim:Kill_Beitild", "Kill Beitild")</f>
        <v>Kill Beitild</v>
      </c>
      <c r="H78" s="82" t="s">
        <v>268</v>
      </c>
      <c r="I78" s="82" t="s">
        <v>265</v>
      </c>
    </row>
    <row r="79" ht="22.5" customHeight="1">
      <c r="A79" s="63" t="s">
        <v>132</v>
      </c>
      <c r="B79" s="96" t="str">
        <f>hyperlink("https://en.uesp.net/wiki/Skyrim:With_Friends_Like_These...", "With Friends Like These...")</f>
        <v>With Friends Like These...</v>
      </c>
      <c r="C79" s="82" t="s">
        <v>269</v>
      </c>
      <c r="D79" s="82"/>
      <c r="E79" s="95"/>
      <c r="F79" s="63" t="s">
        <v>132</v>
      </c>
      <c r="G79" s="96" t="str">
        <f>hyperlink("https://en.uesp.net/wiki/Skyrim:Kill_Ennodius_Papius", "Kill Ennodius Papius")</f>
        <v>Kill Ennodius Papius</v>
      </c>
      <c r="H79" s="82" t="s">
        <v>270</v>
      </c>
      <c r="I79" s="82" t="s">
        <v>265</v>
      </c>
    </row>
    <row r="80" ht="22.5" customHeight="1">
      <c r="A80" s="63" t="s">
        <v>132</v>
      </c>
      <c r="B80" s="96" t="str">
        <f>hyperlink("https://en.uesp.net/wiki/Skyrim:Sanctuary", "Sanctuary")</f>
        <v>Sanctuary</v>
      </c>
      <c r="C80" s="82" t="s">
        <v>271</v>
      </c>
      <c r="D80" s="82" t="s">
        <v>272</v>
      </c>
      <c r="E80" s="95"/>
      <c r="F80" s="63" t="s">
        <v>132</v>
      </c>
      <c r="G80" s="96" t="str">
        <f>hyperlink("https://en.uesp.net/wiki/Skyrim:Kill_Hern", "Kill Hern")</f>
        <v>Kill Hern</v>
      </c>
      <c r="H80" s="82" t="s">
        <v>273</v>
      </c>
      <c r="I80" s="82" t="s">
        <v>265</v>
      </c>
    </row>
    <row r="81" ht="22.5" customHeight="1">
      <c r="A81" s="63" t="s">
        <v>132</v>
      </c>
      <c r="B81" s="96" t="str">
        <f>hyperlink("https://en.uesp.net/wiki/Skyrim:Mourning_Never_Comes", "Mourning Never Comes")</f>
        <v>Mourning Never Comes</v>
      </c>
      <c r="C81" s="82" t="s">
        <v>274</v>
      </c>
      <c r="D81" s="82" t="s">
        <v>272</v>
      </c>
      <c r="E81" s="95"/>
      <c r="F81" s="63" t="s">
        <v>132</v>
      </c>
      <c r="G81" s="96" t="str">
        <f>hyperlink("https://en.uesp.net/wiki/Skyrim:Kill_Lurbuk", "Kill Lurbuk")</f>
        <v>Kill Lurbuk</v>
      </c>
      <c r="H81" s="82" t="s">
        <v>275</v>
      </c>
      <c r="I81" s="82" t="s">
        <v>265</v>
      </c>
    </row>
    <row r="82" ht="22.5" customHeight="1">
      <c r="A82" s="63" t="s">
        <v>132</v>
      </c>
      <c r="B82" s="96" t="str">
        <f>hyperlink("https://en.uesp.net/wiki/Skyrim:Whispers_in_the_Dark", "Whispers in the Dark")</f>
        <v>Whispers in the Dark</v>
      </c>
      <c r="C82" s="82" t="s">
        <v>276</v>
      </c>
      <c r="D82" s="82" t="s">
        <v>272</v>
      </c>
      <c r="E82" s="95"/>
      <c r="F82" s="63" t="s">
        <v>132</v>
      </c>
      <c r="G82" s="96" t="str">
        <f>hyperlink("https://en.uesp.net/wiki/Skyrim:Kill_Deekus", "Kill Deekus")</f>
        <v>Kill Deekus</v>
      </c>
      <c r="H82" s="82" t="s">
        <v>277</v>
      </c>
      <c r="I82" s="82" t="s">
        <v>265</v>
      </c>
    </row>
    <row r="83" ht="22.5" customHeight="1">
      <c r="A83" s="63" t="s">
        <v>132</v>
      </c>
      <c r="B83" s="96" t="str">
        <f>hyperlink("https://en.uesp.net/wiki/Skyrim:The_Silence_Has_Been_Broken", "The Silence Has Been Broken")</f>
        <v>The Silence Has Been Broken</v>
      </c>
      <c r="C83" s="82" t="s">
        <v>278</v>
      </c>
      <c r="D83" s="82" t="s">
        <v>272</v>
      </c>
      <c r="E83" s="95"/>
      <c r="F83" s="63" t="s">
        <v>132</v>
      </c>
      <c r="G83" s="96" t="str">
        <f>hyperlink("https://en.uesp.net/wiki/Skyrim:Kill_Ma'randru-jo", "Kill Ma'randru-jo")</f>
        <v>Kill Ma'randru-jo</v>
      </c>
      <c r="H83" s="82" t="s">
        <v>279</v>
      </c>
      <c r="I83" s="82" t="s">
        <v>265</v>
      </c>
    </row>
    <row r="84" ht="22.5" customHeight="1">
      <c r="A84" s="63" t="s">
        <v>132</v>
      </c>
      <c r="B84" s="96" t="str">
        <f>hyperlink("https://en.uesp.net/wiki/Skyrim:Bound_Until_Death", "Bound Until Death")</f>
        <v>Bound Until Death</v>
      </c>
      <c r="C84" s="82" t="s">
        <v>280</v>
      </c>
      <c r="D84" s="82" t="s">
        <v>272</v>
      </c>
      <c r="E84" s="95"/>
      <c r="F84" s="63" t="s">
        <v>132</v>
      </c>
      <c r="G84" s="96" t="str">
        <f>hyperlink("https://en.uesp.net/wiki/Skyrim:Kill_Anoriath", "Kill Anoriath")</f>
        <v>Kill Anoriath</v>
      </c>
      <c r="H84" s="82" t="s">
        <v>281</v>
      </c>
      <c r="I84" s="82" t="s">
        <v>265</v>
      </c>
    </row>
    <row r="85" ht="22.5" customHeight="1">
      <c r="A85" s="63" t="s">
        <v>132</v>
      </c>
      <c r="B85" s="96" t="str">
        <f>hyperlink("https://en.uesp.net/wiki/Skyrim:Breaching_Security", "Breaching Security")</f>
        <v>Breaching Security</v>
      </c>
      <c r="C85" s="82" t="s">
        <v>282</v>
      </c>
      <c r="D85" s="82" t="s">
        <v>272</v>
      </c>
      <c r="E85" s="95"/>
      <c r="F85" s="63" t="s">
        <v>132</v>
      </c>
      <c r="G85" s="96" t="str">
        <f>hyperlink("https://en.uesp.net/wiki/Skyrim:Kill_Agnis", "Kill Agnis")</f>
        <v>Kill Agnis</v>
      </c>
      <c r="H85" s="82" t="s">
        <v>283</v>
      </c>
      <c r="I85" s="82" t="s">
        <v>265</v>
      </c>
    </row>
    <row r="86" ht="22.5" customHeight="1">
      <c r="A86" s="63" t="s">
        <v>132</v>
      </c>
      <c r="B86" s="96" t="str">
        <f>hyperlink("https://en.uesp.net/wiki/Skyrim:The_Cure_for_Madness", "The Cure for Madness")</f>
        <v>The Cure for Madness</v>
      </c>
      <c r="C86" s="82" t="s">
        <v>284</v>
      </c>
      <c r="D86" s="82" t="s">
        <v>285</v>
      </c>
      <c r="E86" s="95"/>
      <c r="F86" s="63" t="s">
        <v>132</v>
      </c>
      <c r="G86" s="96" t="str">
        <f>hyperlink("https://en.uesp.net/wiki/Skyrim:Kill_Maluril", "Kill Maluril")</f>
        <v>Kill Maluril</v>
      </c>
      <c r="H86" s="82" t="s">
        <v>286</v>
      </c>
      <c r="I86" s="82" t="s">
        <v>265</v>
      </c>
    </row>
    <row r="87" ht="22.5" customHeight="1">
      <c r="A87" s="63" t="s">
        <v>132</v>
      </c>
      <c r="B87" s="96" t="str">
        <f>hyperlink("https://en.uesp.net/wiki/Skyrim:Recipe_for_Disaster", "Recipe for Disaster")</f>
        <v>Recipe for Disaster</v>
      </c>
      <c r="C87" s="82" t="s">
        <v>287</v>
      </c>
      <c r="D87" s="82" t="s">
        <v>272</v>
      </c>
      <c r="E87" s="95"/>
      <c r="F87" s="63" t="s">
        <v>132</v>
      </c>
      <c r="G87" s="96" t="str">
        <f>hyperlink("https://en.uesp.net/wiki/Skyrim:Kill_Helvard", "Kill Helvard")</f>
        <v>Kill Helvard</v>
      </c>
      <c r="H87" s="82" t="s">
        <v>288</v>
      </c>
      <c r="I87" s="82" t="s">
        <v>265</v>
      </c>
    </row>
    <row r="88" ht="22.5" customHeight="1">
      <c r="A88" s="63" t="s">
        <v>132</v>
      </c>
      <c r="B88" s="96" t="str">
        <f>hyperlink("https://en.uesp.net/wiki/Skyrim:To_Kill_an_Empire", "To Kill an Empire")</f>
        <v>To Kill an Empire</v>
      </c>
      <c r="C88" s="82" t="s">
        <v>289</v>
      </c>
      <c r="D88" s="82" t="s">
        <v>272</v>
      </c>
      <c r="E88" s="95"/>
      <c r="F88" s="63" t="s">
        <v>132</v>
      </c>
      <c r="G88" s="96" t="str">
        <f>hyperlink("https://en.uesp.net/wiki/Skyrim:Kill_Safia", "Kill Safia")</f>
        <v>Kill Safia</v>
      </c>
      <c r="H88" s="82" t="s">
        <v>290</v>
      </c>
      <c r="I88" s="82" t="s">
        <v>265</v>
      </c>
    </row>
    <row r="89" ht="22.5" customHeight="1">
      <c r="A89" s="63" t="s">
        <v>132</v>
      </c>
      <c r="B89" s="96" t="str">
        <f>hyperlink("https://en.uesp.net/wiki/Skyrim:Death_Incarnate", "Death Incarnate")</f>
        <v>Death Incarnate</v>
      </c>
      <c r="C89" s="82" t="s">
        <v>291</v>
      </c>
      <c r="D89" s="82"/>
      <c r="E89" s="95"/>
      <c r="F89" s="94" t="s">
        <v>217</v>
      </c>
      <c r="G89" s="38"/>
      <c r="H89" s="38"/>
      <c r="I89" s="39"/>
    </row>
    <row r="90" ht="22.5" customHeight="1">
      <c r="A90" s="63" t="s">
        <v>132</v>
      </c>
      <c r="B90" s="96" t="str">
        <f>hyperlink("https://en.uesp.net/wiki/Skyrim:Hail_Sithis!", "Hail Sithis!")</f>
        <v>Hail Sithis!</v>
      </c>
      <c r="C90" s="82" t="s">
        <v>292</v>
      </c>
      <c r="D90" s="82" t="s">
        <v>293</v>
      </c>
      <c r="E90" s="95"/>
      <c r="F90" s="135" t="s">
        <v>132</v>
      </c>
      <c r="G90" s="97" t="str">
        <f>hyperlink("https://en.uesp.net/wiki/Skyrim:Locate_the_Assassin_of_Old", "Locate the Assassin of Old")</f>
        <v>Locate the Assassin of Old</v>
      </c>
      <c r="H90" s="98" t="s">
        <v>294</v>
      </c>
      <c r="I90" s="98" t="s">
        <v>295</v>
      </c>
    </row>
    <row r="91" ht="22.5" customHeight="1">
      <c r="A91" s="94" t="s">
        <v>296</v>
      </c>
      <c r="B91" s="38"/>
      <c r="C91" s="38"/>
      <c r="D91" s="39"/>
      <c r="E91" s="95"/>
      <c r="F91" s="136"/>
      <c r="G91" s="136"/>
      <c r="H91" s="136"/>
      <c r="I91" s="136"/>
    </row>
    <row r="92" ht="22.5" customHeight="1">
      <c r="A92" s="63" t="s">
        <v>132</v>
      </c>
      <c r="B92" s="118" t="s">
        <v>297</v>
      </c>
      <c r="C92" s="82" t="s">
        <v>298</v>
      </c>
      <c r="D92" s="82" t="s">
        <v>299</v>
      </c>
      <c r="E92" s="95"/>
      <c r="F92" s="137"/>
      <c r="G92" s="137"/>
      <c r="H92" s="137"/>
      <c r="I92" s="137"/>
    </row>
    <row r="93" ht="22.5" customHeight="1">
      <c r="A93" s="63" t="s">
        <v>132</v>
      </c>
      <c r="B93" s="118" t="s">
        <v>300</v>
      </c>
      <c r="C93" s="82" t="s">
        <v>301</v>
      </c>
      <c r="D93" s="82" t="s">
        <v>265</v>
      </c>
      <c r="E93" s="138"/>
      <c r="F93" s="135" t="s">
        <v>132</v>
      </c>
      <c r="G93" s="97" t="str">
        <f>hyperlink("https://en.uesp.net/wiki/Skyrim:Take_the_Hidden_Treasure", "Take the Hidden Treasure")</f>
        <v>Take the Hidden Treasure</v>
      </c>
      <c r="H93" s="98" t="s">
        <v>302</v>
      </c>
      <c r="I93" s="98" t="s">
        <v>303</v>
      </c>
    </row>
    <row r="94" ht="22.5" customHeight="1">
      <c r="A94" s="94" t="s">
        <v>164</v>
      </c>
      <c r="B94" s="38"/>
      <c r="C94" s="38"/>
      <c r="D94" s="39"/>
      <c r="E94" s="95"/>
      <c r="F94" s="136"/>
      <c r="G94" s="136"/>
      <c r="H94" s="136"/>
      <c r="I94" s="136"/>
    </row>
    <row r="95" ht="22.5" customHeight="1">
      <c r="A95" s="63" t="s">
        <v>132</v>
      </c>
      <c r="B95" s="118" t="s">
        <v>304</v>
      </c>
      <c r="C95" s="82" t="s">
        <v>305</v>
      </c>
      <c r="D95" s="82" t="s">
        <v>265</v>
      </c>
      <c r="E95" s="95"/>
      <c r="F95" s="137"/>
      <c r="G95" s="137"/>
      <c r="H95" s="137"/>
      <c r="I95" s="137"/>
    </row>
    <row r="96" ht="22.5" customHeight="1">
      <c r="A96" s="63" t="s">
        <v>132</v>
      </c>
      <c r="B96" s="118" t="s">
        <v>306</v>
      </c>
      <c r="C96" s="82" t="s">
        <v>307</v>
      </c>
      <c r="D96" s="82" t="s">
        <v>293</v>
      </c>
      <c r="E96" s="95"/>
      <c r="F96" s="125"/>
      <c r="G96" s="113"/>
      <c r="H96" s="139"/>
      <c r="I96" s="140"/>
    </row>
    <row r="97" ht="22.5" customHeight="1">
      <c r="A97" s="111"/>
      <c r="B97" s="112"/>
      <c r="C97" s="112"/>
      <c r="D97" s="112"/>
      <c r="E97" s="131"/>
      <c r="F97" s="141"/>
      <c r="G97" s="131"/>
      <c r="H97" s="142"/>
      <c r="I97" s="143"/>
    </row>
    <row r="98" ht="22.5" customHeight="1">
      <c r="A98" s="144" t="s">
        <v>308</v>
      </c>
      <c r="B98" s="38"/>
      <c r="C98" s="38"/>
      <c r="D98" s="38"/>
      <c r="E98" s="38"/>
      <c r="F98" s="38"/>
      <c r="G98" s="38"/>
      <c r="H98" s="38"/>
      <c r="I98" s="145">
        <f>((countif(A100:A125,"Y")+countif(F127:F130,"Y")+F109)/149)</f>
        <v>0</v>
      </c>
    </row>
    <row r="99" ht="22.5" customHeight="1">
      <c r="A99" s="94" t="s">
        <v>163</v>
      </c>
      <c r="B99" s="38"/>
      <c r="C99" s="38"/>
      <c r="D99" s="39"/>
      <c r="E99" s="95"/>
      <c r="F99" s="94" t="s">
        <v>309</v>
      </c>
      <c r="G99" s="38"/>
      <c r="H99" s="38"/>
      <c r="I99" s="39"/>
    </row>
    <row r="100" ht="22.5" customHeight="1">
      <c r="A100" s="63" t="s">
        <v>132</v>
      </c>
      <c r="B100" s="96" t="str">
        <f>hyperlink("https://en.uesp.net/wiki/Skyrim:A_Chance_Arrangement", "A Chance Arrangement")</f>
        <v>A Chance Arrangement</v>
      </c>
      <c r="C100" s="82" t="s">
        <v>310</v>
      </c>
      <c r="D100" s="82" t="s">
        <v>311</v>
      </c>
      <c r="E100" s="95"/>
      <c r="F100" s="146" t="s">
        <v>312</v>
      </c>
      <c r="G100" s="88"/>
      <c r="H100" s="88"/>
      <c r="I100" s="89"/>
    </row>
    <row r="101" ht="22.5" customHeight="1">
      <c r="A101" s="63" t="s">
        <v>132</v>
      </c>
      <c r="B101" s="96" t="str">
        <f>hyperlink("https://en.uesp.net/wiki/Skyrim:Taking_Care_of_Business", "Taking Care of Business")</f>
        <v>Taking Care of Business</v>
      </c>
      <c r="C101" s="82" t="s">
        <v>313</v>
      </c>
      <c r="D101" s="82" t="s">
        <v>311</v>
      </c>
      <c r="E101" s="95"/>
      <c r="F101" s="147"/>
      <c r="I101" s="148"/>
    </row>
    <row r="102" ht="22.5" customHeight="1">
      <c r="A102" s="63" t="s">
        <v>132</v>
      </c>
      <c r="B102" s="96" t="str">
        <f>hyperlink("https://en.uesp.net/wiki/Skyrim:Loud_and_Clear", "Loud and Clear")</f>
        <v>Loud and Clear</v>
      </c>
      <c r="C102" s="82" t="s">
        <v>314</v>
      </c>
      <c r="D102" s="82" t="s">
        <v>311</v>
      </c>
      <c r="E102" s="95"/>
      <c r="F102" s="147"/>
      <c r="I102" s="148"/>
    </row>
    <row r="103" ht="22.5" customHeight="1">
      <c r="A103" s="63" t="s">
        <v>132</v>
      </c>
      <c r="B103" s="96" t="str">
        <f>hyperlink("https://en.uesp.net/wiki/Skyrim:Dampened_Spirits", "Dampened Spirits")</f>
        <v>Dampened Spirits</v>
      </c>
      <c r="C103" s="82" t="s">
        <v>315</v>
      </c>
      <c r="D103" s="82" t="s">
        <v>316</v>
      </c>
      <c r="E103" s="95"/>
      <c r="F103" s="90"/>
      <c r="G103" s="91"/>
      <c r="H103" s="91"/>
      <c r="I103" s="72"/>
    </row>
    <row r="104" ht="22.5" customHeight="1">
      <c r="A104" s="63" t="s">
        <v>132</v>
      </c>
      <c r="B104" s="96" t="str">
        <f>hyperlink("https://en.uesp.net/wiki/Skyrim:Scoundrel's_Folly", "Scoundrel's Folly")</f>
        <v>Scoundrel's Folly</v>
      </c>
      <c r="C104" s="82" t="s">
        <v>317</v>
      </c>
      <c r="D104" s="82" t="s">
        <v>318</v>
      </c>
      <c r="E104" s="95"/>
      <c r="F104" s="149" t="s">
        <v>319</v>
      </c>
      <c r="G104" s="88"/>
      <c r="H104" s="88"/>
      <c r="I104" s="89"/>
    </row>
    <row r="105" ht="22.5" customHeight="1">
      <c r="A105" s="63" t="s">
        <v>132</v>
      </c>
      <c r="B105" s="96" t="str">
        <f>hyperlink("https://en.uesp.net/wiki/Skyrim:Speaking_With_Silence", "Speaking With Silence")</f>
        <v>Speaking With Silence</v>
      </c>
      <c r="C105" s="82" t="s">
        <v>320</v>
      </c>
      <c r="D105" s="82" t="s">
        <v>318</v>
      </c>
      <c r="E105" s="95"/>
      <c r="F105" s="147"/>
      <c r="I105" s="148"/>
    </row>
    <row r="106" ht="22.5" customHeight="1">
      <c r="A106" s="63" t="s">
        <v>132</v>
      </c>
      <c r="B106" s="96" t="str">
        <f>hyperlink("https://en.uesp.net/wiki/Skyrim:Hard_Answers", "Hard Answers")</f>
        <v>Hard Answers</v>
      </c>
      <c r="C106" s="82" t="s">
        <v>321</v>
      </c>
      <c r="D106" s="82" t="s">
        <v>322</v>
      </c>
      <c r="E106" s="95"/>
      <c r="F106" s="147"/>
      <c r="I106" s="148"/>
    </row>
    <row r="107" ht="22.5" customHeight="1">
      <c r="A107" s="63" t="s">
        <v>132</v>
      </c>
      <c r="B107" s="96" t="str">
        <f>hyperlink("https://en.uesp.net/wiki/Skyrim:The_Pursuit", "The Pursuit")</f>
        <v>The Pursuit</v>
      </c>
      <c r="C107" s="82" t="s">
        <v>323</v>
      </c>
      <c r="D107" s="82" t="s">
        <v>311</v>
      </c>
      <c r="E107" s="95"/>
      <c r="F107" s="90"/>
      <c r="G107" s="91"/>
      <c r="H107" s="91"/>
      <c r="I107" s="72"/>
    </row>
    <row r="108" ht="22.5" customHeight="1">
      <c r="A108" s="63" t="s">
        <v>132</v>
      </c>
      <c r="B108" s="96" t="str">
        <f>hyperlink("https://en.uesp.net/wiki/Skyrim:Trinity_Restored", "Trinity Restored")</f>
        <v>Trinity Restored</v>
      </c>
      <c r="C108" s="82" t="s">
        <v>324</v>
      </c>
      <c r="D108" s="82" t="s">
        <v>325</v>
      </c>
      <c r="E108" s="95"/>
      <c r="F108" s="150" t="s">
        <v>326</v>
      </c>
      <c r="G108" s="38"/>
      <c r="H108" s="38"/>
      <c r="I108" s="39"/>
    </row>
    <row r="109" ht="22.5" customHeight="1">
      <c r="A109" s="63" t="s">
        <v>132</v>
      </c>
      <c r="B109" s="96" t="str">
        <f>hyperlink("https://en.uesp.net/wiki/Skyrim:Blindsighted", "Blindsighted")</f>
        <v>Blindsighted</v>
      </c>
      <c r="C109" s="82" t="s">
        <v>327</v>
      </c>
      <c r="D109" s="82" t="s">
        <v>311</v>
      </c>
      <c r="E109" s="95"/>
      <c r="F109" s="151">
        <f>max(Sum(F121:G125),Sum(F111:G113,F115:G118))</f>
        <v>0</v>
      </c>
      <c r="G109" s="39"/>
      <c r="H109" s="152" t="s">
        <v>328</v>
      </c>
      <c r="I109" s="39"/>
    </row>
    <row r="110" ht="22.5" customHeight="1">
      <c r="A110" s="63" t="s">
        <v>132</v>
      </c>
      <c r="B110" s="96" t="str">
        <f>hyperlink("https://en.uesp.net/wiki/Skyrim:Darkness_Returns", "Darkness Returns")</f>
        <v>Darkness Returns</v>
      </c>
      <c r="C110" s="82" t="s">
        <v>329</v>
      </c>
      <c r="D110" s="82" t="s">
        <v>325</v>
      </c>
      <c r="E110" s="95"/>
      <c r="F110" s="153" t="s">
        <v>330</v>
      </c>
      <c r="G110" s="38"/>
      <c r="H110" s="38"/>
      <c r="I110" s="39"/>
    </row>
    <row r="111" ht="22.5" customHeight="1">
      <c r="A111" s="63" t="s">
        <v>132</v>
      </c>
      <c r="B111" s="96" t="str">
        <f>hyperlink("https://en.uesp.net/wiki/Skyrim:Under_New_Management", "Under New Management")</f>
        <v>Under New Management</v>
      </c>
      <c r="C111" s="82" t="s">
        <v>331</v>
      </c>
      <c r="D111" s="82" t="s">
        <v>311</v>
      </c>
      <c r="E111" s="95"/>
      <c r="F111" s="154">
        <v>0.0</v>
      </c>
      <c r="G111" s="39"/>
      <c r="H111" s="74" t="s">
        <v>332</v>
      </c>
      <c r="I111" s="39"/>
    </row>
    <row r="112" ht="22.5" customHeight="1">
      <c r="A112" s="94" t="s">
        <v>296</v>
      </c>
      <c r="B112" s="38"/>
      <c r="C112" s="38"/>
      <c r="D112" s="39"/>
      <c r="E112" s="95"/>
      <c r="F112" s="154">
        <v>0.0</v>
      </c>
      <c r="G112" s="39"/>
      <c r="H112" s="74" t="s">
        <v>333</v>
      </c>
      <c r="I112" s="39"/>
    </row>
    <row r="113" ht="22.5" customHeight="1">
      <c r="A113" s="63" t="s">
        <v>132</v>
      </c>
      <c r="B113" s="96" t="str">
        <f>hyperlink("https://en.uesp.net/wiki/Skyrim:Meet_the_Family", "Meet the Family")</f>
        <v>Meet the Family</v>
      </c>
      <c r="C113" s="82" t="s">
        <v>334</v>
      </c>
      <c r="D113" s="82" t="s">
        <v>311</v>
      </c>
      <c r="E113" s="95"/>
      <c r="F113" s="154">
        <v>0.0</v>
      </c>
      <c r="G113" s="39"/>
      <c r="H113" s="74" t="s">
        <v>335</v>
      </c>
      <c r="I113" s="39"/>
    </row>
    <row r="114" ht="22.5" customHeight="1">
      <c r="A114" s="63" t="s">
        <v>132</v>
      </c>
      <c r="B114" s="96" t="str">
        <f>hyperlink("https://en.uesp.net/wiki/Skyrim:No_Stone_Unturned", "No Stone Unturned")</f>
        <v>No Stone Unturned</v>
      </c>
      <c r="C114" s="82" t="s">
        <v>336</v>
      </c>
      <c r="D114" s="82"/>
      <c r="E114" s="95"/>
      <c r="F114" s="153" t="s">
        <v>337</v>
      </c>
      <c r="G114" s="38"/>
      <c r="H114" s="38"/>
      <c r="I114" s="39"/>
    </row>
    <row r="115" ht="22.5" customHeight="1">
      <c r="A115" s="63" t="s">
        <v>132</v>
      </c>
      <c r="B115" s="96" t="str">
        <f>hyperlink("https://en.uesp.net/wiki/Skyrim:Reparations", "Reparations")</f>
        <v>Reparations</v>
      </c>
      <c r="C115" s="82" t="s">
        <v>338</v>
      </c>
      <c r="D115" s="82" t="s">
        <v>339</v>
      </c>
      <c r="E115" s="95"/>
      <c r="F115" s="154">
        <v>0.0</v>
      </c>
      <c r="G115" s="39"/>
      <c r="H115" s="74" t="s">
        <v>340</v>
      </c>
      <c r="I115" s="39"/>
    </row>
    <row r="116" ht="22.5" customHeight="1">
      <c r="A116" s="63" t="s">
        <v>132</v>
      </c>
      <c r="B116" s="96" t="str">
        <f>hyperlink("https://en.uesp.net/wiki/Skyrim:Thieves_Guild_Caravan_Fence_Quest", "Thieves Guild Caravan Fence Quest")</f>
        <v>Thieves Guild Caravan Fence Quest</v>
      </c>
      <c r="C116" s="82" t="s">
        <v>341</v>
      </c>
      <c r="D116" s="82" t="s">
        <v>342</v>
      </c>
      <c r="E116" s="95"/>
      <c r="F116" s="154">
        <v>0.0</v>
      </c>
      <c r="G116" s="39"/>
      <c r="H116" s="74" t="s">
        <v>343</v>
      </c>
      <c r="I116" s="39"/>
    </row>
    <row r="117" ht="22.5" customHeight="1">
      <c r="A117" s="63" t="s">
        <v>132</v>
      </c>
      <c r="B117" s="155" t="str">
        <f>hyperlink("https://en.uesp.net/wiki/Skyrim:Toying_With_The_Dead", "Toying With The Dead")</f>
        <v>Toying With The Dead</v>
      </c>
      <c r="C117" s="76" t="s">
        <v>344</v>
      </c>
      <c r="D117" s="76" t="s">
        <v>345</v>
      </c>
      <c r="E117" s="95"/>
      <c r="F117" s="154">
        <v>0.0</v>
      </c>
      <c r="G117" s="39"/>
      <c r="H117" s="74" t="s">
        <v>346</v>
      </c>
      <c r="I117" s="39"/>
    </row>
    <row r="118" ht="22.5" customHeight="1">
      <c r="A118" s="156"/>
      <c r="B118" s="157" t="str">
        <f>hyperlink("https://en.uesp.net/wiki/Skyrim:The_Litany_of_Larceny_Targets", "The Litany of Larceny Targets")</f>
        <v>The Litany of Larceny Targets</v>
      </c>
      <c r="C118" s="158" t="s">
        <v>347</v>
      </c>
      <c r="D118" s="159" t="s">
        <v>348</v>
      </c>
      <c r="E118" s="95"/>
      <c r="F118" s="154">
        <v>0.0</v>
      </c>
      <c r="G118" s="39"/>
      <c r="H118" s="74" t="s">
        <v>349</v>
      </c>
      <c r="I118" s="39"/>
    </row>
    <row r="119" ht="22.5" customHeight="1">
      <c r="A119" s="63" t="s">
        <v>132</v>
      </c>
      <c r="B119" s="160" t="str">
        <f>hyperlink("https://en.uesp.net/wiki/Skyrim:Quest_Items#Bust_of_the_Gray_Fox", "Bust of the Gray Fox")</f>
        <v>Bust of the Gray Fox</v>
      </c>
      <c r="C119" s="161" t="s">
        <v>350</v>
      </c>
      <c r="D119" s="161"/>
      <c r="E119" s="95"/>
      <c r="F119" s="153" t="s">
        <v>351</v>
      </c>
      <c r="G119" s="38"/>
      <c r="H119" s="38"/>
      <c r="I119" s="39"/>
    </row>
    <row r="120" ht="22.5" customHeight="1">
      <c r="A120" s="63" t="s">
        <v>132</v>
      </c>
      <c r="B120" s="160" t="str">
        <f>hyperlink("https://en.uesp.net/wiki/Skyrim:Quest_Items#Dwemer_Puzzle_Cube", "Dwemer Puzzle Cube")</f>
        <v>Dwemer Puzzle Cube</v>
      </c>
      <c r="C120" s="161" t="s">
        <v>352</v>
      </c>
      <c r="D120" s="161"/>
      <c r="E120" s="95"/>
      <c r="F120" s="162" t="s">
        <v>353</v>
      </c>
      <c r="G120" s="39"/>
      <c r="H120" s="163" t="s">
        <v>354</v>
      </c>
      <c r="I120" s="39"/>
    </row>
    <row r="121" ht="22.5" customHeight="1">
      <c r="A121" s="63" t="s">
        <v>132</v>
      </c>
      <c r="B121" s="160" t="str">
        <f>hyperlink("https://en.uesp.net/wiki/Skyrim:Quest_Items#East_Empire_Shipping_Map", "East Empire Shipping Map")</f>
        <v>East Empire Shipping Map</v>
      </c>
      <c r="C121" s="161" t="s">
        <v>355</v>
      </c>
      <c r="D121" s="161"/>
      <c r="E121" s="164"/>
      <c r="F121" s="154">
        <v>0.0</v>
      </c>
      <c r="G121" s="39"/>
      <c r="H121" s="74" t="s">
        <v>356</v>
      </c>
      <c r="I121" s="39"/>
    </row>
    <row r="122" ht="22.5" customHeight="1">
      <c r="A122" s="63" t="s">
        <v>132</v>
      </c>
      <c r="B122" s="160" t="str">
        <f>hyperlink("https://en.uesp.net/wiki/Skyrim:Quest_Items#Honningbrew_Decanter", "Honningbrew Decanter")</f>
        <v>Honningbrew Decanter</v>
      </c>
      <c r="C122" s="161" t="s">
        <v>357</v>
      </c>
      <c r="D122" s="161"/>
      <c r="E122" s="95"/>
      <c r="F122" s="154">
        <v>0.0</v>
      </c>
      <c r="G122" s="39"/>
      <c r="H122" s="74" t="s">
        <v>358</v>
      </c>
      <c r="I122" s="39"/>
    </row>
    <row r="123" ht="22.5" customHeight="1">
      <c r="A123" s="63" t="s">
        <v>132</v>
      </c>
      <c r="B123" s="160" t="str">
        <f>hyperlink("https://en.uesp.net/wiki/Skyrim:Quest_Items#Left_Eye_of_the_Falmer", "Left Eye of the Falmer")</f>
        <v>Left Eye of the Falmer</v>
      </c>
      <c r="C123" s="161" t="s">
        <v>359</v>
      </c>
      <c r="D123" s="161"/>
      <c r="E123" s="95"/>
      <c r="F123" s="154">
        <v>0.0</v>
      </c>
      <c r="G123" s="39"/>
      <c r="H123" s="74" t="s">
        <v>360</v>
      </c>
      <c r="I123" s="39"/>
    </row>
    <row r="124" ht="22.5" customHeight="1">
      <c r="A124" s="63" t="s">
        <v>132</v>
      </c>
      <c r="B124" s="165" t="str">
        <f>hyperlink("https://en.uesp.net/wiki/Skyrim:Quest_Items#Model_Ship", "Model Ship")</f>
        <v>Model Ship</v>
      </c>
      <c r="C124" s="166" t="s">
        <v>361</v>
      </c>
      <c r="D124" s="166"/>
      <c r="E124" s="95"/>
      <c r="F124" s="154">
        <v>0.0</v>
      </c>
      <c r="G124" s="39"/>
      <c r="H124" s="74" t="s">
        <v>362</v>
      </c>
      <c r="I124" s="39"/>
    </row>
    <row r="125" ht="22.5" customHeight="1">
      <c r="A125" s="63" t="s">
        <v>132</v>
      </c>
      <c r="B125" s="160" t="str">
        <f>hyperlink("https://en.uesp.net/wiki/Skyrim:Quest_Items#Queen_Bee_Statue", "Queen Bee Statue")</f>
        <v>Queen Bee Statue</v>
      </c>
      <c r="C125" s="161" t="s">
        <v>363</v>
      </c>
      <c r="D125" s="161"/>
      <c r="E125" s="167"/>
      <c r="F125" s="151">
        <v>0.0</v>
      </c>
      <c r="G125" s="39"/>
      <c r="H125" s="152" t="s">
        <v>364</v>
      </c>
      <c r="I125" s="39"/>
    </row>
    <row r="126" ht="22.5" customHeight="1">
      <c r="A126" s="168"/>
      <c r="B126" s="169"/>
      <c r="C126" s="169"/>
      <c r="D126" s="170"/>
      <c r="E126" s="95"/>
      <c r="F126" s="94" t="s">
        <v>365</v>
      </c>
      <c r="G126" s="38"/>
      <c r="H126" s="38"/>
      <c r="I126" s="39"/>
    </row>
    <row r="127" ht="22.5" customHeight="1">
      <c r="A127" s="171"/>
      <c r="B127" s="172"/>
      <c r="C127" s="172"/>
      <c r="D127" s="173"/>
      <c r="E127" s="95"/>
      <c r="F127" s="63" t="s">
        <v>132</v>
      </c>
      <c r="G127" s="96" t="str">
        <f>hyperlink("https://en.uesp.net/wiki/Skyrim:Silver_Lining", "Silver Lining")</f>
        <v>Silver Lining</v>
      </c>
      <c r="H127" s="82" t="s">
        <v>366</v>
      </c>
      <c r="I127" s="82" t="s">
        <v>348</v>
      </c>
    </row>
    <row r="128" ht="22.5" customHeight="1">
      <c r="A128" s="174"/>
      <c r="B128" s="175"/>
      <c r="C128" s="175"/>
      <c r="D128" s="176"/>
      <c r="E128" s="95"/>
      <c r="F128" s="63" t="s">
        <v>132</v>
      </c>
      <c r="G128" s="96" t="str">
        <f>hyperlink("https://en.uesp.net/wiki/Skyrim:The_Dainty_Sload", "The Dainty Sload")</f>
        <v>The Dainty Sload</v>
      </c>
      <c r="H128" s="82" t="s">
        <v>367</v>
      </c>
      <c r="I128" s="82" t="s">
        <v>348</v>
      </c>
    </row>
    <row r="129" ht="22.5" customHeight="1">
      <c r="A129" s="174"/>
      <c r="B129" s="175"/>
      <c r="C129" s="175"/>
      <c r="D129" s="176"/>
      <c r="E129" s="95"/>
      <c r="F129" s="63" t="s">
        <v>132</v>
      </c>
      <c r="G129" s="96" t="str">
        <f>hyperlink("https://en.uesp.net/wiki/Skyrim:Imitation_Amnesty", "Imitation Amnesty")</f>
        <v>Imitation Amnesty</v>
      </c>
      <c r="H129" s="82" t="s">
        <v>368</v>
      </c>
      <c r="I129" s="82" t="s">
        <v>348</v>
      </c>
    </row>
    <row r="130" ht="22.5" customHeight="1">
      <c r="A130" s="177"/>
      <c r="B130" s="178"/>
      <c r="C130" s="178"/>
      <c r="D130" s="179"/>
      <c r="E130" s="95"/>
      <c r="F130" s="63" t="s">
        <v>132</v>
      </c>
      <c r="G130" s="96" t="str">
        <f>hyperlink("https://en.uesp.net/wiki/Skyrim:Summerset_Shadows", "Summerset Shadows")</f>
        <v>Summerset Shadows</v>
      </c>
      <c r="H130" s="82" t="s">
        <v>369</v>
      </c>
      <c r="I130" s="82" t="s">
        <v>348</v>
      </c>
    </row>
    <row r="131" ht="22.5" customHeight="1">
      <c r="A131" s="180"/>
      <c r="B131" s="178"/>
      <c r="C131" s="178"/>
      <c r="D131" s="179"/>
      <c r="E131" s="181"/>
      <c r="F131" s="182"/>
      <c r="G131" s="183"/>
      <c r="H131" s="183"/>
      <c r="I131" s="184"/>
    </row>
    <row r="132" ht="22.5" customHeight="1">
      <c r="A132" s="87" t="s">
        <v>370</v>
      </c>
      <c r="B132" s="88"/>
      <c r="C132" s="88"/>
      <c r="D132" s="88"/>
      <c r="E132" s="88"/>
      <c r="F132" s="88"/>
      <c r="G132" s="88"/>
      <c r="H132" s="88"/>
      <c r="I132" s="185">
        <f>if(A136="Y",(countif(A136:A150,"Y")/14),(countif(F136:F151,"Y")/15))</f>
        <v>0</v>
      </c>
    </row>
    <row r="133" ht="22.5" customHeight="1">
      <c r="A133" s="90"/>
      <c r="B133" s="91"/>
      <c r="C133" s="91"/>
      <c r="D133" s="91"/>
      <c r="E133" s="91"/>
      <c r="F133" s="91"/>
      <c r="G133" s="91"/>
      <c r="H133" s="91"/>
      <c r="I133" s="137"/>
    </row>
    <row r="134" ht="22.5" customHeight="1">
      <c r="A134" s="186" t="s">
        <v>371</v>
      </c>
      <c r="B134" s="91"/>
      <c r="C134" s="91"/>
      <c r="D134" s="72"/>
      <c r="E134" s="133"/>
      <c r="F134" s="186" t="s">
        <v>372</v>
      </c>
      <c r="G134" s="91"/>
      <c r="H134" s="91"/>
      <c r="I134" s="72"/>
    </row>
    <row r="135" ht="22.5" customHeight="1">
      <c r="A135" s="94" t="s">
        <v>77</v>
      </c>
      <c r="B135" s="38"/>
      <c r="C135" s="38"/>
      <c r="D135" s="39"/>
      <c r="E135" s="95"/>
      <c r="F135" s="94" t="s">
        <v>77</v>
      </c>
      <c r="G135" s="38"/>
      <c r="H135" s="38"/>
      <c r="I135" s="39"/>
    </row>
    <row r="136" ht="22.5" customHeight="1">
      <c r="A136" s="63" t="s">
        <v>132</v>
      </c>
      <c r="B136" s="96" t="str">
        <f>hyperlink("https://en.uesp.net/wiki/Skyrim:Joining_the_Legion", "Joining the Legion")</f>
        <v>Joining the Legion</v>
      </c>
      <c r="C136" s="82" t="s">
        <v>373</v>
      </c>
      <c r="D136" s="82" t="s">
        <v>374</v>
      </c>
      <c r="E136" s="95"/>
      <c r="F136" s="63" t="s">
        <v>132</v>
      </c>
      <c r="G136" s="96" t="str">
        <f>hyperlink("https://en.uesp.net/wiki/Skyrim:Joining_the_Stormcloaks", "Joining the Stormcloaks")</f>
        <v>Joining the Stormcloaks</v>
      </c>
      <c r="H136" s="82" t="s">
        <v>375</v>
      </c>
      <c r="I136" s="82" t="s">
        <v>376</v>
      </c>
    </row>
    <row r="137" ht="22.5" customHeight="1">
      <c r="A137" s="63" t="s">
        <v>132</v>
      </c>
      <c r="B137" s="96" t="str">
        <f>hyperlink("https://en.uesp.net/wiki/Skyrim:The_Jagged_Crown", "The Jagged Crown")</f>
        <v>The Jagged Crown</v>
      </c>
      <c r="C137" s="82" t="s">
        <v>377</v>
      </c>
      <c r="D137" s="82" t="s">
        <v>378</v>
      </c>
      <c r="E137" s="95"/>
      <c r="F137" s="63" t="s">
        <v>132</v>
      </c>
      <c r="G137" s="96" t="str">
        <f>hyperlink("https://en.uesp.net/wiki/Skyrim:The_Jagged_Crown", "The Jagged Crown")</f>
        <v>The Jagged Crown</v>
      </c>
      <c r="H137" s="82" t="s">
        <v>379</v>
      </c>
      <c r="I137" s="82" t="s">
        <v>380</v>
      </c>
    </row>
    <row r="138" ht="22.5" customHeight="1">
      <c r="A138" s="63" t="s">
        <v>132</v>
      </c>
      <c r="B138" s="96" t="str">
        <f>hyperlink("https://en.uesp.net/wiki/Skyrim:Message_to_Whiterun", "Message to Whiterun")</f>
        <v>Message to Whiterun</v>
      </c>
      <c r="C138" s="82" t="s">
        <v>381</v>
      </c>
      <c r="D138" s="82"/>
      <c r="E138" s="95"/>
      <c r="F138" s="63" t="s">
        <v>132</v>
      </c>
      <c r="G138" s="96" t="str">
        <f>hyperlink("https://en.uesp.net/wiki/Skyrim:Message_to_Whiterun", "Message to Whiterun")</f>
        <v>Message to Whiterun</v>
      </c>
      <c r="H138" s="82" t="s">
        <v>382</v>
      </c>
      <c r="I138" s="82" t="s">
        <v>376</v>
      </c>
    </row>
    <row r="139" ht="22.5" customHeight="1">
      <c r="A139" s="63" t="s">
        <v>132</v>
      </c>
      <c r="B139" s="96" t="str">
        <f>hyperlink("https://en.uesp.net/wiki/Skyrim:Battle_for_Whiterun", "Battle for Whiterun")</f>
        <v>Battle for Whiterun</v>
      </c>
      <c r="C139" s="82" t="s">
        <v>383</v>
      </c>
      <c r="D139" s="82" t="s">
        <v>378</v>
      </c>
      <c r="E139" s="95"/>
      <c r="F139" s="63" t="s">
        <v>132</v>
      </c>
      <c r="G139" s="96" t="str">
        <f>hyperlink("https://en.uesp.net/wiki/Skyrim:Battle_for_Whiterun", "Battle for Whiterun")</f>
        <v>Battle for Whiterun</v>
      </c>
      <c r="H139" s="82" t="s">
        <v>384</v>
      </c>
      <c r="I139" s="82" t="s">
        <v>376</v>
      </c>
    </row>
    <row r="140" ht="22.5" customHeight="1">
      <c r="A140" s="63" t="s">
        <v>132</v>
      </c>
      <c r="B140" s="96" t="str">
        <f>hyperlink("https://en.uesp.net/wiki/Skyrim:Reunification_of_Skyrim", "Reunification of Skyrim")</f>
        <v>Reunification of Skyrim</v>
      </c>
      <c r="C140" s="82" t="s">
        <v>385</v>
      </c>
      <c r="D140" s="82" t="s">
        <v>374</v>
      </c>
      <c r="E140" s="95"/>
      <c r="F140" s="63" t="s">
        <v>132</v>
      </c>
      <c r="G140" s="96" t="str">
        <f>hyperlink("https://en.uesp.net/wiki/Skyrim:Liberation_of_Skyrim", "Liberation of Skyrim")</f>
        <v>Liberation of Skyrim</v>
      </c>
      <c r="H140" s="82" t="s">
        <v>386</v>
      </c>
      <c r="I140" s="82" t="s">
        <v>376</v>
      </c>
    </row>
    <row r="141" ht="22.5" customHeight="1">
      <c r="A141" s="124" t="s">
        <v>387</v>
      </c>
      <c r="B141" s="38"/>
      <c r="C141" s="38"/>
      <c r="D141" s="38"/>
      <c r="E141" s="38"/>
      <c r="F141" s="38"/>
      <c r="G141" s="38"/>
      <c r="H141" s="38"/>
      <c r="I141" s="39"/>
    </row>
    <row r="142" ht="22.5" customHeight="1">
      <c r="A142" s="63" t="s">
        <v>132</v>
      </c>
      <c r="B142" s="96" t="str">
        <f>hyperlink("https://en.uesp.net/wiki/Skyrim:A_False_Front", "A False Front")</f>
        <v>A False Front</v>
      </c>
      <c r="C142" s="82" t="s">
        <v>388</v>
      </c>
      <c r="D142" s="82" t="s">
        <v>374</v>
      </c>
      <c r="E142" s="95"/>
      <c r="F142" s="63" t="s">
        <v>132</v>
      </c>
      <c r="G142" s="96" t="str">
        <f>hyperlink("https://en.uesp.net/wiki/Skyrim:Rescue_from_Fort_Neugrad", "Rescue from Fort Neugrad")</f>
        <v>Rescue from Fort Neugrad</v>
      </c>
      <c r="H142" s="82" t="s">
        <v>389</v>
      </c>
      <c r="I142" s="82" t="s">
        <v>380</v>
      </c>
    </row>
    <row r="143" ht="22.5" customHeight="1">
      <c r="A143" s="63" t="s">
        <v>132</v>
      </c>
      <c r="B143" s="96" t="str">
        <f>hyperlink("https://en.uesp.net/wiki/Skyrim:The_Battle_for_Fort_Dunstad", "The Battle for Fort Dunstad")</f>
        <v>The Battle for Fort Dunstad</v>
      </c>
      <c r="C143" s="82" t="s">
        <v>390</v>
      </c>
      <c r="D143" s="82" t="s">
        <v>374</v>
      </c>
      <c r="E143" s="95"/>
      <c r="F143" s="63" t="s">
        <v>132</v>
      </c>
      <c r="G143" s="96" t="str">
        <f>hyperlink("https://en.uesp.net/wiki/Skyrim:Compelling_Tribute", "Compelling Tribute")</f>
        <v>Compelling Tribute</v>
      </c>
      <c r="H143" s="82" t="s">
        <v>391</v>
      </c>
      <c r="I143" s="82" t="s">
        <v>380</v>
      </c>
    </row>
    <row r="144" ht="22.5" customHeight="1">
      <c r="A144" s="63" t="s">
        <v>132</v>
      </c>
      <c r="B144" s="96" t="str">
        <f>hyperlink("https://en.uesp.net/wiki/Skyrim:Compelling_Tribute", "Compelling Tribute")</f>
        <v>Compelling Tribute</v>
      </c>
      <c r="C144" s="82" t="s">
        <v>392</v>
      </c>
      <c r="D144" s="82" t="s">
        <v>374</v>
      </c>
      <c r="E144" s="95"/>
      <c r="F144" s="63" t="s">
        <v>132</v>
      </c>
      <c r="G144" s="96" t="str">
        <f>hyperlink("https://en.uesp.net/wiki/Skyrim:The_Battle_for_Fort_Sungard", "The Battle for Fort Sungard")</f>
        <v>The Battle for Fort Sungard</v>
      </c>
      <c r="H144" s="82" t="s">
        <v>393</v>
      </c>
      <c r="I144" s="82" t="s">
        <v>380</v>
      </c>
    </row>
    <row r="145" ht="22.5" customHeight="1">
      <c r="A145" s="63" t="s">
        <v>132</v>
      </c>
      <c r="B145" s="96" t="str">
        <f>hyperlink("https://en.uesp.net/wiki/Skyrim:The_Battle_for_Fort_Greenwall", "The Battle for Fort Greenwall")</f>
        <v>The Battle for Fort Greenwall</v>
      </c>
      <c r="C145" s="82" t="s">
        <v>394</v>
      </c>
      <c r="D145" s="82" t="s">
        <v>374</v>
      </c>
      <c r="E145" s="95"/>
      <c r="F145" s="63" t="s">
        <v>132</v>
      </c>
      <c r="G145" s="96" t="str">
        <f>hyperlink("https://en.uesp.net/wiki/Skyrim:A_False_Front", "A False Front")</f>
        <v>A False Front</v>
      </c>
      <c r="H145" s="82" t="s">
        <v>395</v>
      </c>
      <c r="I145" s="82" t="s">
        <v>380</v>
      </c>
    </row>
    <row r="146" ht="22.5" customHeight="1">
      <c r="A146" s="63" t="s">
        <v>132</v>
      </c>
      <c r="B146" s="96" t="str">
        <f>hyperlink("https://en.uesp.net/wiki/Skyrim:The_Battle_for_Fort_Sungard", "The Battle for Fort Sungard")</f>
        <v>The Battle for Fort Sungard</v>
      </c>
      <c r="C146" s="82" t="s">
        <v>396</v>
      </c>
      <c r="D146" s="82" t="s">
        <v>374</v>
      </c>
      <c r="E146" s="95"/>
      <c r="F146" s="63" t="s">
        <v>132</v>
      </c>
      <c r="G146" s="96" t="str">
        <f>hyperlink("https://en.uesp.net/wiki/Skyrim:The_Battle_for_Fort_Snowhawk", "The Battle for Fort Snowhawk")</f>
        <v>The Battle for Fort Snowhawk</v>
      </c>
      <c r="H146" s="82" t="s">
        <v>397</v>
      </c>
      <c r="I146" s="82" t="s">
        <v>380</v>
      </c>
    </row>
    <row r="147" ht="22.5" customHeight="1">
      <c r="A147" s="63" t="s">
        <v>132</v>
      </c>
      <c r="B147" s="96" t="str">
        <f>hyperlink("https://en.uesp.net/wiki/Skyrim:Rescue_from_Fort_Kastav", "Rescue from Fort Kastav")</f>
        <v>Rescue from Fort Kastav</v>
      </c>
      <c r="C147" s="82" t="s">
        <v>398</v>
      </c>
      <c r="D147" s="82" t="s">
        <v>374</v>
      </c>
      <c r="E147" s="95"/>
      <c r="F147" s="63" t="s">
        <v>132</v>
      </c>
      <c r="G147" s="96" t="str">
        <f>hyperlink("https://en.uesp.net/wiki/Skyrim:The_Battle_for_Fort_Dunstad", "The Battle for Fort Dunstad")</f>
        <v>The Battle for Fort Dunstad</v>
      </c>
      <c r="H147" s="82" t="s">
        <v>397</v>
      </c>
      <c r="I147" s="82" t="s">
        <v>380</v>
      </c>
    </row>
    <row r="148" ht="22.5" customHeight="1">
      <c r="A148" s="63" t="s">
        <v>132</v>
      </c>
      <c r="B148" s="96" t="str">
        <f>hyperlink("https://en.uesp.net/wiki/Skyrim:The_Battle_for_Fort_Snowhawk", "The Battle for Fort Snowhawk")</f>
        <v>The Battle for Fort Snowhawk</v>
      </c>
      <c r="C148" s="82" t="s">
        <v>399</v>
      </c>
      <c r="D148" s="82" t="s">
        <v>374</v>
      </c>
      <c r="E148" s="95"/>
      <c r="F148" s="63" t="s">
        <v>132</v>
      </c>
      <c r="G148" s="96" t="str">
        <f>hyperlink("https://en.uesp.net/wiki/Skyrim:The_Battle_for_Fort_Greenwall", "The Battle for Fort Greenwall")</f>
        <v>The Battle for Fort Greenwall</v>
      </c>
      <c r="H148" s="82" t="s">
        <v>397</v>
      </c>
      <c r="I148" s="82" t="s">
        <v>380</v>
      </c>
    </row>
    <row r="149" ht="22.5" customHeight="1">
      <c r="A149" s="63" t="s">
        <v>132</v>
      </c>
      <c r="B149" s="96" t="str">
        <f>hyperlink("https://en.uesp.net/wiki/Skyrim:The_Battle_for_Fort_Amol", "The Battle for Fort Amol")</f>
        <v>The Battle for Fort Amol</v>
      </c>
      <c r="C149" s="82" t="s">
        <v>400</v>
      </c>
      <c r="D149" s="82" t="s">
        <v>374</v>
      </c>
      <c r="E149" s="95"/>
      <c r="F149" s="63" t="s">
        <v>132</v>
      </c>
      <c r="G149" s="96" t="str">
        <f>hyperlink("https://en.uesp.net/wiki/Skyrim:The_Battle_for_Fort_Kastav", "The Battle for Fort Kastav")</f>
        <v>The Battle for Fort Kastav</v>
      </c>
      <c r="H149" s="82" t="s">
        <v>397</v>
      </c>
      <c r="I149" s="82" t="s">
        <v>380</v>
      </c>
    </row>
    <row r="150" ht="22.5" customHeight="1">
      <c r="A150" s="63" t="s">
        <v>132</v>
      </c>
      <c r="B150" s="96" t="str">
        <f>hyperlink("https://en.uesp.net/wiki/Skyrim:Battle_for_Windhelm", "Battle for Windhelm")</f>
        <v>Battle for Windhelm</v>
      </c>
      <c r="C150" s="82" t="s">
        <v>401</v>
      </c>
      <c r="D150" s="82" t="s">
        <v>374</v>
      </c>
      <c r="E150" s="95"/>
      <c r="F150" s="63" t="s">
        <v>132</v>
      </c>
      <c r="G150" s="96" t="str">
        <f>hyperlink("https://en.uesp.net/wiki/Skyrim:The_Battle_for_Fort_Hraggstad", "The Battle for Fort Hraggstad")</f>
        <v>The Battle for Fort Hraggstad</v>
      </c>
      <c r="H150" s="82" t="s">
        <v>397</v>
      </c>
      <c r="I150" s="82" t="s">
        <v>380</v>
      </c>
    </row>
    <row r="151" ht="22.5" customHeight="1">
      <c r="A151" s="128"/>
      <c r="B151" s="129"/>
      <c r="C151" s="129"/>
      <c r="D151" s="129"/>
      <c r="E151" s="95"/>
      <c r="F151" s="63" t="s">
        <v>132</v>
      </c>
      <c r="G151" s="96" t="str">
        <f>hyperlink("https://en.uesp.net/wiki/Skyrim:Battle_for_Solitude", "Battle for Solitude")</f>
        <v>Battle for Solitude</v>
      </c>
      <c r="H151" s="82" t="s">
        <v>402</v>
      </c>
      <c r="I151" s="82" t="s">
        <v>380</v>
      </c>
    </row>
    <row r="152" ht="22.5" customHeight="1">
      <c r="A152" s="111"/>
      <c r="B152" s="112"/>
      <c r="C152" s="112"/>
      <c r="D152" s="112"/>
      <c r="E152" s="131"/>
      <c r="F152" s="111"/>
      <c r="G152" s="112"/>
      <c r="H152" s="112"/>
      <c r="I152" s="114"/>
    </row>
    <row r="153" ht="22.5" customHeight="1">
      <c r="A153" s="87" t="s">
        <v>403</v>
      </c>
      <c r="B153" s="88"/>
      <c r="C153" s="88"/>
      <c r="D153" s="88"/>
      <c r="E153" s="88"/>
      <c r="F153" s="88"/>
      <c r="G153" s="88"/>
      <c r="H153" s="88"/>
      <c r="I153" s="187">
        <f>((countif(A156:A176,"Y")+countif(F156:F175,"Y"))/26)</f>
        <v>0</v>
      </c>
    </row>
    <row r="154" ht="22.5" customHeight="1">
      <c r="A154" s="90"/>
      <c r="B154" s="91"/>
      <c r="C154" s="91"/>
      <c r="D154" s="91"/>
      <c r="E154" s="91"/>
      <c r="F154" s="91"/>
      <c r="G154" s="91"/>
      <c r="H154" s="91"/>
      <c r="I154" s="137"/>
    </row>
    <row r="155" ht="22.5" customHeight="1">
      <c r="A155" s="188" t="s">
        <v>404</v>
      </c>
      <c r="B155" s="38"/>
      <c r="C155" s="38"/>
      <c r="D155" s="39"/>
      <c r="E155" s="95"/>
      <c r="F155" s="189" t="s">
        <v>405</v>
      </c>
      <c r="G155" s="190"/>
      <c r="H155" s="191" t="s">
        <v>406</v>
      </c>
      <c r="I155" s="39"/>
    </row>
    <row r="156" ht="22.5" customHeight="1">
      <c r="A156" s="63" t="s">
        <v>132</v>
      </c>
      <c r="B156" s="96" t="str">
        <f>hyperlink("https://en.uesp.net/wiki/Skyrim:Visit_the_Shrine_of_Azura", "Visit the Shrine of Azura")</f>
        <v>Visit the Shrine of Azura</v>
      </c>
      <c r="C156" s="82" t="s">
        <v>407</v>
      </c>
      <c r="D156" s="82" t="s">
        <v>408</v>
      </c>
      <c r="E156" s="95"/>
      <c r="F156" s="63" t="s">
        <v>132</v>
      </c>
      <c r="G156" s="96" t="str">
        <f>hyperlink("https://en.uesp.net/wiki/Skyrim:The_Break_of_Dawn", "The Break of Dawn")</f>
        <v>The Break of Dawn</v>
      </c>
      <c r="H156" s="82" t="s">
        <v>409</v>
      </c>
      <c r="I156" s="82" t="s">
        <v>405</v>
      </c>
    </row>
    <row r="157" ht="22.5" customHeight="1">
      <c r="A157" s="63" t="s">
        <v>132</v>
      </c>
      <c r="B157" s="96" t="str">
        <f>hyperlink("https://en.uesp.net/wiki/Skyrim:The_Black_Star", "The Black Star")</f>
        <v>The Black Star</v>
      </c>
      <c r="C157" s="82" t="s">
        <v>410</v>
      </c>
      <c r="D157" s="82" t="s">
        <v>408</v>
      </c>
      <c r="E157" s="95"/>
      <c r="F157" s="188" t="s">
        <v>411</v>
      </c>
      <c r="G157" s="38"/>
      <c r="H157" s="38"/>
      <c r="I157" s="39"/>
    </row>
    <row r="158" ht="22.5" customHeight="1">
      <c r="A158" s="189" t="s">
        <v>412</v>
      </c>
      <c r="B158" s="190"/>
      <c r="C158" s="192" t="s">
        <v>413</v>
      </c>
      <c r="D158" s="39"/>
      <c r="E158" s="95"/>
      <c r="F158" s="63" t="s">
        <v>132</v>
      </c>
      <c r="G158" s="96" t="str">
        <f>hyperlink("https://en.uesp.net/wiki/Skyrim:Speak_to_the_Witchhunter", "Speak to the Witchhunter")</f>
        <v>Speak to the Witchhunter</v>
      </c>
      <c r="H158" s="82" t="s">
        <v>414</v>
      </c>
      <c r="I158" s="82" t="s">
        <v>415</v>
      </c>
    </row>
    <row r="159" ht="22.5" customHeight="1">
      <c r="A159" s="63" t="s">
        <v>132</v>
      </c>
      <c r="B159" s="96" t="str">
        <f>hyperlink("https://en.uesp.net/wiki/Skyrim:Investigate_the_Boethiah_cultist", "Investigate the Boethiah cultist")</f>
        <v>Investigate the Boethiah cultist</v>
      </c>
      <c r="C159" s="82" t="s">
        <v>416</v>
      </c>
      <c r="D159" s="82" t="s">
        <v>417</v>
      </c>
      <c r="E159" s="95"/>
      <c r="F159" s="63" t="s">
        <v>132</v>
      </c>
      <c r="G159" s="96" t="str">
        <f>hyperlink("https://en.uesp.net/wiki/Skyrim:The_House_of_Horrors", "The House of Horrors")</f>
        <v>The House of Horrors</v>
      </c>
      <c r="H159" s="82" t="s">
        <v>418</v>
      </c>
      <c r="I159" s="82" t="s">
        <v>415</v>
      </c>
    </row>
    <row r="160" ht="22.5" customHeight="1">
      <c r="A160" s="63" t="s">
        <v>132</v>
      </c>
      <c r="B160" s="96" t="str">
        <f>hyperlink("https://en.uesp.net/wiki/Skyrim:Boethiah's_Calling", "Boethiah's Calling")</f>
        <v>Boethiah's Calling</v>
      </c>
      <c r="C160" s="82" t="s">
        <v>419</v>
      </c>
      <c r="D160" s="82" t="s">
        <v>417</v>
      </c>
      <c r="E160" s="95"/>
      <c r="F160" s="188" t="s">
        <v>420</v>
      </c>
      <c r="G160" s="38"/>
      <c r="H160" s="38"/>
      <c r="I160" s="39"/>
    </row>
    <row r="161" ht="22.5" customHeight="1">
      <c r="A161" s="189" t="s">
        <v>421</v>
      </c>
      <c r="B161" s="190"/>
      <c r="C161" s="192" t="s">
        <v>422</v>
      </c>
      <c r="D161" s="39"/>
      <c r="E161" s="95"/>
      <c r="F161" s="63" t="s">
        <v>132</v>
      </c>
      <c r="G161" s="96" t="str">
        <f>hyperlink("https://en.uesp.net/wiki/Skyrim:Investigate_the_Hall_of_the_Dead", "Investigate the Hall of the Dead")</f>
        <v>Investigate the Hall of the Dead</v>
      </c>
      <c r="H161" s="82" t="s">
        <v>423</v>
      </c>
      <c r="I161" s="82" t="s">
        <v>424</v>
      </c>
    </row>
    <row r="162" ht="22.5" customHeight="1">
      <c r="A162" s="63" t="s">
        <v>132</v>
      </c>
      <c r="B162" s="96" t="str">
        <f>hyperlink("https://en.uesp.net/wiki/Skyrim:Speak_to_Lod", "Speak to Lod")</f>
        <v>Speak to Lod</v>
      </c>
      <c r="C162" s="82" t="s">
        <v>425</v>
      </c>
      <c r="D162" s="82" t="s">
        <v>426</v>
      </c>
      <c r="E162" s="95"/>
      <c r="F162" s="63" t="s">
        <v>132</v>
      </c>
      <c r="G162" s="96" t="str">
        <f>hyperlink("https://en.uesp.net/wiki/Skyrim:The_Taste_of_Death", "The Taste of Death")</f>
        <v>The Taste of Death</v>
      </c>
      <c r="H162" s="82" t="s">
        <v>427</v>
      </c>
      <c r="I162" s="82" t="s">
        <v>424</v>
      </c>
    </row>
    <row r="163" ht="22.5" customHeight="1">
      <c r="A163" s="63" t="s">
        <v>132</v>
      </c>
      <c r="B163" s="96" t="str">
        <f>hyperlink("https://en.uesp.net/wiki/Skyrim:A_Daedra's_Best_Friend", "A Daedra's Best Friend")</f>
        <v>A Daedra's Best Friend</v>
      </c>
      <c r="C163" s="82" t="s">
        <v>428</v>
      </c>
      <c r="D163" s="82" t="s">
        <v>426</v>
      </c>
      <c r="E163" s="95"/>
      <c r="F163" s="188" t="s">
        <v>429</v>
      </c>
      <c r="G163" s="38"/>
      <c r="H163" s="38"/>
      <c r="I163" s="39"/>
    </row>
    <row r="164" ht="22.5" customHeight="1">
      <c r="A164" s="189" t="s">
        <v>430</v>
      </c>
      <c r="B164" s="190"/>
      <c r="C164" s="192" t="s">
        <v>431</v>
      </c>
      <c r="D164" s="39"/>
      <c r="E164" s="95"/>
      <c r="F164" s="63" t="s">
        <v>132</v>
      </c>
      <c r="G164" s="96" t="str">
        <f>hyperlink("https://en.uesp.net/wiki/Skyrim:Darkness_Returns", "Darkness Returns (thieves guild)")</f>
        <v>Darkness Returns (thieves guild)</v>
      </c>
      <c r="H164" s="82" t="s">
        <v>432</v>
      </c>
      <c r="I164" s="82" t="s">
        <v>325</v>
      </c>
    </row>
    <row r="165" ht="22.5" customHeight="1">
      <c r="A165" s="63" t="s">
        <v>132</v>
      </c>
      <c r="B165" s="96" t="str">
        <f>hyperlink("https://en.uesp.net/wiki/Skyrim:Discerning_the_Transmundane", "Discerning the Transmundane")</f>
        <v>Discerning the Transmundane</v>
      </c>
      <c r="C165" s="82" t="s">
        <v>433</v>
      </c>
      <c r="D165" s="82" t="s">
        <v>434</v>
      </c>
      <c r="E165" s="95"/>
      <c r="F165" s="189" t="s">
        <v>435</v>
      </c>
      <c r="G165" s="190"/>
      <c r="H165" s="191" t="s">
        <v>436</v>
      </c>
      <c r="I165" s="39"/>
    </row>
    <row r="166" ht="22.5" customHeight="1">
      <c r="A166" s="193" t="s">
        <v>437</v>
      </c>
      <c r="B166" s="38"/>
      <c r="C166" s="38"/>
      <c r="D166" s="39"/>
      <c r="E166" s="95"/>
      <c r="F166" s="63" t="s">
        <v>132</v>
      </c>
      <c r="G166" s="96" t="str">
        <f>hyperlink("https://en.uesp.net/wiki/Skyrim:Find_Kesh_at_the_Peryite_Shrine", "Find Kesh at the Peryite Shrine")</f>
        <v>Find Kesh at the Peryite Shrine</v>
      </c>
      <c r="H166" s="82" t="s">
        <v>438</v>
      </c>
      <c r="I166" s="82" t="s">
        <v>439</v>
      </c>
    </row>
    <row r="167" ht="22.5" customHeight="1">
      <c r="A167" s="63" t="s">
        <v>132</v>
      </c>
      <c r="B167" s="96" t="str">
        <f>hyperlink("https://en.uesp.net/wiki/Skyrim:Ill_Met_By_Moonlight", "Ill Met By Moonlight")</f>
        <v>Ill Met By Moonlight</v>
      </c>
      <c r="C167" s="82" t="s">
        <v>440</v>
      </c>
      <c r="D167" s="82" t="s">
        <v>441</v>
      </c>
      <c r="E167" s="95"/>
      <c r="F167" s="63" t="s">
        <v>132</v>
      </c>
      <c r="G167" s="96" t="str">
        <f>hyperlink("https://en.uesp.net/wiki/Skyrim:The_Only_Cure", "The Only Cure")</f>
        <v>The Only Cure</v>
      </c>
      <c r="H167" s="82" t="s">
        <v>442</v>
      </c>
      <c r="I167" s="82" t="s">
        <v>439</v>
      </c>
    </row>
    <row r="168" ht="22.5" customHeight="1">
      <c r="A168" s="188" t="s">
        <v>443</v>
      </c>
      <c r="B168" s="38"/>
      <c r="C168" s="38"/>
      <c r="D168" s="39"/>
      <c r="E168" s="95"/>
      <c r="F168" s="189" t="s">
        <v>444</v>
      </c>
      <c r="G168" s="190"/>
      <c r="H168" s="191" t="s">
        <v>445</v>
      </c>
      <c r="I168" s="39"/>
    </row>
    <row r="169" ht="22.5" customHeight="1">
      <c r="A169" s="63" t="s">
        <v>132</v>
      </c>
      <c r="B169" s="96" t="str">
        <f>hyperlink("https://en.uesp.net/wiki/Skyrim:The_Cursed_Tribe", "The Cursed Tribe")</f>
        <v>The Cursed Tribe</v>
      </c>
      <c r="C169" s="82" t="s">
        <v>446</v>
      </c>
      <c r="D169" s="82" t="s">
        <v>447</v>
      </c>
      <c r="E169" s="95"/>
      <c r="F169" s="63" t="s">
        <v>132</v>
      </c>
      <c r="G169" s="96" t="str">
        <f>hyperlink("https://en.uesp.net/wiki/Skyrim:Drink_with_Sam", "Drink with Sam")</f>
        <v>Drink with Sam</v>
      </c>
      <c r="H169" s="82" t="s">
        <v>448</v>
      </c>
      <c r="I169" s="82" t="s">
        <v>449</v>
      </c>
    </row>
    <row r="170" ht="22.5" customHeight="1">
      <c r="A170" s="189" t="s">
        <v>450</v>
      </c>
      <c r="B170" s="190"/>
      <c r="C170" s="192" t="s">
        <v>451</v>
      </c>
      <c r="D170" s="39"/>
      <c r="E170" s="95"/>
      <c r="F170" s="63" t="s">
        <v>132</v>
      </c>
      <c r="G170" s="96" t="str">
        <f>hyperlink("https://en.uesp.net/wiki/Skyrim:A_Night_To_Remember", "A Night To Remember")</f>
        <v>A Night To Remember</v>
      </c>
      <c r="H170" s="82" t="s">
        <v>452</v>
      </c>
      <c r="I170" s="82" t="s">
        <v>449</v>
      </c>
    </row>
    <row r="171" ht="22.5" customHeight="1">
      <c r="A171" s="63" t="s">
        <v>132</v>
      </c>
      <c r="B171" s="96" t="str">
        <f>hyperlink("https://en.uesp.net/wiki/Skyrim:Visit_the_museum_in_Dawnstar", "Visit the museum in Dawnstar")</f>
        <v>Visit the museum in Dawnstar</v>
      </c>
      <c r="C171" s="82" t="s">
        <v>453</v>
      </c>
      <c r="D171" s="82" t="s">
        <v>454</v>
      </c>
      <c r="E171" s="95"/>
      <c r="F171" s="188" t="s">
        <v>455</v>
      </c>
      <c r="G171" s="38"/>
      <c r="H171" s="38"/>
      <c r="I171" s="39"/>
    </row>
    <row r="172" ht="22.5" customHeight="1">
      <c r="A172" s="63" t="s">
        <v>132</v>
      </c>
      <c r="B172" s="96" t="str">
        <f>hyperlink("https://en.uesp.net/wiki/Skyrim:Pieces_of_the_Past", "Pieces of the Past")</f>
        <v>Pieces of the Past</v>
      </c>
      <c r="C172" s="82" t="s">
        <v>456</v>
      </c>
      <c r="D172" s="82" t="s">
        <v>454</v>
      </c>
      <c r="E172" s="95"/>
      <c r="F172" s="63" t="s">
        <v>132</v>
      </c>
      <c r="G172" s="96" t="str">
        <f>hyperlink("https://en.uesp.net/wiki/Skyrim:Investigate_Dervenin", "Investigate Dervenin")</f>
        <v>Investigate Dervenin</v>
      </c>
      <c r="H172" s="82" t="s">
        <v>457</v>
      </c>
      <c r="I172" s="82" t="s">
        <v>458</v>
      </c>
    </row>
    <row r="173" ht="22.5" customHeight="1">
      <c r="A173" s="189" t="s">
        <v>459</v>
      </c>
      <c r="B173" s="190"/>
      <c r="C173" s="192" t="s">
        <v>460</v>
      </c>
      <c r="D173" s="39"/>
      <c r="E173" s="95"/>
      <c r="F173" s="63" t="s">
        <v>132</v>
      </c>
      <c r="G173" s="96" t="str">
        <f>hyperlink("https://en.uesp.net/wiki/Skyrim:The_Mind_of_Madness", "The Mind of Madness")</f>
        <v>The Mind of Madness</v>
      </c>
      <c r="H173" s="82" t="s">
        <v>461</v>
      </c>
      <c r="I173" s="82" t="s">
        <v>458</v>
      </c>
    </row>
    <row r="174" ht="22.5" customHeight="1">
      <c r="A174" s="63" t="s">
        <v>132</v>
      </c>
      <c r="B174" s="96" t="str">
        <f>hyperlink("https://en.uesp.net/wiki/Skyrim:Ask_about_Balgruuf's_strange_children", "Ask about Balgruuf's strange children")</f>
        <v>Ask about Balgruuf's strange children</v>
      </c>
      <c r="C174" s="82" t="s">
        <v>462</v>
      </c>
      <c r="D174" s="82" t="s">
        <v>138</v>
      </c>
      <c r="E174" s="95"/>
      <c r="F174" s="188" t="s">
        <v>463</v>
      </c>
      <c r="G174" s="38"/>
      <c r="H174" s="38"/>
      <c r="I174" s="39"/>
    </row>
    <row r="175" ht="22.5" customHeight="1">
      <c r="A175" s="63" t="s">
        <v>132</v>
      </c>
      <c r="B175" s="96" t="str">
        <f>hyperlink("https://en.uesp.net/wiki/Skyrim:The_Whispering_Door", "The Whispering Door")</f>
        <v>The Whispering Door</v>
      </c>
      <c r="C175" s="82" t="s">
        <v>464</v>
      </c>
      <c r="D175" s="82" t="s">
        <v>138</v>
      </c>
      <c r="E175" s="95"/>
      <c r="F175" s="63" t="s">
        <v>132</v>
      </c>
      <c r="G175" s="96" t="str">
        <f>hyperlink("https://en.uesp.net/wiki/Skyrim:Waking_Nightmare", "Waking Nightmare")</f>
        <v>Waking Nightmare</v>
      </c>
      <c r="H175" s="82" t="s">
        <v>465</v>
      </c>
      <c r="I175" s="82" t="s">
        <v>466</v>
      </c>
    </row>
    <row r="176" ht="22.5" customHeight="1">
      <c r="A176" s="194"/>
      <c r="B176" s="169"/>
      <c r="C176" s="169"/>
      <c r="D176" s="169"/>
      <c r="E176" s="167"/>
      <c r="F176" s="125"/>
      <c r="G176" s="126"/>
      <c r="H176" s="139"/>
      <c r="I176" s="140"/>
    </row>
    <row r="177" ht="22.5" customHeight="1">
      <c r="A177" s="83"/>
      <c r="B177" s="84"/>
      <c r="C177" s="84"/>
      <c r="D177" s="84"/>
      <c r="E177" s="131"/>
      <c r="F177" s="141"/>
      <c r="G177" s="131"/>
      <c r="H177" s="142"/>
      <c r="I177" s="143"/>
    </row>
    <row r="178" ht="22.5" customHeight="1">
      <c r="A178" s="87" t="s">
        <v>467</v>
      </c>
      <c r="B178" s="88"/>
      <c r="C178" s="88"/>
      <c r="D178" s="88"/>
      <c r="E178" s="88"/>
      <c r="F178" s="88"/>
      <c r="G178" s="88"/>
      <c r="H178" s="88"/>
      <c r="I178" s="195">
        <f>((countif(A180:A181,"Y")+countif(F180:F181,"Y"))/4)</f>
        <v>0</v>
      </c>
    </row>
    <row r="179" ht="22.5" customHeight="1">
      <c r="A179" s="90"/>
      <c r="B179" s="91"/>
      <c r="C179" s="91"/>
      <c r="D179" s="91"/>
      <c r="E179" s="91"/>
      <c r="F179" s="91"/>
      <c r="G179" s="91"/>
      <c r="H179" s="91"/>
      <c r="I179" s="137"/>
    </row>
    <row r="180" ht="22.5" customHeight="1">
      <c r="A180" s="63" t="s">
        <v>132</v>
      </c>
      <c r="B180" s="116" t="str">
        <f>hyperlink("https://en.uesp.net/wiki/Skyrim:Kyne's_Sacred_Trials", "Kyne's Sacred Trials")</f>
        <v>Kyne's Sacred Trials</v>
      </c>
      <c r="C180" s="117" t="s">
        <v>468</v>
      </c>
      <c r="D180" s="117" t="s">
        <v>469</v>
      </c>
      <c r="E180" s="196"/>
      <c r="F180" s="63" t="s">
        <v>132</v>
      </c>
      <c r="G180" s="116" t="str">
        <f>hyperlink("https://en.uesp.net/wiki/Skyrim:The_Book_of_Love", "The Book of Love")</f>
        <v>The Book of Love</v>
      </c>
      <c r="H180" s="117" t="s">
        <v>470</v>
      </c>
      <c r="I180" s="117" t="s">
        <v>471</v>
      </c>
    </row>
    <row r="181" ht="22.5" customHeight="1">
      <c r="A181" s="63" t="s">
        <v>132</v>
      </c>
      <c r="B181" s="116" t="str">
        <f>hyperlink("https://en.uesp.net/wiki/Skyrim:The_Blessings_of_Nature", "The Blessings of Nature")</f>
        <v>The Blessings of Nature</v>
      </c>
      <c r="C181" s="117" t="s">
        <v>472</v>
      </c>
      <c r="D181" s="117" t="s">
        <v>473</v>
      </c>
      <c r="E181" s="95"/>
      <c r="F181" s="63" t="s">
        <v>132</v>
      </c>
      <c r="G181" s="116" t="str">
        <f>hyperlink("https://en.uesp.net/wiki/Skyrim:The_Heart_of_Dibella", "The Heart of Dibella")</f>
        <v>The Heart of Dibella</v>
      </c>
      <c r="H181" s="117" t="s">
        <v>474</v>
      </c>
      <c r="I181" s="117" t="s">
        <v>475</v>
      </c>
    </row>
    <row r="182" ht="22.5" customHeight="1">
      <c r="A182" s="111"/>
      <c r="B182" s="112"/>
      <c r="C182" s="112"/>
      <c r="D182" s="112"/>
      <c r="E182" s="131"/>
      <c r="F182" s="141"/>
      <c r="G182" s="131"/>
      <c r="H182" s="142"/>
      <c r="I182" s="143"/>
    </row>
    <row r="183" ht="22.5" customHeight="1">
      <c r="A183" s="87" t="s">
        <v>476</v>
      </c>
      <c r="B183" s="88"/>
      <c r="C183" s="88"/>
      <c r="D183" s="88"/>
      <c r="E183" s="88"/>
      <c r="F183" s="88"/>
      <c r="G183" s="88"/>
      <c r="H183" s="88"/>
      <c r="I183" s="195">
        <f>((countif(A185:A212,"Y")+countif(F186:F211,"Y"))/27)</f>
        <v>0</v>
      </c>
    </row>
    <row r="184" ht="22.5" customHeight="1">
      <c r="A184" s="90"/>
      <c r="B184" s="91"/>
      <c r="C184" s="91"/>
      <c r="D184" s="91"/>
      <c r="E184" s="91"/>
      <c r="F184" s="91"/>
      <c r="G184" s="91"/>
      <c r="H184" s="91"/>
      <c r="I184" s="137"/>
    </row>
    <row r="185" ht="22.5" customHeight="1">
      <c r="A185" s="197" t="s">
        <v>477</v>
      </c>
      <c r="B185" s="38"/>
      <c r="C185" s="38"/>
      <c r="D185" s="39"/>
      <c r="E185" s="198"/>
      <c r="F185" s="197" t="s">
        <v>478</v>
      </c>
      <c r="G185" s="38"/>
      <c r="H185" s="38"/>
      <c r="I185" s="39"/>
    </row>
    <row r="186" ht="22.5" customHeight="1">
      <c r="A186" s="63" t="s">
        <v>132</v>
      </c>
      <c r="B186" s="118" t="s">
        <v>479</v>
      </c>
      <c r="C186" s="82" t="s">
        <v>480</v>
      </c>
      <c r="D186" s="82"/>
      <c r="E186" s="198"/>
      <c r="F186" s="63" t="s">
        <v>132</v>
      </c>
      <c r="G186" s="118" t="s">
        <v>481</v>
      </c>
      <c r="H186" s="82" t="s">
        <v>482</v>
      </c>
      <c r="I186" s="82" t="s">
        <v>483</v>
      </c>
    </row>
    <row r="187" ht="22.5" customHeight="1">
      <c r="A187" s="197" t="s">
        <v>484</v>
      </c>
      <c r="B187" s="38"/>
      <c r="C187" s="38"/>
      <c r="D187" s="39"/>
      <c r="E187" s="198"/>
      <c r="F187" s="197" t="s">
        <v>485</v>
      </c>
      <c r="G187" s="38"/>
      <c r="H187" s="38"/>
      <c r="I187" s="39"/>
    </row>
    <row r="188" ht="22.5" customHeight="1">
      <c r="A188" s="63" t="s">
        <v>132</v>
      </c>
      <c r="B188" s="118" t="s">
        <v>486</v>
      </c>
      <c r="C188" s="82" t="s">
        <v>487</v>
      </c>
      <c r="D188" s="82"/>
      <c r="E188" s="198"/>
      <c r="F188" s="63" t="s">
        <v>132</v>
      </c>
      <c r="G188" s="118" t="s">
        <v>488</v>
      </c>
      <c r="H188" s="82" t="s">
        <v>489</v>
      </c>
      <c r="I188" s="82" t="s">
        <v>488</v>
      </c>
    </row>
    <row r="189" ht="22.5" customHeight="1">
      <c r="A189" s="197" t="s">
        <v>490</v>
      </c>
      <c r="B189" s="38"/>
      <c r="C189" s="38"/>
      <c r="D189" s="39"/>
      <c r="E189" s="198"/>
      <c r="F189" s="197" t="s">
        <v>491</v>
      </c>
      <c r="G189" s="38"/>
      <c r="H189" s="38"/>
      <c r="I189" s="39"/>
    </row>
    <row r="190" ht="22.5" customHeight="1">
      <c r="A190" s="63" t="s">
        <v>132</v>
      </c>
      <c r="B190" s="118" t="s">
        <v>492</v>
      </c>
      <c r="C190" s="82" t="s">
        <v>493</v>
      </c>
      <c r="D190" s="82" t="s">
        <v>494</v>
      </c>
      <c r="E190" s="198"/>
      <c r="F190" s="63" t="s">
        <v>132</v>
      </c>
      <c r="G190" s="118" t="s">
        <v>495</v>
      </c>
      <c r="H190" s="82" t="s">
        <v>496</v>
      </c>
      <c r="I190" s="82" t="s">
        <v>497</v>
      </c>
    </row>
    <row r="191" ht="22.5" customHeight="1">
      <c r="A191" s="197" t="s">
        <v>498</v>
      </c>
      <c r="B191" s="38"/>
      <c r="C191" s="38"/>
      <c r="D191" s="39"/>
      <c r="E191" s="198"/>
      <c r="F191" s="197" t="s">
        <v>499</v>
      </c>
      <c r="G191" s="38"/>
      <c r="H191" s="38"/>
      <c r="I191" s="39"/>
    </row>
    <row r="192" ht="22.5" customHeight="1">
      <c r="A192" s="63" t="s">
        <v>132</v>
      </c>
      <c r="B192" s="199" t="s">
        <v>500</v>
      </c>
      <c r="C192" s="117" t="s">
        <v>501</v>
      </c>
      <c r="D192" s="117" t="s">
        <v>502</v>
      </c>
      <c r="E192" s="198"/>
      <c r="F192" s="63" t="s">
        <v>132</v>
      </c>
      <c r="G192" s="118" t="s">
        <v>503</v>
      </c>
      <c r="H192" s="82" t="s">
        <v>504</v>
      </c>
      <c r="I192" s="82"/>
    </row>
    <row r="193" ht="22.5" customHeight="1">
      <c r="A193" s="197" t="s">
        <v>505</v>
      </c>
      <c r="B193" s="38"/>
      <c r="C193" s="38"/>
      <c r="D193" s="39"/>
      <c r="E193" s="198"/>
      <c r="F193" s="200" t="s">
        <v>506</v>
      </c>
      <c r="G193" s="38"/>
      <c r="H193" s="38"/>
      <c r="I193" s="39"/>
    </row>
    <row r="194" ht="22.5" customHeight="1">
      <c r="A194" s="63" t="s">
        <v>132</v>
      </c>
      <c r="B194" s="199" t="s">
        <v>507</v>
      </c>
      <c r="C194" s="117" t="s">
        <v>508</v>
      </c>
      <c r="D194" s="117"/>
      <c r="E194" s="198"/>
      <c r="F194" s="63" t="s">
        <v>132</v>
      </c>
      <c r="G194" s="118" t="s">
        <v>509</v>
      </c>
      <c r="H194" s="82" t="s">
        <v>510</v>
      </c>
      <c r="I194" s="82" t="s">
        <v>511</v>
      </c>
    </row>
    <row r="195" ht="22.5" customHeight="1">
      <c r="A195" s="197" t="s">
        <v>512</v>
      </c>
      <c r="B195" s="38"/>
      <c r="C195" s="38"/>
      <c r="D195" s="39"/>
      <c r="E195" s="198"/>
      <c r="F195" s="197" t="s">
        <v>513</v>
      </c>
      <c r="G195" s="38"/>
      <c r="H195" s="38"/>
      <c r="I195" s="39"/>
    </row>
    <row r="196" ht="22.5" customHeight="1">
      <c r="A196" s="63" t="s">
        <v>132</v>
      </c>
      <c r="B196" s="199" t="s">
        <v>514</v>
      </c>
      <c r="C196" s="117" t="s">
        <v>515</v>
      </c>
      <c r="D196" s="117" t="s">
        <v>516</v>
      </c>
      <c r="E196" s="198"/>
      <c r="F196" s="63" t="s">
        <v>132</v>
      </c>
      <c r="G196" s="118" t="s">
        <v>517</v>
      </c>
      <c r="H196" s="82" t="s">
        <v>518</v>
      </c>
      <c r="I196" s="82" t="s">
        <v>519</v>
      </c>
    </row>
    <row r="197" ht="22.5" customHeight="1">
      <c r="A197" s="197" t="s">
        <v>520</v>
      </c>
      <c r="B197" s="38"/>
      <c r="C197" s="38"/>
      <c r="D197" s="39"/>
      <c r="E197" s="198"/>
      <c r="F197" s="197" t="s">
        <v>521</v>
      </c>
      <c r="G197" s="38"/>
      <c r="H197" s="38"/>
      <c r="I197" s="39"/>
    </row>
    <row r="198" ht="22.5" customHeight="1">
      <c r="A198" s="63" t="s">
        <v>132</v>
      </c>
      <c r="B198" s="118" t="s">
        <v>522</v>
      </c>
      <c r="C198" s="82" t="s">
        <v>523</v>
      </c>
      <c r="D198" s="82"/>
      <c r="E198" s="198"/>
      <c r="F198" s="63" t="s">
        <v>132</v>
      </c>
      <c r="G198" s="118" t="s">
        <v>506</v>
      </c>
      <c r="H198" s="82" t="s">
        <v>524</v>
      </c>
      <c r="I198" s="82" t="s">
        <v>525</v>
      </c>
    </row>
    <row r="199" ht="22.5" customHeight="1">
      <c r="A199" s="197" t="s">
        <v>526</v>
      </c>
      <c r="B199" s="38"/>
      <c r="C199" s="38"/>
      <c r="D199" s="39"/>
      <c r="E199" s="198"/>
      <c r="F199" s="197" t="s">
        <v>527</v>
      </c>
      <c r="G199" s="38"/>
      <c r="H199" s="38"/>
      <c r="I199" s="39"/>
    </row>
    <row r="200" ht="22.5" customHeight="1">
      <c r="A200" s="63" t="s">
        <v>132</v>
      </c>
      <c r="B200" s="199" t="s">
        <v>528</v>
      </c>
      <c r="C200" s="117" t="s">
        <v>529</v>
      </c>
      <c r="D200" s="117"/>
      <c r="E200" s="198"/>
      <c r="F200" s="63" t="s">
        <v>132</v>
      </c>
      <c r="G200" s="118" t="s">
        <v>530</v>
      </c>
      <c r="H200" s="82" t="s">
        <v>531</v>
      </c>
      <c r="I200" s="82" t="s">
        <v>532</v>
      </c>
    </row>
    <row r="201" ht="22.5" customHeight="1">
      <c r="A201" s="197" t="s">
        <v>533</v>
      </c>
      <c r="B201" s="38"/>
      <c r="C201" s="38"/>
      <c r="D201" s="39"/>
      <c r="E201" s="198"/>
      <c r="F201" s="197" t="s">
        <v>534</v>
      </c>
      <c r="G201" s="38"/>
      <c r="H201" s="38"/>
      <c r="I201" s="39"/>
    </row>
    <row r="202" ht="22.5" customHeight="1">
      <c r="A202" s="63" t="s">
        <v>132</v>
      </c>
      <c r="B202" s="199" t="s">
        <v>535</v>
      </c>
      <c r="C202" s="117" t="s">
        <v>536</v>
      </c>
      <c r="D202" s="117" t="s">
        <v>537</v>
      </c>
      <c r="E202" s="198"/>
      <c r="F202" s="63" t="s">
        <v>132</v>
      </c>
      <c r="G202" s="118" t="s">
        <v>538</v>
      </c>
      <c r="H202" s="82" t="s">
        <v>539</v>
      </c>
      <c r="I202" s="82"/>
    </row>
    <row r="203" ht="22.5" customHeight="1">
      <c r="A203" s="197" t="s">
        <v>540</v>
      </c>
      <c r="B203" s="38"/>
      <c r="C203" s="38"/>
      <c r="D203" s="39"/>
      <c r="E203" s="198"/>
      <c r="F203" s="197" t="s">
        <v>541</v>
      </c>
      <c r="G203" s="38"/>
      <c r="H203" s="38"/>
      <c r="I203" s="39"/>
    </row>
    <row r="204" ht="22.5" customHeight="1">
      <c r="A204" s="63" t="s">
        <v>132</v>
      </c>
      <c r="B204" s="199" t="s">
        <v>542</v>
      </c>
      <c r="C204" s="117" t="s">
        <v>543</v>
      </c>
      <c r="D204" s="117" t="s">
        <v>544</v>
      </c>
      <c r="E204" s="198"/>
      <c r="F204" s="63" t="s">
        <v>132</v>
      </c>
      <c r="G204" s="199" t="s">
        <v>545</v>
      </c>
      <c r="H204" s="117" t="s">
        <v>546</v>
      </c>
      <c r="I204" s="117" t="s">
        <v>547</v>
      </c>
    </row>
    <row r="205" ht="22.5" customHeight="1">
      <c r="A205" s="197" t="s">
        <v>548</v>
      </c>
      <c r="B205" s="38"/>
      <c r="C205" s="38"/>
      <c r="D205" s="39"/>
      <c r="E205" s="198"/>
      <c r="F205" s="197" t="s">
        <v>549</v>
      </c>
      <c r="G205" s="38"/>
      <c r="H205" s="38"/>
      <c r="I205" s="39"/>
    </row>
    <row r="206" ht="22.5" customHeight="1">
      <c r="A206" s="63" t="s">
        <v>132</v>
      </c>
      <c r="B206" s="118" t="s">
        <v>550</v>
      </c>
      <c r="C206" s="82" t="s">
        <v>551</v>
      </c>
      <c r="D206" s="82" t="s">
        <v>552</v>
      </c>
      <c r="E206" s="198"/>
      <c r="F206" s="63" t="s">
        <v>132</v>
      </c>
      <c r="G206" s="199" t="s">
        <v>553</v>
      </c>
      <c r="H206" s="117" t="s">
        <v>554</v>
      </c>
      <c r="I206" s="117" t="s">
        <v>555</v>
      </c>
    </row>
    <row r="207" ht="22.5" customHeight="1">
      <c r="A207" s="197" t="s">
        <v>556</v>
      </c>
      <c r="B207" s="38"/>
      <c r="C207" s="38"/>
      <c r="D207" s="39"/>
      <c r="E207" s="198"/>
      <c r="F207" s="197" t="s">
        <v>557</v>
      </c>
      <c r="G207" s="38"/>
      <c r="H207" s="38"/>
      <c r="I207" s="39"/>
    </row>
    <row r="208" ht="22.5" customHeight="1">
      <c r="A208" s="63" t="s">
        <v>132</v>
      </c>
      <c r="B208" s="118" t="s">
        <v>558</v>
      </c>
      <c r="C208" s="82" t="s">
        <v>559</v>
      </c>
      <c r="D208" s="82" t="s">
        <v>560</v>
      </c>
      <c r="E208" s="198"/>
      <c r="F208" s="63" t="s">
        <v>132</v>
      </c>
      <c r="G208" s="199" t="s">
        <v>561</v>
      </c>
      <c r="H208" s="117" t="s">
        <v>562</v>
      </c>
      <c r="I208" s="117"/>
    </row>
    <row r="209" ht="22.5" customHeight="1">
      <c r="A209" s="197" t="s">
        <v>563</v>
      </c>
      <c r="B209" s="38"/>
      <c r="C209" s="38"/>
      <c r="D209" s="39"/>
      <c r="E209" s="198"/>
      <c r="F209" s="201" t="s">
        <v>564</v>
      </c>
      <c r="G209" s="38"/>
      <c r="H209" s="38"/>
      <c r="I209" s="39"/>
    </row>
    <row r="210" ht="22.5" customHeight="1">
      <c r="A210" s="63" t="s">
        <v>132</v>
      </c>
      <c r="B210" s="118" t="s">
        <v>565</v>
      </c>
      <c r="C210" s="82" t="s">
        <v>566</v>
      </c>
      <c r="D210" s="82" t="s">
        <v>567</v>
      </c>
      <c r="E210" s="198"/>
      <c r="F210" s="63" t="s">
        <v>132</v>
      </c>
      <c r="G210" s="118" t="s">
        <v>568</v>
      </c>
      <c r="H210" s="82" t="s">
        <v>569</v>
      </c>
      <c r="I210" s="82"/>
    </row>
    <row r="211" ht="22.5" customHeight="1">
      <c r="A211" s="201" t="s">
        <v>570</v>
      </c>
      <c r="B211" s="38"/>
      <c r="C211" s="38"/>
      <c r="D211" s="39"/>
      <c r="E211" s="198"/>
      <c r="F211" s="201"/>
      <c r="G211" s="38"/>
      <c r="H211" s="38"/>
      <c r="I211" s="39"/>
    </row>
    <row r="212">
      <c r="A212" s="63" t="s">
        <v>132</v>
      </c>
      <c r="B212" s="118" t="s">
        <v>571</v>
      </c>
      <c r="C212" s="81" t="s">
        <v>572</v>
      </c>
      <c r="D212" s="82"/>
      <c r="E212" s="198"/>
      <c r="F212" s="202"/>
      <c r="G212" s="82"/>
      <c r="H212" s="82"/>
      <c r="I212" s="82"/>
    </row>
    <row r="213" ht="22.5" customHeight="1">
      <c r="A213" s="141"/>
      <c r="B213" s="131"/>
      <c r="C213" s="131"/>
      <c r="D213" s="131"/>
      <c r="E213" s="131"/>
      <c r="F213" s="141"/>
      <c r="G213" s="131"/>
      <c r="H213" s="142"/>
      <c r="I213" s="143"/>
    </row>
    <row r="214" ht="22.5" customHeight="1">
      <c r="A214" s="87" t="s">
        <v>573</v>
      </c>
      <c r="B214" s="88"/>
      <c r="C214" s="88"/>
      <c r="D214" s="88"/>
      <c r="E214" s="88"/>
      <c r="F214" s="88"/>
      <c r="G214" s="88"/>
      <c r="H214" s="88"/>
      <c r="I214" s="195">
        <f>((countif(A217:A240,"Y")+countif(F217:F235,"Y"))/36)</f>
        <v>0</v>
      </c>
    </row>
    <row r="215" ht="22.5" customHeight="1">
      <c r="A215" s="90"/>
      <c r="B215" s="91"/>
      <c r="C215" s="91"/>
      <c r="D215" s="91"/>
      <c r="E215" s="91"/>
      <c r="F215" s="91"/>
      <c r="G215" s="91"/>
      <c r="H215" s="91"/>
      <c r="I215" s="137"/>
    </row>
    <row r="216" ht="22.5" customHeight="1">
      <c r="A216" s="92" t="s">
        <v>574</v>
      </c>
      <c r="B216" s="38"/>
      <c r="C216" s="38"/>
      <c r="D216" s="39"/>
      <c r="E216" s="95"/>
      <c r="F216" s="92" t="s">
        <v>575</v>
      </c>
      <c r="G216" s="38"/>
      <c r="H216" s="38"/>
      <c r="I216" s="39"/>
    </row>
    <row r="217" ht="22.5" customHeight="1">
      <c r="A217" s="63" t="s">
        <v>132</v>
      </c>
      <c r="B217" s="203" t="s">
        <v>576</v>
      </c>
      <c r="C217" s="203" t="s">
        <v>577</v>
      </c>
      <c r="D217" s="203"/>
      <c r="E217" s="95"/>
      <c r="F217" s="204" t="s">
        <v>578</v>
      </c>
      <c r="G217" s="38"/>
      <c r="H217" s="38"/>
      <c r="I217" s="39"/>
    </row>
    <row r="218" ht="22.5" customHeight="1">
      <c r="A218" s="94" t="s">
        <v>210</v>
      </c>
      <c r="B218" s="38"/>
      <c r="C218" s="38"/>
      <c r="D218" s="39"/>
      <c r="E218" s="95"/>
      <c r="F218" s="63" t="s">
        <v>132</v>
      </c>
      <c r="G218" s="155" t="str">
        <f>hyperlink("https://en.uesp.net/wiki/Skyrim:Delivery", "Delivery")</f>
        <v>Delivery</v>
      </c>
      <c r="H218" s="82" t="s">
        <v>579</v>
      </c>
      <c r="I218" s="76" t="s">
        <v>580</v>
      </c>
    </row>
    <row r="219" ht="22.5" customHeight="1">
      <c r="A219" s="63" t="s">
        <v>132</v>
      </c>
      <c r="B219" s="205" t="str">
        <f>hyperlink("https://en.uesp.net/wiki/Skyrim:Blood_on_the_Ice", "Blood on the Ice")</f>
        <v>Blood on the Ice</v>
      </c>
      <c r="C219" s="206" t="s">
        <v>581</v>
      </c>
      <c r="D219" s="206" t="s">
        <v>582</v>
      </c>
      <c r="E219" s="95"/>
      <c r="F219" s="63" t="s">
        <v>132</v>
      </c>
      <c r="G219" s="155" t="str">
        <f>hyperlink("https://en.uesp.net/wiki/Skyrim:Extracting_an_Argonian", "Extracting an Argonian")</f>
        <v>Extracting an Argonian</v>
      </c>
      <c r="H219" s="82" t="s">
        <v>583</v>
      </c>
      <c r="I219" s="207" t="s">
        <v>584</v>
      </c>
    </row>
    <row r="220" ht="22.5" customHeight="1">
      <c r="A220" s="63" t="s">
        <v>132</v>
      </c>
      <c r="B220" s="205" t="str">
        <f>hyperlink("https://en.uesp.net/wiki/Skyrim:The_White_Phial", "The White Phial")</f>
        <v>The White Phial</v>
      </c>
      <c r="C220" s="206" t="s">
        <v>585</v>
      </c>
      <c r="D220" s="206" t="s">
        <v>586</v>
      </c>
      <c r="E220" s="95"/>
      <c r="F220" s="63" t="s">
        <v>132</v>
      </c>
      <c r="G220" s="155" t="str">
        <f>hyperlink("https://en.uesp.net/wiki/Skyrim:Kill_the_Bandit_Leader", "Kill the Bandit Leader")</f>
        <v>Kill the Bandit Leader</v>
      </c>
      <c r="H220" s="82" t="s">
        <v>587</v>
      </c>
      <c r="I220" s="76" t="s">
        <v>588</v>
      </c>
    </row>
    <row r="221" ht="22.5" customHeight="1">
      <c r="A221" s="63" t="s">
        <v>132</v>
      </c>
      <c r="B221" s="205" t="str">
        <f>hyperlink("https://en.uesp.net/wiki/Skyrim:Repairing_the_Phial", "Repairing the Phial")</f>
        <v>Repairing the Phial</v>
      </c>
      <c r="C221" s="206" t="s">
        <v>589</v>
      </c>
      <c r="D221" s="206" t="s">
        <v>590</v>
      </c>
      <c r="E221" s="95"/>
      <c r="F221" s="63" t="s">
        <v>132</v>
      </c>
      <c r="G221" s="155" t="str">
        <f>hyperlink("https://en.uesp.net/wiki/Skyrim:Mine_Ore", "Mine Ore")</f>
        <v>Mine Ore</v>
      </c>
      <c r="H221" s="82" t="s">
        <v>591</v>
      </c>
      <c r="I221" s="76" t="s">
        <v>592</v>
      </c>
    </row>
    <row r="222" ht="22.5" customHeight="1">
      <c r="A222" s="63" t="s">
        <v>132</v>
      </c>
      <c r="B222" s="205" t="str">
        <f>hyperlink("https://en.uesp.net/wiki/Skyrim:Rise_in_the_East", "Rise in the East")</f>
        <v>Rise in the East</v>
      </c>
      <c r="C222" s="206" t="s">
        <v>593</v>
      </c>
      <c r="D222" s="206" t="s">
        <v>594</v>
      </c>
      <c r="E222" s="95"/>
      <c r="F222" s="94" t="s">
        <v>595</v>
      </c>
      <c r="G222" s="38"/>
      <c r="H222" s="38"/>
      <c r="I222" s="39"/>
    </row>
    <row r="223" ht="22.5" customHeight="1">
      <c r="A223" s="94" t="s">
        <v>217</v>
      </c>
      <c r="B223" s="38"/>
      <c r="C223" s="38"/>
      <c r="D223" s="39"/>
      <c r="E223" s="95"/>
      <c r="F223" s="63" t="s">
        <v>132</v>
      </c>
      <c r="G223" s="155" t="str">
        <f>hyperlink("https://en.uesp.net/wiki/Skyrim:A_Few_Words_with_You", "A Few Words with You")</f>
        <v>A Few Words with You</v>
      </c>
      <c r="H223" s="82" t="s">
        <v>596</v>
      </c>
      <c r="I223" s="76" t="s">
        <v>597</v>
      </c>
    </row>
    <row r="224" ht="22.5" customHeight="1">
      <c r="A224" s="63" t="s">
        <v>132</v>
      </c>
      <c r="B224" s="155" t="str">
        <f>hyperlink("https://en.uesp.net/wiki/Skyrim:A_Few_Words_with_You", "A Few Words with You")</f>
        <v>A Few Words with You</v>
      </c>
      <c r="C224" s="76" t="s">
        <v>596</v>
      </c>
      <c r="D224" s="76" t="s">
        <v>598</v>
      </c>
      <c r="E224" s="95"/>
      <c r="F224" s="63" t="s">
        <v>132</v>
      </c>
      <c r="G224" s="155" t="str">
        <f>hyperlink("https://en.uesp.net/wiki/Skyrim:Chop_Wood", "Chop Wood")</f>
        <v>Chop Wood</v>
      </c>
      <c r="H224" s="82" t="s">
        <v>599</v>
      </c>
      <c r="I224" s="76" t="s">
        <v>600</v>
      </c>
    </row>
    <row r="225" ht="22.5" customHeight="1">
      <c r="A225" s="63" t="s">
        <v>132</v>
      </c>
      <c r="B225" s="155" t="str">
        <f>hyperlink("https://en.uesp.net/wiki/Skyrim:Delivery", "Delivery")</f>
        <v>Delivery</v>
      </c>
      <c r="C225" s="76" t="s">
        <v>601</v>
      </c>
      <c r="D225" s="76" t="s">
        <v>602</v>
      </c>
      <c r="E225" s="95"/>
      <c r="F225" s="63" t="s">
        <v>132</v>
      </c>
      <c r="G225" s="155" t="str">
        <f>hyperlink("https://en.uesp.net/wiki/Skyrim:Dravynea's_Frost_Salts", "Dravynea's Frost Salts")</f>
        <v>Dravynea's Frost Salts</v>
      </c>
      <c r="H225" s="82" t="s">
        <v>603</v>
      </c>
      <c r="I225" s="76" t="s">
        <v>604</v>
      </c>
    </row>
    <row r="226" ht="22.5" customHeight="1">
      <c r="A226" s="63" t="s">
        <v>132</v>
      </c>
      <c r="B226" s="207" t="s">
        <v>605</v>
      </c>
      <c r="C226" s="76" t="s">
        <v>606</v>
      </c>
      <c r="D226" s="76" t="s">
        <v>607</v>
      </c>
      <c r="E226" s="95"/>
      <c r="F226" s="63" t="s">
        <v>132</v>
      </c>
      <c r="G226" s="208" t="str">
        <f>hyperlink("https://en.uesp.net/wiki/Skyrim:Dungeon_Delving", "Dungeon Delving")</f>
        <v>Dungeon Delving</v>
      </c>
      <c r="H226" s="82" t="s">
        <v>608</v>
      </c>
      <c r="I226" s="76" t="s">
        <v>609</v>
      </c>
    </row>
    <row r="227" ht="22.5" customHeight="1">
      <c r="A227" s="63" t="s">
        <v>132</v>
      </c>
      <c r="B227" s="207" t="s">
        <v>584</v>
      </c>
      <c r="C227" s="76" t="s">
        <v>610</v>
      </c>
      <c r="D227" s="76" t="s">
        <v>611</v>
      </c>
      <c r="E227" s="95"/>
      <c r="F227" s="63" t="s">
        <v>132</v>
      </c>
      <c r="G227" s="155" t="str">
        <f>hyperlink("https://en.uesp.net/wiki/Skyrim:Mine_Ore", "Mine Ore")</f>
        <v>Mine Ore</v>
      </c>
      <c r="H227" s="82" t="s">
        <v>612</v>
      </c>
      <c r="I227" s="76" t="s">
        <v>613</v>
      </c>
    </row>
    <row r="228" ht="22.5" customHeight="1">
      <c r="A228" s="63" t="s">
        <v>132</v>
      </c>
      <c r="B228" s="207" t="s">
        <v>584</v>
      </c>
      <c r="C228" s="76" t="s">
        <v>614</v>
      </c>
      <c r="D228" s="76" t="s">
        <v>615</v>
      </c>
      <c r="E228" s="95"/>
      <c r="F228" s="94" t="s">
        <v>616</v>
      </c>
      <c r="G228" s="38"/>
      <c r="H228" s="38"/>
      <c r="I228" s="39"/>
    </row>
    <row r="229" ht="22.5" customHeight="1">
      <c r="A229" s="63" t="s">
        <v>132</v>
      </c>
      <c r="B229" s="155" t="str">
        <f>hyperlink("https://en.uesp.net/wiki/Skyrim:Fight!_Fight!", "Fight! Fight!")</f>
        <v>Fight! Fight!</v>
      </c>
      <c r="C229" s="76" t="s">
        <v>617</v>
      </c>
      <c r="D229" s="76" t="s">
        <v>618</v>
      </c>
      <c r="E229" s="95"/>
      <c r="F229" s="63" t="s">
        <v>132</v>
      </c>
      <c r="G229" s="155" t="str">
        <f>hyperlink("https://en.uesp.net/wiki/Skyrim:Chop_Wood", "Chop Wood")</f>
        <v>Chop Wood</v>
      </c>
      <c r="H229" s="82" t="s">
        <v>599</v>
      </c>
      <c r="I229" s="76" t="s">
        <v>619</v>
      </c>
    </row>
    <row r="230" ht="22.5" customHeight="1">
      <c r="A230" s="63" t="s">
        <v>132</v>
      </c>
      <c r="B230" s="155" t="str">
        <f>hyperlink("https://en.uesp.net/wiki/Skyrim:Find_the_Thalmor_Assassin", "Find the Thalmor Assassin")</f>
        <v>Find the Thalmor Assassin</v>
      </c>
      <c r="C230" s="76" t="s">
        <v>620</v>
      </c>
      <c r="D230" s="76" t="s">
        <v>621</v>
      </c>
      <c r="E230" s="95"/>
      <c r="F230" s="94" t="s">
        <v>622</v>
      </c>
      <c r="G230" s="38"/>
      <c r="H230" s="38"/>
      <c r="I230" s="39"/>
    </row>
    <row r="231" ht="22.5" customHeight="1">
      <c r="A231" s="63" t="s">
        <v>132</v>
      </c>
      <c r="B231" s="155" t="str">
        <f>hyperlink("https://en.uesp.net/wiki/Skyrim:Gather_Wheat", "Gather Wheat")</f>
        <v>Gather Wheat</v>
      </c>
      <c r="C231" s="76" t="s">
        <v>623</v>
      </c>
      <c r="D231" s="76" t="s">
        <v>624</v>
      </c>
      <c r="E231" s="95"/>
      <c r="F231" s="63" t="s">
        <v>132</v>
      </c>
      <c r="G231" s="155" t="str">
        <f>hyperlink("https://en.uesp.net/wiki/Skyrim:Fight!_Fight!", "Fight! Fight!")</f>
        <v>Fight! Fight!</v>
      </c>
      <c r="H231" s="82" t="s">
        <v>617</v>
      </c>
      <c r="I231" s="76" t="s">
        <v>625</v>
      </c>
    </row>
    <row r="232" ht="22.5" customHeight="1">
      <c r="A232" s="63" t="s">
        <v>132</v>
      </c>
      <c r="B232" s="155" t="str">
        <f>hyperlink("https://en.uesp.net/wiki/Skyrim:Harsh_Master", "Harsh Master")</f>
        <v>Harsh Master</v>
      </c>
      <c r="C232" s="76" t="s">
        <v>626</v>
      </c>
      <c r="D232" s="76" t="s">
        <v>627</v>
      </c>
      <c r="E232" s="95"/>
      <c r="F232" s="63" t="s">
        <v>132</v>
      </c>
      <c r="G232" s="155" t="str">
        <f>hyperlink("https://en.uesp.net/wiki/Skyrim:Mine_Ore", "Mine Ore")</f>
        <v>Mine Ore</v>
      </c>
      <c r="H232" s="82" t="s">
        <v>628</v>
      </c>
      <c r="I232" s="76" t="s">
        <v>629</v>
      </c>
    </row>
    <row r="233" ht="22.5" customHeight="1">
      <c r="A233" s="63" t="s">
        <v>132</v>
      </c>
      <c r="B233" s="155" t="str">
        <f>hyperlink("https://en.uesp.net/wiki/Skyrim:Kill_the_Bandit_Leader", "Kill the Bandit Leader")</f>
        <v>Kill the Bandit Leader</v>
      </c>
      <c r="C233" s="76" t="s">
        <v>587</v>
      </c>
      <c r="D233" s="76" t="s">
        <v>630</v>
      </c>
      <c r="E233" s="95"/>
      <c r="F233" s="94" t="s">
        <v>631</v>
      </c>
      <c r="G233" s="38"/>
      <c r="H233" s="38"/>
      <c r="I233" s="39"/>
    </row>
    <row r="234" ht="22.5" customHeight="1">
      <c r="A234" s="63" t="s">
        <v>132</v>
      </c>
      <c r="B234" s="155" t="str">
        <f t="shared" ref="B234:B235" si="2">hyperlink("https://en.uesp.net/wiki/Skyrim:Quest_all_Beggars_Have", "Quest all Beggars Have")</f>
        <v>Quest all Beggars Have</v>
      </c>
      <c r="C234" s="76" t="s">
        <v>632</v>
      </c>
      <c r="D234" s="76" t="s">
        <v>633</v>
      </c>
      <c r="E234" s="95"/>
      <c r="F234" s="63" t="s">
        <v>132</v>
      </c>
      <c r="G234" s="155" t="str">
        <f t="shared" ref="G234:G235" si="3">hyperlink("https://en.uesp.net/wiki/Skyrim:Gather_Wheat", "Gather Wheat")</f>
        <v>Gather Wheat</v>
      </c>
      <c r="H234" s="82" t="s">
        <v>634</v>
      </c>
      <c r="I234" s="76" t="s">
        <v>635</v>
      </c>
    </row>
    <row r="235" ht="22.5" customHeight="1">
      <c r="A235" s="63" t="s">
        <v>132</v>
      </c>
      <c r="B235" s="155" t="str">
        <f t="shared" si="2"/>
        <v>Quest all Beggars Have</v>
      </c>
      <c r="C235" s="76" t="s">
        <v>632</v>
      </c>
      <c r="D235" s="76" t="s">
        <v>636</v>
      </c>
      <c r="E235" s="95"/>
      <c r="F235" s="63" t="s">
        <v>132</v>
      </c>
      <c r="G235" s="155" t="str">
        <f t="shared" si="3"/>
        <v>Gather Wheat</v>
      </c>
      <c r="H235" s="82" t="s">
        <v>637</v>
      </c>
      <c r="I235" s="76" t="s">
        <v>638</v>
      </c>
    </row>
    <row r="236" ht="22.5" customHeight="1">
      <c r="A236" s="63" t="s">
        <v>132</v>
      </c>
      <c r="B236" s="155" t="str">
        <f>hyperlink("https://en.uesp.net/wiki/Skyrim:Quest_all_Drunks_Have", "Quest all Drunks Have")</f>
        <v>Quest all Drunks Have</v>
      </c>
      <c r="C236" s="76" t="s">
        <v>639</v>
      </c>
      <c r="D236" s="76" t="s">
        <v>640</v>
      </c>
      <c r="E236" s="95"/>
      <c r="F236" s="125"/>
      <c r="G236" s="126"/>
      <c r="H236" s="139"/>
      <c r="I236" s="140"/>
    </row>
    <row r="237" ht="22.5" customHeight="1">
      <c r="A237" s="63" t="s">
        <v>132</v>
      </c>
      <c r="B237" s="155" t="str">
        <f>hyperlink("https://en.uesp.net/wiki/Skyrim:Rare_Gifts", "Rare Gifts")</f>
        <v>Rare Gifts</v>
      </c>
      <c r="C237" s="76" t="s">
        <v>641</v>
      </c>
      <c r="D237" s="76" t="s">
        <v>640</v>
      </c>
      <c r="E237" s="209"/>
      <c r="F237" s="210"/>
      <c r="G237" s="211"/>
      <c r="H237" s="212"/>
      <c r="I237" s="213"/>
    </row>
    <row r="238" ht="22.5" customHeight="1">
      <c r="A238" s="63" t="s">
        <v>132</v>
      </c>
      <c r="B238" s="155" t="str">
        <f>hyperlink("https://en.uesp.net/wiki/Skyrim:Some_Light_Theft", "Some Light Theft")</f>
        <v>Some Light Theft</v>
      </c>
      <c r="C238" s="76" t="s">
        <v>642</v>
      </c>
      <c r="D238" s="76" t="s">
        <v>643</v>
      </c>
      <c r="E238" s="95"/>
      <c r="F238" s="125"/>
      <c r="G238" s="126"/>
      <c r="H238" s="139"/>
      <c r="I238" s="140"/>
    </row>
    <row r="239" ht="22.5" customHeight="1">
      <c r="A239" s="63" t="s">
        <v>132</v>
      </c>
      <c r="B239" s="155" t="str">
        <f>hyperlink("https://en.uesp.net/wiki/Skyrim:Thane_of_Eastmarch", "Thane of Eastmarch")</f>
        <v>Thane of Eastmarch</v>
      </c>
      <c r="C239" s="76" t="s">
        <v>644</v>
      </c>
      <c r="D239" s="76" t="s">
        <v>630</v>
      </c>
      <c r="E239" s="95"/>
      <c r="F239" s="125"/>
      <c r="G239" s="126"/>
      <c r="H239" s="139"/>
      <c r="I239" s="140"/>
    </row>
    <row r="240" ht="22.5" customHeight="1">
      <c r="A240" s="63" t="s">
        <v>132</v>
      </c>
      <c r="B240" s="155" t="str">
        <f>hyperlink("https://en.uesp.net/wiki/Skyrim:That_Was_Always_There", "That Was Always There")</f>
        <v>That Was Always There</v>
      </c>
      <c r="C240" s="76" t="s">
        <v>645</v>
      </c>
      <c r="D240" s="76" t="s">
        <v>646</v>
      </c>
      <c r="E240" s="95"/>
      <c r="F240" s="125"/>
      <c r="G240" s="126"/>
      <c r="H240" s="139"/>
      <c r="I240" s="140"/>
    </row>
    <row r="241" ht="22.5" customHeight="1">
      <c r="A241" s="141"/>
      <c r="B241" s="131"/>
      <c r="C241" s="131"/>
      <c r="D241" s="131"/>
      <c r="E241" s="131"/>
      <c r="F241" s="141"/>
      <c r="G241" s="131"/>
      <c r="H241" s="142"/>
      <c r="I241" s="143"/>
    </row>
    <row r="242" ht="22.5" customHeight="1">
      <c r="A242" s="214" t="s">
        <v>647</v>
      </c>
      <c r="B242" s="88"/>
      <c r="C242" s="88"/>
      <c r="D242" s="88"/>
      <c r="E242" s="88"/>
      <c r="F242" s="88"/>
      <c r="G242" s="88"/>
      <c r="H242" s="88"/>
      <c r="I242" s="195">
        <f>((countif(A245:A255,"Y")+countif(F245:F247,"Y"))/13)</f>
        <v>0</v>
      </c>
    </row>
    <row r="243" ht="22.5" customHeight="1">
      <c r="A243" s="90"/>
      <c r="B243" s="91"/>
      <c r="C243" s="91"/>
      <c r="D243" s="91"/>
      <c r="E243" s="91"/>
      <c r="F243" s="91"/>
      <c r="G243" s="91"/>
      <c r="H243" s="91"/>
      <c r="I243" s="137"/>
    </row>
    <row r="244" ht="22.5" customHeight="1">
      <c r="A244" s="92" t="s">
        <v>648</v>
      </c>
      <c r="B244" s="38"/>
      <c r="C244" s="38"/>
      <c r="D244" s="39"/>
      <c r="E244" s="95"/>
      <c r="F244" s="215" t="s">
        <v>575</v>
      </c>
      <c r="G244" s="38"/>
      <c r="H244" s="38"/>
      <c r="I244" s="39"/>
    </row>
    <row r="245" ht="22.5" customHeight="1">
      <c r="A245" s="63" t="s">
        <v>132</v>
      </c>
      <c r="B245" s="81" t="s">
        <v>649</v>
      </c>
      <c r="C245" s="203" t="s">
        <v>650</v>
      </c>
      <c r="D245" s="203"/>
      <c r="E245" s="95"/>
      <c r="F245" s="216" t="s">
        <v>651</v>
      </c>
      <c r="G245" s="38"/>
      <c r="H245" s="38"/>
      <c r="I245" s="39"/>
    </row>
    <row r="246" ht="22.5" customHeight="1">
      <c r="A246" s="63" t="s">
        <v>132</v>
      </c>
      <c r="B246" s="155" t="str">
        <f>hyperlink("https://en.uesp.net/wiki/Skyrim:Alchemy_Tutorial", "Alchemy Tutorial")</f>
        <v>Alchemy Tutorial</v>
      </c>
      <c r="C246" s="76" t="s">
        <v>652</v>
      </c>
      <c r="D246" s="76" t="s">
        <v>653</v>
      </c>
      <c r="E246" s="95"/>
      <c r="F246" s="63" t="s">
        <v>132</v>
      </c>
      <c r="G246" s="155" t="str">
        <f>hyperlink("https://en.uesp.net/wiki/Skyrim:Chop_Wood", "Chop Wood")</f>
        <v>Chop Wood</v>
      </c>
      <c r="H246" s="82" t="s">
        <v>654</v>
      </c>
      <c r="I246" s="76" t="s">
        <v>655</v>
      </c>
    </row>
    <row r="247" ht="22.5" customHeight="1">
      <c r="A247" s="63" t="s">
        <v>132</v>
      </c>
      <c r="B247" s="155" t="str">
        <f>hyperlink("https://en.uesp.net/wiki/Skyrim:Blacksmithing_Tutorial", "Blacksmithing Tutorial")</f>
        <v>Blacksmithing Tutorial</v>
      </c>
      <c r="C247" s="76" t="s">
        <v>656</v>
      </c>
      <c r="D247" s="76" t="s">
        <v>657</v>
      </c>
      <c r="E247" s="95"/>
      <c r="F247" s="63" t="s">
        <v>132</v>
      </c>
      <c r="G247" s="155" t="str">
        <f>hyperlink("https://en.uesp.net/wiki/Skyrim:Angi#Archery_Practice", "Archery Practice")</f>
        <v>Archery Practice</v>
      </c>
      <c r="H247" s="81" t="s">
        <v>658</v>
      </c>
      <c r="I247" s="217" t="s">
        <v>659</v>
      </c>
    </row>
    <row r="248" ht="22.5" customHeight="1">
      <c r="A248" s="63" t="s">
        <v>132</v>
      </c>
      <c r="B248" s="155" t="str">
        <f>hyperlink("https://en.uesp.net/wiki/Skyrim:Dark_Ancestor", "Dark Ancestor")</f>
        <v>Dark Ancestor</v>
      </c>
      <c r="C248" s="76" t="s">
        <v>660</v>
      </c>
      <c r="D248" s="76" t="s">
        <v>661</v>
      </c>
      <c r="E248" s="218"/>
      <c r="F248" s="125"/>
      <c r="G248" s="126"/>
      <c r="H248" s="139"/>
      <c r="I248" s="140"/>
    </row>
    <row r="249" ht="22.5" customHeight="1">
      <c r="A249" s="63" t="s">
        <v>132</v>
      </c>
      <c r="B249" s="155" t="str">
        <f>hyperlink("https://en.uesp.net/wiki/Skyrim:Delivery", "Delivery")</f>
        <v>Delivery</v>
      </c>
      <c r="C249" s="76" t="s">
        <v>662</v>
      </c>
      <c r="D249" s="76" t="s">
        <v>663</v>
      </c>
      <c r="E249" s="95"/>
      <c r="F249" s="125"/>
      <c r="G249" s="126"/>
      <c r="H249" s="139"/>
      <c r="I249" s="140"/>
    </row>
    <row r="250" ht="22.5" customHeight="1">
      <c r="A250" s="63" t="s">
        <v>132</v>
      </c>
      <c r="B250" s="207" t="s">
        <v>584</v>
      </c>
      <c r="C250" s="76" t="s">
        <v>664</v>
      </c>
      <c r="D250" s="76" t="s">
        <v>665</v>
      </c>
      <c r="E250" s="95"/>
      <c r="F250" s="125"/>
      <c r="G250" s="126"/>
      <c r="H250" s="139"/>
      <c r="I250" s="140"/>
    </row>
    <row r="251" ht="22.5" customHeight="1">
      <c r="A251" s="63" t="s">
        <v>132</v>
      </c>
      <c r="B251" s="155" t="str">
        <f>hyperlink("https://en.uesp.net/wiki/Skyrim:Gather_Wheat", "Gather Wheat")</f>
        <v>Gather Wheat</v>
      </c>
      <c r="C251" s="76" t="s">
        <v>666</v>
      </c>
      <c r="D251" s="76" t="s">
        <v>667</v>
      </c>
      <c r="E251" s="95"/>
      <c r="F251" s="125"/>
      <c r="G251" s="126"/>
      <c r="H251" s="139"/>
      <c r="I251" s="140"/>
    </row>
    <row r="252" ht="22.5" customHeight="1">
      <c r="A252" s="63" t="s">
        <v>132</v>
      </c>
      <c r="B252" s="155" t="str">
        <f>hyperlink("https://en.uesp.net/wiki/Skyrim:Kill_the_Bandit_Leader", "Kill the Bandit Leader")</f>
        <v>Kill the Bandit Leader</v>
      </c>
      <c r="C252" s="76" t="s">
        <v>668</v>
      </c>
      <c r="D252" s="76" t="s">
        <v>669</v>
      </c>
      <c r="E252" s="95"/>
      <c r="F252" s="125"/>
      <c r="G252" s="126"/>
      <c r="H252" s="139"/>
      <c r="I252" s="140"/>
    </row>
    <row r="253" ht="22.5" customHeight="1">
      <c r="A253" s="63" t="s">
        <v>132</v>
      </c>
      <c r="B253" s="155" t="str">
        <f>hyperlink("https://en.uesp.net/wiki/Skyrim:Rare_Gifts", "Rare Gifts")</f>
        <v>Rare Gifts</v>
      </c>
      <c r="C253" s="76" t="s">
        <v>670</v>
      </c>
      <c r="D253" s="76" t="s">
        <v>669</v>
      </c>
      <c r="E253" s="95"/>
      <c r="F253" s="125"/>
      <c r="G253" s="126"/>
      <c r="H253" s="139"/>
      <c r="I253" s="140"/>
    </row>
    <row r="254" ht="22.5" customHeight="1">
      <c r="A254" s="63" t="s">
        <v>132</v>
      </c>
      <c r="B254" s="155" t="str">
        <f>hyperlink("https://en.uesp.net/wiki/Skyrim:Some_Light_Theft", "Some Light Theft")</f>
        <v>Some Light Theft</v>
      </c>
      <c r="C254" s="76" t="s">
        <v>671</v>
      </c>
      <c r="D254" s="76" t="s">
        <v>661</v>
      </c>
      <c r="E254" s="95"/>
      <c r="F254" s="125"/>
      <c r="G254" s="126"/>
      <c r="H254" s="139"/>
      <c r="I254" s="140"/>
    </row>
    <row r="255" ht="22.5" customHeight="1">
      <c r="A255" s="63" t="s">
        <v>132</v>
      </c>
      <c r="B255" s="155" t="str">
        <f>hyperlink("https://en.uesp.net/wiki/Skyrim:Thane_of_Falkreath", "Thane of Falkreath")</f>
        <v>Thane of Falkreath</v>
      </c>
      <c r="C255" s="76" t="s">
        <v>672</v>
      </c>
      <c r="D255" s="76"/>
      <c r="E255" s="95"/>
      <c r="F255" s="219"/>
      <c r="G255" s="220"/>
      <c r="H255" s="221"/>
      <c r="I255" s="222"/>
    </row>
    <row r="256" ht="22.5" customHeight="1">
      <c r="A256" s="223"/>
      <c r="B256" s="224"/>
      <c r="C256" s="224"/>
      <c r="D256" s="224"/>
      <c r="E256" s="131"/>
      <c r="F256" s="223"/>
      <c r="G256" s="224"/>
      <c r="H256" s="225"/>
      <c r="I256" s="226"/>
    </row>
    <row r="257" ht="22.5" customHeight="1">
      <c r="A257" s="214" t="s">
        <v>673</v>
      </c>
      <c r="B257" s="88"/>
      <c r="C257" s="88"/>
      <c r="D257" s="88"/>
      <c r="E257" s="88"/>
      <c r="F257" s="88"/>
      <c r="G257" s="88"/>
      <c r="H257" s="88"/>
      <c r="I257" s="195">
        <f>((countif(A260:A272,"Y")+countif(F260:F262,"Y"))/13)</f>
        <v>0</v>
      </c>
    </row>
    <row r="258" ht="22.5" customHeight="1">
      <c r="A258" s="90"/>
      <c r="B258" s="91"/>
      <c r="C258" s="91"/>
      <c r="D258" s="91"/>
      <c r="E258" s="91"/>
      <c r="F258" s="91"/>
      <c r="G258" s="91"/>
      <c r="H258" s="91"/>
      <c r="I258" s="137"/>
    </row>
    <row r="259" ht="22.5" customHeight="1">
      <c r="A259" s="92" t="s">
        <v>674</v>
      </c>
      <c r="B259" s="38"/>
      <c r="C259" s="38"/>
      <c r="D259" s="39"/>
      <c r="E259" s="95"/>
      <c r="F259" s="215" t="s">
        <v>575</v>
      </c>
      <c r="G259" s="38"/>
      <c r="H259" s="38"/>
      <c r="I259" s="39"/>
    </row>
    <row r="260" ht="22.5" customHeight="1">
      <c r="A260" s="63" t="s">
        <v>132</v>
      </c>
      <c r="B260" s="203" t="s">
        <v>649</v>
      </c>
      <c r="C260" s="203" t="s">
        <v>675</v>
      </c>
      <c r="D260" s="203"/>
      <c r="E260" s="95"/>
      <c r="F260" s="94" t="s">
        <v>676</v>
      </c>
      <c r="G260" s="38"/>
      <c r="H260" s="38"/>
      <c r="I260" s="39"/>
    </row>
    <row r="261" ht="22.5" customHeight="1">
      <c r="A261" s="94" t="s">
        <v>210</v>
      </c>
      <c r="B261" s="38"/>
      <c r="C261" s="38"/>
      <c r="D261" s="39"/>
      <c r="E261" s="95"/>
      <c r="F261" s="63" t="s">
        <v>132</v>
      </c>
      <c r="G261" s="155" t="str">
        <f>hyperlink("https://en.uesp.net/wiki/Skyrim:Mine_Ore", "Mine Ore")</f>
        <v>Mine Ore</v>
      </c>
      <c r="H261" s="82" t="s">
        <v>677</v>
      </c>
      <c r="I261" s="82" t="s">
        <v>678</v>
      </c>
    </row>
    <row r="262" ht="22.5" customHeight="1">
      <c r="A262" s="63" t="s">
        <v>132</v>
      </c>
      <c r="B262" s="205" t="str">
        <f>hyperlink("https://en.uesp.net/wiki/Skyrim:Laid_to_Rest", "Laid to Rest")</f>
        <v>Laid to Rest</v>
      </c>
      <c r="C262" s="206" t="s">
        <v>679</v>
      </c>
      <c r="D262" s="206" t="s">
        <v>680</v>
      </c>
      <c r="E262" s="95"/>
      <c r="F262" s="63" t="s">
        <v>132</v>
      </c>
      <c r="G262" s="96" t="str">
        <f>hyperlink("https://en.uesp.net/wiki/Skyrim:Payment_Delivery", "Payment Delivery")</f>
        <v>Payment Delivery</v>
      </c>
      <c r="H262" s="82" t="s">
        <v>681</v>
      </c>
      <c r="I262" s="82" t="s">
        <v>682</v>
      </c>
    </row>
    <row r="263" ht="22.5" customHeight="1">
      <c r="A263" s="63" t="s">
        <v>132</v>
      </c>
      <c r="B263" s="205" t="str">
        <f>hyperlink("https://en.uesp.net/wiki/Skyrim:Rising_at_Dawn", "Rising at Dawn")</f>
        <v>Rising at Dawn</v>
      </c>
      <c r="C263" s="206" t="s">
        <v>683</v>
      </c>
      <c r="D263" s="206" t="s">
        <v>684</v>
      </c>
      <c r="E263" s="95"/>
      <c r="F263" s="125"/>
      <c r="G263" s="126"/>
      <c r="H263" s="139"/>
      <c r="I263" s="140"/>
    </row>
    <row r="264" ht="22.5" customHeight="1">
      <c r="A264" s="94" t="s">
        <v>217</v>
      </c>
      <c r="B264" s="38"/>
      <c r="C264" s="38"/>
      <c r="D264" s="39"/>
      <c r="E264" s="95"/>
      <c r="F264" s="125"/>
      <c r="G264" s="126"/>
      <c r="H264" s="139"/>
      <c r="I264" s="140"/>
    </row>
    <row r="265" ht="22.5" customHeight="1">
      <c r="A265" s="63" t="s">
        <v>132</v>
      </c>
      <c r="B265" s="155" t="str">
        <f t="shared" ref="B265:B266" si="4">hyperlink("https://en.uesp.net/wiki/Skyrim:Chop_Wood", "Chop Wood")</f>
        <v>Chop Wood</v>
      </c>
      <c r="C265" s="76" t="s">
        <v>599</v>
      </c>
      <c r="D265" s="76" t="s">
        <v>685</v>
      </c>
      <c r="E265" s="95"/>
      <c r="F265" s="125"/>
      <c r="G265" s="126"/>
      <c r="H265" s="139"/>
      <c r="I265" s="140"/>
    </row>
    <row r="266" ht="22.5" customHeight="1">
      <c r="A266" s="63" t="s">
        <v>132</v>
      </c>
      <c r="B266" s="155" t="str">
        <f t="shared" si="4"/>
        <v>Chop Wood</v>
      </c>
      <c r="C266" s="76" t="s">
        <v>599</v>
      </c>
      <c r="D266" s="76" t="s">
        <v>686</v>
      </c>
      <c r="E266" s="95"/>
      <c r="F266" s="125"/>
      <c r="G266" s="126"/>
      <c r="H266" s="139"/>
      <c r="I266" s="140"/>
    </row>
    <row r="267" ht="22.5" customHeight="1">
      <c r="A267" s="63" t="s">
        <v>132</v>
      </c>
      <c r="B267" s="155" t="str">
        <f>hyperlink("https://en.uesp.net/wiki/Skyrim:Delivery", "Delivery")</f>
        <v>Delivery</v>
      </c>
      <c r="C267" s="76" t="s">
        <v>687</v>
      </c>
      <c r="D267" s="76" t="s">
        <v>688</v>
      </c>
      <c r="E267" s="95"/>
      <c r="F267" s="125"/>
      <c r="G267" s="126"/>
      <c r="H267" s="139"/>
      <c r="I267" s="227"/>
    </row>
    <row r="268" ht="22.5" customHeight="1">
      <c r="A268" s="63" t="s">
        <v>132</v>
      </c>
      <c r="B268" s="155" t="str">
        <f>hyperlink("https://en.uesp.net/wiki/Skyrim:Falion's_Secret", "Falion's Secret")</f>
        <v>Falion's Secret</v>
      </c>
      <c r="C268" s="76" t="s">
        <v>689</v>
      </c>
      <c r="D268" s="76" t="s">
        <v>690</v>
      </c>
      <c r="E268" s="95"/>
      <c r="F268" s="125"/>
      <c r="G268" s="126"/>
      <c r="H268" s="139"/>
      <c r="I268" s="140"/>
    </row>
    <row r="269" ht="22.5" customHeight="1">
      <c r="A269" s="63" t="s">
        <v>132</v>
      </c>
      <c r="B269" s="155" t="str">
        <f>hyperlink("https://en.uesp.net/wiki/Skyrim:Fight!_Fight!", "Fight! Fight!")</f>
        <v>Fight! Fight!</v>
      </c>
      <c r="C269" s="76" t="s">
        <v>617</v>
      </c>
      <c r="D269" s="76" t="s">
        <v>691</v>
      </c>
      <c r="E269" s="95"/>
      <c r="F269" s="125"/>
      <c r="G269" s="126"/>
      <c r="H269" s="139"/>
      <c r="I269" s="140"/>
    </row>
    <row r="270" ht="22.5" customHeight="1">
      <c r="A270" s="63" t="s">
        <v>132</v>
      </c>
      <c r="B270" s="155" t="str">
        <f>hyperlink("https://en.uesp.net/wiki/Skyrim:For_the_Good_of_Morthal", "For the Good of Morthal")</f>
        <v>For the Good of Morthal</v>
      </c>
      <c r="C270" s="76" t="s">
        <v>692</v>
      </c>
      <c r="D270" s="76" t="s">
        <v>693</v>
      </c>
      <c r="E270" s="95"/>
      <c r="F270" s="125"/>
      <c r="G270" s="126"/>
      <c r="H270" s="139"/>
      <c r="I270" s="140"/>
    </row>
    <row r="271" ht="22.5" customHeight="1">
      <c r="A271" s="63" t="s">
        <v>132</v>
      </c>
      <c r="B271" s="155" t="str">
        <f>hyperlink("https://en.uesp.net/wiki/Skyrim:Rare_Gifts", "Rare Gifts")</f>
        <v>Rare Gifts</v>
      </c>
      <c r="C271" s="76" t="s">
        <v>694</v>
      </c>
      <c r="D271" s="76" t="s">
        <v>695</v>
      </c>
      <c r="E271" s="95"/>
      <c r="F271" s="125"/>
      <c r="G271" s="126"/>
      <c r="H271" s="139"/>
      <c r="I271" s="140"/>
    </row>
    <row r="272" ht="22.5" customHeight="1">
      <c r="A272" s="63" t="s">
        <v>132</v>
      </c>
      <c r="B272" s="155" t="str">
        <f>hyperlink("https://en.uesp.net/wiki/Skyrim:Thane_of_Hjaalmarch", "Thane of Hjaalmarch")</f>
        <v>Thane of Hjaalmarch</v>
      </c>
      <c r="C272" s="76" t="s">
        <v>696</v>
      </c>
      <c r="D272" s="76" t="s">
        <v>697</v>
      </c>
      <c r="E272" s="95"/>
      <c r="F272" s="125"/>
      <c r="G272" s="126"/>
      <c r="H272" s="139"/>
      <c r="I272" s="140"/>
    </row>
    <row r="273" ht="22.5" customHeight="1">
      <c r="A273" s="141"/>
      <c r="B273" s="131"/>
      <c r="C273" s="131"/>
      <c r="D273" s="131"/>
      <c r="E273" s="131"/>
      <c r="F273" s="141"/>
      <c r="G273" s="131"/>
      <c r="H273" s="142"/>
      <c r="I273" s="143"/>
    </row>
    <row r="274" ht="22.5" customHeight="1">
      <c r="A274" s="214" t="s">
        <v>698</v>
      </c>
      <c r="B274" s="88"/>
      <c r="C274" s="88"/>
      <c r="D274" s="88"/>
      <c r="E274" s="88"/>
      <c r="F274" s="88"/>
      <c r="G274" s="88"/>
      <c r="H274" s="88"/>
      <c r="I274" s="195">
        <f>((countif(A277:A298,"Y")+countif(F277:F285,"Y"))/27)</f>
        <v>0</v>
      </c>
    </row>
    <row r="275" ht="22.5" customHeight="1">
      <c r="A275" s="90"/>
      <c r="B275" s="91"/>
      <c r="C275" s="91"/>
      <c r="D275" s="91"/>
      <c r="E275" s="91"/>
      <c r="F275" s="91"/>
      <c r="G275" s="91"/>
      <c r="H275" s="91"/>
      <c r="I275" s="137"/>
    </row>
    <row r="276" ht="22.5" customHeight="1">
      <c r="A276" s="92" t="s">
        <v>699</v>
      </c>
      <c r="B276" s="38"/>
      <c r="C276" s="38"/>
      <c r="D276" s="39"/>
      <c r="E276" s="95"/>
      <c r="F276" s="92" t="s">
        <v>575</v>
      </c>
      <c r="G276" s="38"/>
      <c r="H276" s="38"/>
      <c r="I276" s="39"/>
    </row>
    <row r="277" ht="22.5" customHeight="1">
      <c r="A277" s="63" t="s">
        <v>132</v>
      </c>
      <c r="B277" s="203" t="s">
        <v>576</v>
      </c>
      <c r="C277" s="203" t="s">
        <v>700</v>
      </c>
      <c r="D277" s="203"/>
      <c r="E277" s="95"/>
      <c r="F277" s="94" t="s">
        <v>701</v>
      </c>
      <c r="G277" s="38"/>
      <c r="H277" s="38"/>
      <c r="I277" s="39"/>
    </row>
    <row r="278" ht="22.5" customHeight="1">
      <c r="A278" s="94" t="s">
        <v>210</v>
      </c>
      <c r="B278" s="38"/>
      <c r="C278" s="38"/>
      <c r="D278" s="39"/>
      <c r="E278" s="95"/>
      <c r="F278" s="63" t="s">
        <v>132</v>
      </c>
      <c r="G278" s="155" t="str">
        <f>hyperlink("https://en.uesp.net/wiki/Skyrim:Chop_Wood", "Chop Wood")</f>
        <v>Chop Wood</v>
      </c>
      <c r="H278" s="82" t="s">
        <v>599</v>
      </c>
      <c r="I278" s="76" t="s">
        <v>702</v>
      </c>
    </row>
    <row r="279" ht="22.5" customHeight="1">
      <c r="A279" s="63" t="s">
        <v>132</v>
      </c>
      <c r="B279" s="205" t="str">
        <f>hyperlink("https://en.uesp.net/wiki/Skyrim:The_Man_Who_Cried_Wolf", "The Man Who Cried Wolf")</f>
        <v>The Man Who Cried Wolf</v>
      </c>
      <c r="C279" s="206" t="s">
        <v>703</v>
      </c>
      <c r="D279" s="206" t="s">
        <v>704</v>
      </c>
      <c r="E279" s="95"/>
      <c r="F279" s="63" t="s">
        <v>132</v>
      </c>
      <c r="G279" s="155" t="str">
        <f>hyperlink("https://en.uesp.net/wiki/Skyrim:Dragon's_Breath_Mead", "Dragon's Breath Mead")</f>
        <v>Dragon's Breath Mead</v>
      </c>
      <c r="H279" s="82" t="s">
        <v>705</v>
      </c>
      <c r="I279" s="76" t="s">
        <v>706</v>
      </c>
    </row>
    <row r="280" ht="22.5" customHeight="1">
      <c r="A280" s="63" t="s">
        <v>132</v>
      </c>
      <c r="B280" s="228" t="str">
        <f>hyperlink("https://en.uesp.net/wiki/Skyrim:The_Wolf_Queen_Awakened", "The Wolf Queen Awakened")</f>
        <v>The Wolf Queen Awakened</v>
      </c>
      <c r="C280" s="229" t="s">
        <v>707</v>
      </c>
      <c r="D280" s="229" t="s">
        <v>708</v>
      </c>
      <c r="E280" s="95"/>
      <c r="F280" s="63" t="s">
        <v>132</v>
      </c>
      <c r="G280" s="155" t="str">
        <f>hyperlink("https://en.uesp.net/wiki/Skyrim:Gather_Wheat", "Gather Wheat")</f>
        <v>Gather Wheat</v>
      </c>
      <c r="H280" s="82" t="s">
        <v>709</v>
      </c>
      <c r="I280" s="76" t="s">
        <v>710</v>
      </c>
    </row>
    <row r="281" ht="22.5" customHeight="1">
      <c r="A281" s="63" t="s">
        <v>132</v>
      </c>
      <c r="B281" s="205" t="str">
        <f>hyperlink("https://en.uesp.net/wiki/Skyrim:Lights_Out!", "Lights Out!")</f>
        <v>Lights Out!</v>
      </c>
      <c r="C281" s="206" t="s">
        <v>711</v>
      </c>
      <c r="D281" s="206" t="s">
        <v>712</v>
      </c>
      <c r="E281" s="95"/>
      <c r="F281" s="94" t="s">
        <v>713</v>
      </c>
      <c r="G281" s="38"/>
      <c r="H281" s="38"/>
      <c r="I281" s="39"/>
    </row>
    <row r="282" ht="22.5" customHeight="1">
      <c r="A282" s="94" t="s">
        <v>217</v>
      </c>
      <c r="B282" s="38"/>
      <c r="C282" s="38"/>
      <c r="D282" s="39"/>
      <c r="E282" s="95"/>
      <c r="F282" s="63" t="s">
        <v>132</v>
      </c>
      <c r="G282" s="155" t="str">
        <f>hyperlink("https://en.uesp.net/wiki/Skyrim:Chop_Wood", "Chop Wood")</f>
        <v>Chop Wood</v>
      </c>
      <c r="H282" s="82" t="s">
        <v>714</v>
      </c>
      <c r="I282" s="76" t="s">
        <v>715</v>
      </c>
    </row>
    <row r="283" ht="22.5" customHeight="1">
      <c r="A283" s="63" t="s">
        <v>132</v>
      </c>
      <c r="B283" s="155" t="str">
        <f>hyperlink("https://en.uesp.net/wiki/Skyrim:A_Few_Words_with_You", "A Few Words with You")</f>
        <v>A Few Words with You</v>
      </c>
      <c r="C283" s="76" t="s">
        <v>596</v>
      </c>
      <c r="D283" s="76" t="s">
        <v>716</v>
      </c>
      <c r="E283" s="95"/>
      <c r="F283" s="63" t="s">
        <v>132</v>
      </c>
      <c r="G283" s="155" t="str">
        <f>hyperlink("https://en.uesp.net/wiki/Skyrim:Gather_Wheat", "Gather Wheat")</f>
        <v>Gather Wheat</v>
      </c>
      <c r="H283" s="82" t="s">
        <v>717</v>
      </c>
      <c r="I283" s="76" t="s">
        <v>718</v>
      </c>
    </row>
    <row r="284" ht="22.5" customHeight="1">
      <c r="A284" s="63" t="s">
        <v>132</v>
      </c>
      <c r="B284" s="155" t="str">
        <f>hyperlink("https://en.uesp.net/wiki/Skyrim:Delivery", "Delivery")</f>
        <v>Delivery</v>
      </c>
      <c r="C284" s="76" t="s">
        <v>719</v>
      </c>
      <c r="D284" s="76" t="s">
        <v>720</v>
      </c>
      <c r="E284" s="95"/>
      <c r="F284" s="63" t="s">
        <v>132</v>
      </c>
      <c r="G284" s="155" t="str">
        <f>hyperlink("https://en.uesp.net/wiki/Skyrim:Quest_all_Beggars_Have", "Quest all Beggars Have")</f>
        <v>Quest all Beggars Have</v>
      </c>
      <c r="H284" s="82" t="s">
        <v>632</v>
      </c>
      <c r="I284" s="76" t="s">
        <v>721</v>
      </c>
    </row>
    <row r="285" ht="22.5" customHeight="1">
      <c r="A285" s="63" t="s">
        <v>132</v>
      </c>
      <c r="B285" s="207" t="s">
        <v>584</v>
      </c>
      <c r="C285" s="76" t="s">
        <v>722</v>
      </c>
      <c r="D285" s="76" t="s">
        <v>723</v>
      </c>
      <c r="E285" s="95"/>
      <c r="F285" s="63" t="s">
        <v>132</v>
      </c>
      <c r="G285" s="155" t="str">
        <f>hyperlink("https://en.uesp.net/wiki/Skyrim:Quest_all_Drunks_Have", "Quest all Drunks Have")</f>
        <v>Quest all Drunks Have</v>
      </c>
      <c r="H285" s="82" t="s">
        <v>639</v>
      </c>
      <c r="I285" s="76" t="s">
        <v>724</v>
      </c>
    </row>
    <row r="286" ht="22.5" customHeight="1">
      <c r="A286" s="63" t="s">
        <v>132</v>
      </c>
      <c r="B286" s="155" t="str">
        <f>hyperlink("https://en.uesp.net/wiki/Skyrim:Elisif's_Tribute", "Elisif's Tribute")</f>
        <v>Elisif's Tribute</v>
      </c>
      <c r="C286" s="76" t="s">
        <v>725</v>
      </c>
      <c r="D286" s="76" t="s">
        <v>726</v>
      </c>
      <c r="E286" s="95"/>
      <c r="F286" s="125"/>
      <c r="G286" s="126"/>
      <c r="H286" s="139"/>
      <c r="I286" s="140"/>
    </row>
    <row r="287" ht="22.5" customHeight="1">
      <c r="A287" s="63" t="s">
        <v>132</v>
      </c>
      <c r="B287" s="155" t="str">
        <f>hyperlink("https://en.uesp.net/wiki/Skyrim:Fit_for_a_Jarl", "Fit for a Jarl")</f>
        <v>Fit for a Jarl</v>
      </c>
      <c r="C287" s="76" t="s">
        <v>727</v>
      </c>
      <c r="D287" s="76" t="s">
        <v>728</v>
      </c>
      <c r="E287" s="95"/>
      <c r="F287" s="125"/>
      <c r="G287" s="126"/>
      <c r="H287" s="139"/>
      <c r="I287" s="140"/>
    </row>
    <row r="288" ht="22.5" customHeight="1">
      <c r="A288" s="63" t="s">
        <v>132</v>
      </c>
      <c r="B288" s="155" t="str">
        <f>hyperlink("https://en.uesp.net/wiki/Skyrim:Get_Outfitted", "Get Outfitted")</f>
        <v>Get Outfitted</v>
      </c>
      <c r="C288" s="76" t="s">
        <v>729</v>
      </c>
      <c r="D288" s="76" t="s">
        <v>730</v>
      </c>
      <c r="E288" s="95"/>
      <c r="F288" s="125"/>
      <c r="G288" s="126"/>
      <c r="H288" s="139"/>
      <c r="I288" s="140"/>
    </row>
    <row r="289" ht="22.5" customHeight="1">
      <c r="A289" s="63" t="s">
        <v>132</v>
      </c>
      <c r="B289" s="155" t="str">
        <f>hyperlink("https://en.uesp.net/wiki/Skyrim:Kill_the_Bandit_Leader", "Kill the Bandit Leader")</f>
        <v>Kill the Bandit Leader</v>
      </c>
      <c r="C289" s="76" t="s">
        <v>587</v>
      </c>
      <c r="D289" s="76" t="s">
        <v>731</v>
      </c>
      <c r="E289" s="95"/>
      <c r="F289" s="125"/>
      <c r="G289" s="126"/>
      <c r="H289" s="139"/>
      <c r="I289" s="140"/>
    </row>
    <row r="290" ht="22.5" customHeight="1">
      <c r="A290" s="63" t="s">
        <v>132</v>
      </c>
      <c r="B290" s="155" t="str">
        <f>hyperlink("https://en.uesp.net/wiki/Skyrim:Kill_the_Vampire", "Kill the Vampire")</f>
        <v>Kill the Vampire</v>
      </c>
      <c r="C290" s="76" t="s">
        <v>732</v>
      </c>
      <c r="D290" s="76" t="s">
        <v>733</v>
      </c>
      <c r="E290" s="95"/>
      <c r="F290" s="125"/>
      <c r="G290" s="126"/>
      <c r="H290" s="139"/>
      <c r="I290" s="140"/>
    </row>
    <row r="291" ht="22.5" customHeight="1">
      <c r="A291" s="63" t="s">
        <v>132</v>
      </c>
      <c r="B291" s="155" t="str">
        <f>hyperlink("https://en.uesp.net/wiki/Skyrim:No_News_is_Good_News", "No News is Good News")</f>
        <v>No News is Good News</v>
      </c>
      <c r="C291" s="76" t="s">
        <v>734</v>
      </c>
      <c r="D291" s="76" t="s">
        <v>735</v>
      </c>
      <c r="E291" s="95"/>
      <c r="F291" s="125"/>
      <c r="G291" s="126"/>
      <c r="H291" s="139"/>
      <c r="I291" s="140"/>
    </row>
    <row r="292" ht="22.5" customHeight="1">
      <c r="A292" s="63" t="s">
        <v>132</v>
      </c>
      <c r="B292" s="155" t="str">
        <f t="shared" ref="B292:B294" si="5">hyperlink("https://en.uesp.net/wiki/Skyrim:Quest_all_Beggars_Have", "Quest all Beggars Have")</f>
        <v>Quest all Beggars Have</v>
      </c>
      <c r="C292" s="76" t="s">
        <v>632</v>
      </c>
      <c r="D292" s="76" t="s">
        <v>458</v>
      </c>
      <c r="E292" s="95"/>
      <c r="F292" s="125"/>
      <c r="G292" s="126"/>
      <c r="H292" s="139"/>
      <c r="I292" s="140"/>
    </row>
    <row r="293" ht="22.5" customHeight="1">
      <c r="A293" s="63" t="s">
        <v>132</v>
      </c>
      <c r="B293" s="155" t="str">
        <f t="shared" si="5"/>
        <v>Quest all Beggars Have</v>
      </c>
      <c r="C293" s="76" t="s">
        <v>632</v>
      </c>
      <c r="D293" s="76" t="s">
        <v>723</v>
      </c>
      <c r="E293" s="95"/>
      <c r="F293" s="125"/>
      <c r="G293" s="126"/>
      <c r="H293" s="139"/>
      <c r="I293" s="140"/>
    </row>
    <row r="294" ht="22.5" customHeight="1">
      <c r="A294" s="63" t="s">
        <v>132</v>
      </c>
      <c r="B294" s="155" t="str">
        <f t="shared" si="5"/>
        <v>Quest all Beggars Have</v>
      </c>
      <c r="C294" s="76" t="s">
        <v>632</v>
      </c>
      <c r="D294" s="76" t="s">
        <v>736</v>
      </c>
      <c r="E294" s="95"/>
      <c r="F294" s="125"/>
      <c r="G294" s="126"/>
      <c r="H294" s="139"/>
      <c r="I294" s="140"/>
    </row>
    <row r="295" ht="22.5" customHeight="1">
      <c r="A295" s="63" t="s">
        <v>132</v>
      </c>
      <c r="B295" s="155" t="str">
        <f>hyperlink("https://en.uesp.net/wiki/Skyrim:Rare_Gifts", "Rare Gifts")</f>
        <v>Rare Gifts</v>
      </c>
      <c r="C295" s="76" t="s">
        <v>737</v>
      </c>
      <c r="D295" s="76" t="s">
        <v>738</v>
      </c>
      <c r="E295" s="95"/>
      <c r="F295" s="125"/>
      <c r="G295" s="126"/>
      <c r="H295" s="139"/>
      <c r="I295" s="140"/>
    </row>
    <row r="296" ht="22.5" customHeight="1">
      <c r="A296" s="63" t="s">
        <v>132</v>
      </c>
      <c r="B296" s="155" t="str">
        <f>hyperlink("https://en.uesp.net/wiki/Skyrim:Return_to_Grace", "Return to Grace")</f>
        <v>Return to Grace</v>
      </c>
      <c r="C296" s="76" t="s">
        <v>739</v>
      </c>
      <c r="D296" s="76" t="s">
        <v>736</v>
      </c>
      <c r="E296" s="95"/>
      <c r="F296" s="125"/>
      <c r="G296" s="126"/>
      <c r="H296" s="139"/>
      <c r="I296" s="140"/>
    </row>
    <row r="297" ht="22.5" customHeight="1">
      <c r="A297" s="63" t="s">
        <v>132</v>
      </c>
      <c r="B297" s="155" t="str">
        <f>hyperlink("https://en.uesp.net/wiki/Skyrim:The_Spiced_Wine", "The Spiced Wine")</f>
        <v>The Spiced Wine</v>
      </c>
      <c r="C297" s="76" t="s">
        <v>740</v>
      </c>
      <c r="D297" s="76" t="s">
        <v>741</v>
      </c>
      <c r="E297" s="95"/>
      <c r="F297" s="125"/>
      <c r="G297" s="126"/>
      <c r="H297" s="139"/>
      <c r="I297" s="140"/>
    </row>
    <row r="298" ht="22.5" customHeight="1">
      <c r="A298" s="63" t="s">
        <v>132</v>
      </c>
      <c r="B298" s="155" t="str">
        <f>hyperlink("https://en.uesp.net/wiki/Skyrim:Thane_of_Haafingar", "Thane of Haafingar")</f>
        <v>Thane of Haafingar</v>
      </c>
      <c r="C298" s="76" t="s">
        <v>742</v>
      </c>
      <c r="D298" s="76" t="s">
        <v>726</v>
      </c>
      <c r="E298" s="95"/>
      <c r="F298" s="125"/>
      <c r="G298" s="126"/>
      <c r="H298" s="139"/>
      <c r="I298" s="140"/>
    </row>
    <row r="299" ht="22.5" customHeight="1">
      <c r="A299" s="141"/>
      <c r="B299" s="131"/>
      <c r="C299" s="131"/>
      <c r="D299" s="131"/>
      <c r="E299" s="131"/>
      <c r="F299" s="141"/>
      <c r="G299" s="131"/>
      <c r="H299" s="142"/>
      <c r="I299" s="143"/>
    </row>
    <row r="300" ht="22.5" customHeight="1">
      <c r="A300" s="214" t="s">
        <v>743</v>
      </c>
      <c r="B300" s="88"/>
      <c r="C300" s="88"/>
      <c r="D300" s="88"/>
      <c r="E300" s="88"/>
      <c r="F300" s="88"/>
      <c r="G300" s="88"/>
      <c r="H300" s="88"/>
      <c r="I300" s="195">
        <f>((countif(A303:A327,"Y")+countif(F303:F321,"Y"))/35)</f>
        <v>0</v>
      </c>
    </row>
    <row r="301" ht="22.5" customHeight="1">
      <c r="A301" s="90"/>
      <c r="B301" s="91"/>
      <c r="C301" s="91"/>
      <c r="D301" s="91"/>
      <c r="E301" s="91"/>
      <c r="F301" s="91"/>
      <c r="G301" s="91"/>
      <c r="H301" s="91"/>
      <c r="I301" s="137"/>
    </row>
    <row r="302" ht="22.5" customHeight="1">
      <c r="A302" s="92" t="s">
        <v>744</v>
      </c>
      <c r="B302" s="38"/>
      <c r="C302" s="38"/>
      <c r="D302" s="39"/>
      <c r="E302" s="95"/>
      <c r="F302" s="92" t="s">
        <v>575</v>
      </c>
      <c r="G302" s="38"/>
      <c r="H302" s="38"/>
      <c r="I302" s="39"/>
    </row>
    <row r="303" ht="22.5" customHeight="1">
      <c r="A303" s="63" t="s">
        <v>132</v>
      </c>
      <c r="B303" s="203" t="s">
        <v>576</v>
      </c>
      <c r="C303" s="203" t="s">
        <v>745</v>
      </c>
      <c r="D303" s="203"/>
      <c r="E303" s="95"/>
      <c r="F303" s="94" t="s">
        <v>746</v>
      </c>
      <c r="G303" s="38"/>
      <c r="H303" s="38"/>
      <c r="I303" s="39"/>
    </row>
    <row r="304" ht="22.5" customHeight="1">
      <c r="A304" s="94" t="s">
        <v>210</v>
      </c>
      <c r="B304" s="38"/>
      <c r="C304" s="38"/>
      <c r="D304" s="39"/>
      <c r="E304" s="95"/>
      <c r="F304" s="63" t="s">
        <v>132</v>
      </c>
      <c r="G304" s="155" t="str">
        <f>hyperlink("https://en.uesp.net/wiki/Skyrim:Sanuarach_Mine_(quest)", "Sanuarach Mine")</f>
        <v>Sanuarach Mine</v>
      </c>
      <c r="H304" s="82" t="s">
        <v>747</v>
      </c>
      <c r="I304" s="76" t="s">
        <v>748</v>
      </c>
    </row>
    <row r="305" ht="22.5" customHeight="1">
      <c r="A305" s="63" t="s">
        <v>132</v>
      </c>
      <c r="B305" s="205" t="str">
        <f>hyperlink("https://en.uesp.net/wiki/Skyrim:No_One_Escapes_Cidhna_Mine", "No One Escapes Cidhna Mine")</f>
        <v>No One Escapes Cidhna Mine</v>
      </c>
      <c r="C305" s="206" t="s">
        <v>749</v>
      </c>
      <c r="D305" s="206"/>
      <c r="E305" s="95"/>
      <c r="F305" s="94" t="s">
        <v>750</v>
      </c>
      <c r="G305" s="38"/>
      <c r="H305" s="38"/>
      <c r="I305" s="39"/>
    </row>
    <row r="306" ht="22.5" customHeight="1">
      <c r="A306" s="63" t="s">
        <v>132</v>
      </c>
      <c r="B306" s="205" t="str">
        <f>hyperlink("https://en.uesp.net/wiki/Skyrim:The_Forsworn_Conspiracy", "The Forsworn Conspiracy")</f>
        <v>The Forsworn Conspiracy</v>
      </c>
      <c r="C306" s="206" t="s">
        <v>751</v>
      </c>
      <c r="D306" s="206" t="s">
        <v>752</v>
      </c>
      <c r="E306" s="95"/>
      <c r="F306" s="63" t="s">
        <v>132</v>
      </c>
      <c r="G306" s="155" t="str">
        <f>hyperlink("https://en.uesp.net/wiki/Skyrim:Fight!_Fight!", "Fight! Fight!")</f>
        <v>Fight! Fight!</v>
      </c>
      <c r="H306" s="82" t="s">
        <v>617</v>
      </c>
      <c r="I306" s="76" t="s">
        <v>753</v>
      </c>
    </row>
    <row r="307" ht="22.5" customHeight="1">
      <c r="A307" s="63" t="s">
        <v>132</v>
      </c>
      <c r="B307" s="205" t="str">
        <f>hyperlink("https://en.uesp.net/wiki/Skyrim:The_Lost_Expedition", "The Lost Expedition")</f>
        <v>The Lost Expedition</v>
      </c>
      <c r="C307" s="206" t="s">
        <v>754</v>
      </c>
      <c r="D307" s="206" t="s">
        <v>755</v>
      </c>
      <c r="E307" s="95"/>
      <c r="F307" s="63" t="s">
        <v>132</v>
      </c>
      <c r="G307" s="155" t="str">
        <f>hyperlink("https://en.uesp.net/wiki/Skyrim:Gharol's_Message", "Gharol's Message")</f>
        <v>Gharol's Message</v>
      </c>
      <c r="H307" s="82" t="s">
        <v>756</v>
      </c>
      <c r="I307" s="76" t="s">
        <v>757</v>
      </c>
    </row>
    <row r="308" ht="22.5" customHeight="1">
      <c r="A308" s="94" t="s">
        <v>217</v>
      </c>
      <c r="B308" s="38"/>
      <c r="C308" s="38"/>
      <c r="D308" s="39"/>
      <c r="E308" s="95"/>
      <c r="F308" s="63" t="s">
        <v>132</v>
      </c>
      <c r="G308" s="155" t="str">
        <f>hyperlink("https://en.uesp.net/wiki/Skyrim:Mine_Ore", "Mine Ore")</f>
        <v>Mine Ore</v>
      </c>
      <c r="H308" s="82" t="s">
        <v>758</v>
      </c>
      <c r="I308" s="76" t="s">
        <v>757</v>
      </c>
    </row>
    <row r="309" ht="22.5" customHeight="1">
      <c r="A309" s="63" t="s">
        <v>132</v>
      </c>
      <c r="B309" s="155" t="str">
        <f>hyperlink("https://en.uesp.net/wiki/Skyrim:A_Few_Words_with_You", "A Few Words with You")</f>
        <v>A Few Words with You</v>
      </c>
      <c r="C309" s="76" t="s">
        <v>596</v>
      </c>
      <c r="D309" s="76" t="s">
        <v>759</v>
      </c>
      <c r="E309" s="95"/>
      <c r="F309" s="94" t="s">
        <v>760</v>
      </c>
      <c r="G309" s="38"/>
      <c r="H309" s="38"/>
      <c r="I309" s="39"/>
    </row>
    <row r="310" ht="22.5" customHeight="1">
      <c r="A310" s="63" t="s">
        <v>132</v>
      </c>
      <c r="B310" s="155" t="str">
        <f>hyperlink("https://en.uesp.net/wiki/Skyrim:Bothela's_Discreet_Delivery", "Bothela's Discreet Delivery")</f>
        <v>Bothela's Discreet Delivery</v>
      </c>
      <c r="C310" s="76" t="s">
        <v>761</v>
      </c>
      <c r="D310" s="76" t="s">
        <v>762</v>
      </c>
      <c r="E310" s="95"/>
      <c r="F310" s="63" t="s">
        <v>132</v>
      </c>
      <c r="G310" s="155" t="str">
        <f>hyperlink("https://en.uesp.net/wiki/Skyrim:Fight!_Fight!", "Fight! Fight!")</f>
        <v>Fight! Fight!</v>
      </c>
      <c r="H310" s="82" t="s">
        <v>617</v>
      </c>
      <c r="I310" s="76" t="s">
        <v>763</v>
      </c>
    </row>
    <row r="311" ht="22.5" customHeight="1">
      <c r="A311" s="63" t="s">
        <v>132</v>
      </c>
      <c r="B311" s="155" t="str">
        <f>hyperlink("https://en.uesp.net/wiki/Skyrim:Buy_Dwarven_artifact", "Buy Dwarven artifact")</f>
        <v>Buy Dwarven artifact</v>
      </c>
      <c r="C311" s="76" t="s">
        <v>764</v>
      </c>
      <c r="D311" s="76" t="s">
        <v>765</v>
      </c>
      <c r="E311" s="95"/>
      <c r="F311" s="63" t="s">
        <v>132</v>
      </c>
      <c r="G311" s="155" t="str">
        <f>hyperlink("https://en.uesp.net/wiki/Skyrim:Mine_Ore", "Mine Ore")</f>
        <v>Mine Ore</v>
      </c>
      <c r="H311" s="82" t="s">
        <v>758</v>
      </c>
      <c r="I311" s="76" t="s">
        <v>766</v>
      </c>
    </row>
    <row r="312" ht="22.5" customHeight="1">
      <c r="A312" s="63" t="s">
        <v>132</v>
      </c>
      <c r="B312" s="155" t="str">
        <f>hyperlink("https://en.uesp.net/wiki/Skyrim:Coated_in_Blood", "Coated in Blood")</f>
        <v>Coated in Blood</v>
      </c>
      <c r="C312" s="76" t="s">
        <v>767</v>
      </c>
      <c r="D312" s="76" t="s">
        <v>768</v>
      </c>
      <c r="E312" s="95"/>
      <c r="F312" s="94" t="s">
        <v>769</v>
      </c>
      <c r="G312" s="38"/>
      <c r="H312" s="38"/>
      <c r="I312" s="39"/>
    </row>
    <row r="313" ht="22.5" customHeight="1">
      <c r="A313" s="63" t="s">
        <v>132</v>
      </c>
      <c r="B313" s="155" t="str">
        <f>hyperlink("https://en.uesp.net/wiki/Skyrim:Delivery", "Delivery")</f>
        <v>Delivery</v>
      </c>
      <c r="C313" s="76" t="s">
        <v>770</v>
      </c>
      <c r="D313" s="76" t="s">
        <v>771</v>
      </c>
      <c r="E313" s="95"/>
      <c r="F313" s="63" t="s">
        <v>132</v>
      </c>
      <c r="G313" s="155" t="str">
        <f>hyperlink("https://en.uesp.net/wiki/Skyrim:The_Ghost_of_Old_Hroldan", "The Ghost of Old Hroldan")</f>
        <v>The Ghost of Old Hroldan</v>
      </c>
      <c r="H313" s="82" t="s">
        <v>772</v>
      </c>
      <c r="I313" s="76" t="s">
        <v>773</v>
      </c>
    </row>
    <row r="314" ht="22.5" customHeight="1">
      <c r="A314" s="63" t="s">
        <v>132</v>
      </c>
      <c r="B314" s="155" t="str">
        <f>hyperlink("https://en.uesp.net/wiki/Skyrim:Delivery_to_Calcelmo", "Delivery to Calcelmo")</f>
        <v>Delivery to Calcelmo</v>
      </c>
      <c r="C314" s="76" t="s">
        <v>774</v>
      </c>
      <c r="D314" s="76" t="s">
        <v>775</v>
      </c>
      <c r="E314" s="95"/>
      <c r="F314" s="94" t="s">
        <v>776</v>
      </c>
      <c r="G314" s="38"/>
      <c r="H314" s="38"/>
      <c r="I314" s="39"/>
    </row>
    <row r="315" ht="22.5" customHeight="1">
      <c r="A315" s="63" t="s">
        <v>132</v>
      </c>
      <c r="B315" s="207" t="s">
        <v>584</v>
      </c>
      <c r="C315" s="76" t="s">
        <v>777</v>
      </c>
      <c r="D315" s="76" t="s">
        <v>778</v>
      </c>
      <c r="E315" s="95"/>
      <c r="F315" s="63" t="s">
        <v>132</v>
      </c>
      <c r="G315" s="155" t="str">
        <f>hyperlink("https://en.uesp.net/wiki/Skyrim:Gather_Wheat", "Gather Wheat")</f>
        <v>Gather Wheat</v>
      </c>
      <c r="H315" s="82" t="s">
        <v>779</v>
      </c>
      <c r="I315" s="76" t="s">
        <v>780</v>
      </c>
    </row>
    <row r="316" ht="22.5" customHeight="1">
      <c r="A316" s="63" t="s">
        <v>132</v>
      </c>
      <c r="B316" s="155" t="str">
        <f>hyperlink("https://en.uesp.net/wiki/Skyrim:Fight!_Fight!", "Fight! Fight!")</f>
        <v>Fight! Fight!</v>
      </c>
      <c r="C316" s="76" t="s">
        <v>617</v>
      </c>
      <c r="D316" s="76" t="s">
        <v>781</v>
      </c>
      <c r="E316" s="95"/>
      <c r="F316" s="63" t="s">
        <v>132</v>
      </c>
      <c r="G316" s="155" t="str">
        <f>hyperlink("https://en.uesp.net/wiki/Skyrim:Kolskeggr_Mine", "Kolskeggr Mine")</f>
        <v>Kolskeggr Mine</v>
      </c>
      <c r="H316" s="82" t="s">
        <v>782</v>
      </c>
      <c r="I316" s="76" t="s">
        <v>783</v>
      </c>
    </row>
    <row r="317" ht="22.5" customHeight="1">
      <c r="A317" s="63" t="s">
        <v>132</v>
      </c>
      <c r="B317" s="155" t="str">
        <f>hyperlink("https://en.uesp.net/wiki/Skyrim:Kill_the_Forsworn_Leader", "Kill the Forsworn Leader")</f>
        <v>Kill the Forsworn Leader</v>
      </c>
      <c r="C317" s="76" t="s">
        <v>784</v>
      </c>
      <c r="D317" s="76" t="s">
        <v>778</v>
      </c>
      <c r="E317" s="95"/>
      <c r="F317" s="63" t="s">
        <v>132</v>
      </c>
      <c r="G317" s="155" t="str">
        <f t="shared" ref="G317:G318" si="6">hyperlink("https://en.uesp.net/wiki/Skyrim:Mine_Ore", "Mine Ore")</f>
        <v>Mine Ore</v>
      </c>
      <c r="H317" s="82" t="s">
        <v>785</v>
      </c>
      <c r="I317" s="76" t="s">
        <v>783</v>
      </c>
    </row>
    <row r="318" ht="22.5" customHeight="1">
      <c r="A318" s="63" t="s">
        <v>132</v>
      </c>
      <c r="B318" s="155" t="str">
        <f>hyperlink("https://en.uesp.net/wiki/Skyrim:Lisbet's_Missing_Shipment", "Lisbet's Missing Shipment")</f>
        <v>Lisbet's Missing Shipment</v>
      </c>
      <c r="C318" s="76" t="s">
        <v>786</v>
      </c>
      <c r="D318" s="76" t="s">
        <v>787</v>
      </c>
      <c r="E318" s="95"/>
      <c r="F318" s="63" t="s">
        <v>132</v>
      </c>
      <c r="G318" s="155" t="str">
        <f t="shared" si="6"/>
        <v>Mine Ore</v>
      </c>
      <c r="H318" s="82" t="s">
        <v>788</v>
      </c>
      <c r="I318" s="76" t="s">
        <v>789</v>
      </c>
    </row>
    <row r="319" ht="22.5" customHeight="1">
      <c r="A319" s="63" t="s">
        <v>132</v>
      </c>
      <c r="B319" s="155" t="str">
        <f>hyperlink("https://en.uesp.net/wiki/Skyrim:Nimhe,_the_Poisoned_One", "Nimhe, the Poisoned One")</f>
        <v>Nimhe, the Poisoned One</v>
      </c>
      <c r="C319" s="76" t="s">
        <v>790</v>
      </c>
      <c r="D319" s="76" t="s">
        <v>765</v>
      </c>
      <c r="E319" s="95"/>
      <c r="F319" s="63" t="s">
        <v>132</v>
      </c>
      <c r="G319" s="155" t="str">
        <f>hyperlink("https://en.uesp.net/wiki/Skyrim:Rogatus's_Letter", "Rogatus's Letter")</f>
        <v>Rogatus's Letter</v>
      </c>
      <c r="H319" s="82" t="s">
        <v>791</v>
      </c>
      <c r="I319" s="76" t="s">
        <v>792</v>
      </c>
    </row>
    <row r="320" ht="22.5" customHeight="1">
      <c r="A320" s="63" t="s">
        <v>132</v>
      </c>
      <c r="B320" s="155" t="str">
        <f>hyperlink("https://en.uesp.net/wiki/Skyrim:Quest_all_Beggars_Have", "Quest all Beggars Have")</f>
        <v>Quest all Beggars Have</v>
      </c>
      <c r="C320" s="76" t="s">
        <v>632</v>
      </c>
      <c r="D320" s="76" t="s">
        <v>793</v>
      </c>
      <c r="E320" s="95"/>
      <c r="F320" s="94" t="s">
        <v>530</v>
      </c>
      <c r="G320" s="38"/>
      <c r="H320" s="38"/>
      <c r="I320" s="39"/>
    </row>
    <row r="321" ht="22.5" customHeight="1">
      <c r="A321" s="63" t="s">
        <v>132</v>
      </c>
      <c r="B321" s="155" t="str">
        <f t="shared" ref="B321:B322" si="7">hyperlink("https://en.uesp.net/wiki/Skyrim:Quest_all_Drunks_Have", "Quest all Drunks Have")</f>
        <v>Quest all Drunks Have</v>
      </c>
      <c r="C321" s="76" t="s">
        <v>639</v>
      </c>
      <c r="D321" s="76" t="s">
        <v>781</v>
      </c>
      <c r="E321" s="95"/>
      <c r="F321" s="63" t="s">
        <v>132</v>
      </c>
      <c r="G321" s="155" t="str">
        <f>hyperlink("https://en.uesp.net/wiki/Skyrim:Mine_Ore", "Mine Ore")</f>
        <v>Mine Ore</v>
      </c>
      <c r="H321" s="82" t="s">
        <v>794</v>
      </c>
      <c r="I321" s="76" t="s">
        <v>532</v>
      </c>
    </row>
    <row r="322" ht="22.5" customHeight="1">
      <c r="A322" s="63" t="s">
        <v>132</v>
      </c>
      <c r="B322" s="155" t="str">
        <f t="shared" si="7"/>
        <v>Quest all Drunks Have</v>
      </c>
      <c r="C322" s="76" t="s">
        <v>639</v>
      </c>
      <c r="D322" s="76" t="s">
        <v>793</v>
      </c>
      <c r="E322" s="95"/>
      <c r="F322" s="128"/>
      <c r="G322" s="230"/>
      <c r="H322" s="129"/>
      <c r="I322" s="231"/>
    </row>
    <row r="323" ht="22.5" customHeight="1">
      <c r="A323" s="63" t="s">
        <v>132</v>
      </c>
      <c r="B323" s="155" t="str">
        <f>hyperlink("https://en.uesp.net/wiki/Skyrim:Read_Eltrys'_Note", "Read Eltrys' Note")</f>
        <v>Read Eltrys' Note</v>
      </c>
      <c r="C323" s="76" t="s">
        <v>795</v>
      </c>
      <c r="D323" s="76" t="s">
        <v>752</v>
      </c>
      <c r="E323" s="95"/>
      <c r="F323" s="125"/>
      <c r="G323" s="126"/>
      <c r="H323" s="139"/>
      <c r="I323" s="140"/>
    </row>
    <row r="324" ht="22.5" customHeight="1">
      <c r="A324" s="63" t="s">
        <v>132</v>
      </c>
      <c r="B324" s="155" t="str">
        <f>hyperlink("https://en.uesp.net/wiki/Skyrim:Search_and_Seizure", "Search and Seizure")</f>
        <v>Search and Seizure</v>
      </c>
      <c r="C324" s="76" t="s">
        <v>796</v>
      </c>
      <c r="D324" s="76" t="s">
        <v>797</v>
      </c>
      <c r="E324" s="95"/>
      <c r="F324" s="125"/>
      <c r="G324" s="126"/>
      <c r="H324" s="139"/>
      <c r="I324" s="140"/>
    </row>
    <row r="325" ht="22.5" customHeight="1">
      <c r="A325" s="63" t="s">
        <v>132</v>
      </c>
      <c r="B325" s="155" t="str">
        <f>hyperlink("https://en.uesp.net/wiki/Skyrim:Skilled_Apprenticeship", "Skilled Apprenticeship")</f>
        <v>Skilled Apprenticeship</v>
      </c>
      <c r="C325" s="76" t="s">
        <v>798</v>
      </c>
      <c r="D325" s="76" t="s">
        <v>799</v>
      </c>
      <c r="E325" s="95"/>
      <c r="F325" s="125"/>
      <c r="G325" s="126"/>
      <c r="H325" s="139"/>
      <c r="I325" s="140"/>
    </row>
    <row r="326" ht="22.5" customHeight="1">
      <c r="A326" s="63" t="s">
        <v>132</v>
      </c>
      <c r="B326" s="155" t="str">
        <f>hyperlink("https://en.uesp.net/wiki/Skyrim:Speak_to_Degaine", "Speak to Degaine")</f>
        <v>Speak to Degaine</v>
      </c>
      <c r="C326" s="76" t="s">
        <v>800</v>
      </c>
      <c r="D326" s="76" t="s">
        <v>793</v>
      </c>
      <c r="E326" s="95"/>
      <c r="F326" s="125"/>
      <c r="G326" s="126"/>
      <c r="H326" s="139"/>
      <c r="I326" s="140"/>
    </row>
    <row r="327" ht="22.5" customHeight="1">
      <c r="A327" s="63" t="s">
        <v>132</v>
      </c>
      <c r="B327" s="155" t="str">
        <f>hyperlink("https://en.uesp.net/wiki/Skyrim:Thane_of_the_Reach", "Thane of the Reach")</f>
        <v>Thane of the Reach</v>
      </c>
      <c r="C327" s="76" t="s">
        <v>801</v>
      </c>
      <c r="D327" s="76"/>
      <c r="E327" s="95"/>
      <c r="F327" s="125"/>
      <c r="G327" s="126"/>
      <c r="H327" s="139"/>
      <c r="I327" s="140"/>
    </row>
    <row r="328" ht="22.5" customHeight="1">
      <c r="A328" s="141"/>
      <c r="B328" s="131"/>
      <c r="C328" s="131"/>
      <c r="D328" s="131"/>
      <c r="E328" s="131"/>
      <c r="F328" s="141"/>
      <c r="G328" s="131"/>
      <c r="H328" s="142"/>
      <c r="I328" s="143"/>
    </row>
    <row r="329" ht="22.5" customHeight="1">
      <c r="A329" s="214" t="s">
        <v>802</v>
      </c>
      <c r="B329" s="88"/>
      <c r="C329" s="88"/>
      <c r="D329" s="88"/>
      <c r="E329" s="88"/>
      <c r="F329" s="88"/>
      <c r="G329" s="88"/>
      <c r="H329" s="88"/>
      <c r="I329" s="195">
        <f>((countif(A332:A358,"Y")+countif(F332:F353,"Y"))/44)</f>
        <v>0</v>
      </c>
    </row>
    <row r="330" ht="22.5" customHeight="1">
      <c r="A330" s="90"/>
      <c r="B330" s="91"/>
      <c r="C330" s="91"/>
      <c r="D330" s="91"/>
      <c r="E330" s="91"/>
      <c r="F330" s="91"/>
      <c r="G330" s="91"/>
      <c r="H330" s="91"/>
      <c r="I330" s="137"/>
    </row>
    <row r="331" ht="22.5" customHeight="1">
      <c r="A331" s="92" t="s">
        <v>803</v>
      </c>
      <c r="B331" s="38"/>
      <c r="C331" s="38"/>
      <c r="D331" s="39"/>
      <c r="E331" s="95"/>
      <c r="F331" s="94" t="s">
        <v>804</v>
      </c>
      <c r="G331" s="38"/>
      <c r="H331" s="38"/>
      <c r="I331" s="39"/>
    </row>
    <row r="332" ht="22.5" customHeight="1">
      <c r="A332" s="63" t="s">
        <v>132</v>
      </c>
      <c r="B332" s="203" t="s">
        <v>576</v>
      </c>
      <c r="C332" s="203" t="s">
        <v>805</v>
      </c>
      <c r="D332" s="203"/>
      <c r="E332" s="95"/>
      <c r="F332" s="63" t="s">
        <v>132</v>
      </c>
      <c r="G332" s="205" t="str">
        <f>hyperlink("https://en.uesp.net/wiki/Skyrim:Promises_to_Keep", "Promises to Keep")</f>
        <v>Promises to Keep</v>
      </c>
      <c r="H332" s="117" t="s">
        <v>806</v>
      </c>
      <c r="I332" s="206" t="s">
        <v>807</v>
      </c>
    </row>
    <row r="333" ht="22.5" customHeight="1">
      <c r="A333" s="94" t="s">
        <v>217</v>
      </c>
      <c r="B333" s="38"/>
      <c r="C333" s="38"/>
      <c r="D333" s="39"/>
      <c r="E333" s="95"/>
      <c r="F333" s="63" t="s">
        <v>132</v>
      </c>
      <c r="G333" s="228" t="str">
        <f>hyperlink("https://en.uesp.net/wiki/Skyrim:Unfathomable_Depths", "Unfathomable Depths")</f>
        <v>Unfathomable Depths</v>
      </c>
      <c r="H333" s="232" t="s">
        <v>808</v>
      </c>
      <c r="I333" s="229" t="s">
        <v>809</v>
      </c>
    </row>
    <row r="334" ht="22.5" customHeight="1">
      <c r="A334" s="63" t="s">
        <v>132</v>
      </c>
      <c r="B334" s="155" t="str">
        <f>hyperlink("https://en.uesp.net/wiki/Skyrim:Bloody_Nose", "Bloody Nose")</f>
        <v>Bloody Nose</v>
      </c>
      <c r="C334" s="76" t="s">
        <v>810</v>
      </c>
      <c r="D334" s="76" t="s">
        <v>811</v>
      </c>
      <c r="E334" s="95"/>
      <c r="F334" s="92" t="s">
        <v>575</v>
      </c>
      <c r="G334" s="38"/>
      <c r="H334" s="38"/>
      <c r="I334" s="39"/>
    </row>
    <row r="335" ht="22.5" customHeight="1">
      <c r="A335" s="63" t="s">
        <v>132</v>
      </c>
      <c r="B335" s="155" t="str">
        <f>hyperlink("https://en.uesp.net/wiki/Skyrim:Bring_It!", "Bring It!")</f>
        <v>Bring It!</v>
      </c>
      <c r="C335" s="76" t="s">
        <v>812</v>
      </c>
      <c r="D335" s="76" t="s">
        <v>813</v>
      </c>
      <c r="E335" s="95"/>
      <c r="F335" s="94" t="s">
        <v>814</v>
      </c>
      <c r="G335" s="38"/>
      <c r="H335" s="38"/>
      <c r="I335" s="39"/>
    </row>
    <row r="336" ht="22.5" customHeight="1">
      <c r="A336" s="63" t="s">
        <v>132</v>
      </c>
      <c r="B336" s="155" t="str">
        <f>hyperlink("https://en.uesp.net/wiki/Skyrim:Caught_Red_Handed", "Caught Red Handed")</f>
        <v>Caught Red Handed</v>
      </c>
      <c r="C336" s="76" t="s">
        <v>815</v>
      </c>
      <c r="D336" s="76" t="s">
        <v>816</v>
      </c>
      <c r="E336" s="95"/>
      <c r="F336" s="63" t="s">
        <v>132</v>
      </c>
      <c r="G336" s="155" t="str">
        <f>hyperlink("https://en.uesp.net/wiki/Skyrim:Chop_Wood", "Chop Wood")</f>
        <v>Chop Wood</v>
      </c>
      <c r="H336" s="82" t="s">
        <v>599</v>
      </c>
      <c r="I336" s="76" t="s">
        <v>817</v>
      </c>
    </row>
    <row r="337" ht="22.5" customHeight="1">
      <c r="A337" s="63" t="s">
        <v>132</v>
      </c>
      <c r="B337" s="155" t="str">
        <f>hyperlink("https://en.uesp.net/wiki/Skyrim:Distant_Memories", "Distant Memories")</f>
        <v>Distant Memories</v>
      </c>
      <c r="C337" s="76" t="s">
        <v>818</v>
      </c>
      <c r="D337" s="76" t="s">
        <v>819</v>
      </c>
      <c r="E337" s="95"/>
      <c r="F337" s="63" t="s">
        <v>132</v>
      </c>
      <c r="G337" s="155" t="str">
        <f>hyperlink("https://en.uesp.net/wiki/Skyrim:Climb_the_Steps", "Climb the Steps")</f>
        <v>Climb the Steps</v>
      </c>
      <c r="H337" s="82" t="s">
        <v>820</v>
      </c>
      <c r="I337" s="76" t="s">
        <v>821</v>
      </c>
    </row>
    <row r="338" ht="22.5" customHeight="1">
      <c r="A338" s="63" t="s">
        <v>132</v>
      </c>
      <c r="B338" s="155" t="str">
        <f>hyperlink("https://en.uesp.net/wiki/Skyrim:Few_and_Far_Between", "Few and Far Between")</f>
        <v>Few and Far Between</v>
      </c>
      <c r="C338" s="76" t="s">
        <v>822</v>
      </c>
      <c r="D338" s="76" t="s">
        <v>823</v>
      </c>
      <c r="E338" s="95"/>
      <c r="F338" s="63" t="s">
        <v>132</v>
      </c>
      <c r="G338" s="155" t="str">
        <f>hyperlink("https://en.uesp.net/wiki/Skyrim:Gather_Wheat", "Gather Wheat")</f>
        <v>Gather Wheat</v>
      </c>
      <c r="H338" s="82" t="s">
        <v>824</v>
      </c>
      <c r="I338" s="76" t="s">
        <v>825</v>
      </c>
    </row>
    <row r="339" ht="22.5" customHeight="1">
      <c r="A339" s="63" t="s">
        <v>132</v>
      </c>
      <c r="B339" s="155" t="str">
        <f>hyperlink("https://en.uesp.net/wiki/Skyrim:Grimsever's_Return", "Grimsever's Return")</f>
        <v>Grimsever's Return</v>
      </c>
      <c r="C339" s="76" t="s">
        <v>826</v>
      </c>
      <c r="D339" s="76" t="s">
        <v>827</v>
      </c>
      <c r="E339" s="95"/>
      <c r="F339" s="63" t="s">
        <v>132</v>
      </c>
      <c r="G339" s="155" t="str">
        <f>hyperlink("https://en.uesp.net/wiki/Skyrim:Grin_and_Bear_It", "Grin and Bear It")</f>
        <v>Grin and Bear It</v>
      </c>
      <c r="H339" s="82" t="s">
        <v>828</v>
      </c>
      <c r="I339" s="76" t="s">
        <v>817</v>
      </c>
    </row>
    <row r="340" ht="22.5" customHeight="1">
      <c r="A340" s="63" t="s">
        <v>132</v>
      </c>
      <c r="B340" s="155" t="str">
        <f>hyperlink("https://en.uesp.net/wiki/Skyrim:Helping_Hand", "Helping Hand")</f>
        <v>Helping Hand</v>
      </c>
      <c r="C340" s="76" t="s">
        <v>829</v>
      </c>
      <c r="D340" s="76" t="s">
        <v>830</v>
      </c>
      <c r="E340" s="95"/>
      <c r="F340" s="63" t="s">
        <v>132</v>
      </c>
      <c r="G340" s="155" t="str">
        <f>hyperlink("https://en.uesp.net/wiki/Skyrim:Quest_all_Beggars_Have", "Quest all Beggars Have")</f>
        <v>Quest all Beggars Have</v>
      </c>
      <c r="H340" s="82" t="s">
        <v>632</v>
      </c>
      <c r="I340" s="76" t="s">
        <v>831</v>
      </c>
    </row>
    <row r="341" ht="22.5" customHeight="1">
      <c r="A341" s="63" t="s">
        <v>132</v>
      </c>
      <c r="B341" s="155" t="str">
        <f>hyperlink("https://en.uesp.net/wiki/Skyrim:Hunt_and_Gather", "Hunt and Gather")</f>
        <v>Hunt and Gather</v>
      </c>
      <c r="C341" s="76" t="s">
        <v>832</v>
      </c>
      <c r="D341" s="76" t="s">
        <v>833</v>
      </c>
      <c r="E341" s="95"/>
      <c r="F341" s="63" t="s">
        <v>132</v>
      </c>
      <c r="G341" s="155" t="str">
        <f>hyperlink("https://en.uesp.net/wiki/Skyrim:The_Straw_that_Broke", "The Straw that Broke")</f>
        <v>The Straw that Broke</v>
      </c>
      <c r="H341" s="82" t="s">
        <v>834</v>
      </c>
      <c r="I341" s="76" t="s">
        <v>831</v>
      </c>
    </row>
    <row r="342" ht="22.5" customHeight="1">
      <c r="A342" s="63" t="s">
        <v>132</v>
      </c>
      <c r="B342" s="155" t="str">
        <f>hyperlink("https://en.uesp.net/wiki/Skyrim:Ice_Cold", "Ice Cold")</f>
        <v>Ice Cold</v>
      </c>
      <c r="C342" s="76" t="s">
        <v>835</v>
      </c>
      <c r="D342" s="76" t="s">
        <v>836</v>
      </c>
      <c r="E342" s="95"/>
      <c r="F342" s="94" t="s">
        <v>837</v>
      </c>
      <c r="G342" s="38"/>
      <c r="H342" s="38"/>
      <c r="I342" s="39"/>
    </row>
    <row r="343" ht="22.5" customHeight="1">
      <c r="A343" s="63" t="s">
        <v>132</v>
      </c>
      <c r="B343" s="155" t="str">
        <f>hyperlink("https://en.uesp.net/wiki/Skyrim:Pilgrimage", "Pilgrimage")</f>
        <v>Pilgrimage</v>
      </c>
      <c r="C343" s="76" t="s">
        <v>838</v>
      </c>
      <c r="D343" s="76" t="s">
        <v>839</v>
      </c>
      <c r="E343" s="95"/>
      <c r="F343" s="63" t="s">
        <v>132</v>
      </c>
      <c r="G343" s="155" t="str">
        <f>hyperlink("https://en.uesp.net/wiki/Skyrim:Bow_to_the_Master", "Bow to the Master")</f>
        <v>Bow to the Master</v>
      </c>
      <c r="H343" s="82" t="s">
        <v>840</v>
      </c>
      <c r="I343" s="76" t="s">
        <v>841</v>
      </c>
    </row>
    <row r="344" ht="22.5" customHeight="1">
      <c r="A344" s="63" t="s">
        <v>132</v>
      </c>
      <c r="B344" s="155" t="str">
        <f t="shared" ref="B344:B345" si="8">hyperlink("https://en.uesp.net/wiki/Skyrim:Quest_all_Beggars_Have", "Quest all Beggars Have")</f>
        <v>Quest all Beggars Have</v>
      </c>
      <c r="C344" s="76" t="s">
        <v>632</v>
      </c>
      <c r="D344" s="76" t="s">
        <v>842</v>
      </c>
      <c r="E344" s="95"/>
      <c r="F344" s="63" t="s">
        <v>132</v>
      </c>
      <c r="G344" s="155" t="str">
        <f>hyperlink("https://en.uesp.net/wiki/Skyrim:Chop_Wood", "Chop Wood")</f>
        <v>Chop Wood</v>
      </c>
      <c r="H344" s="82" t="s">
        <v>843</v>
      </c>
      <c r="I344" s="76" t="s">
        <v>844</v>
      </c>
    </row>
    <row r="345" ht="22.5" customHeight="1">
      <c r="A345" s="63" t="s">
        <v>132</v>
      </c>
      <c r="B345" s="155" t="str">
        <f t="shared" si="8"/>
        <v>Quest all Beggars Have</v>
      </c>
      <c r="C345" s="76" t="s">
        <v>632</v>
      </c>
      <c r="D345" s="76" t="s">
        <v>845</v>
      </c>
      <c r="E345" s="95"/>
      <c r="F345" s="63" t="s">
        <v>132</v>
      </c>
      <c r="G345" s="155" t="str">
        <f>hyperlink("https://en.uesp.net/wiki/Skyrim:Flight_or_Fight", "Flight or Fight")</f>
        <v>Flight or Fight</v>
      </c>
      <c r="H345" s="82" t="s">
        <v>846</v>
      </c>
      <c r="I345" s="76" t="s">
        <v>844</v>
      </c>
    </row>
    <row r="346" ht="22.5" customHeight="1">
      <c r="A346" s="63" t="s">
        <v>132</v>
      </c>
      <c r="B346" s="155" t="str">
        <f>hyperlink("https://en.uesp.net/wiki/Skyrim:Ringmaker", "Ringmaker")</f>
        <v>Ringmaker</v>
      </c>
      <c r="C346" s="76" t="s">
        <v>847</v>
      </c>
      <c r="D346" s="76" t="s">
        <v>848</v>
      </c>
      <c r="E346" s="95"/>
      <c r="F346" s="63" t="s">
        <v>132</v>
      </c>
      <c r="G346" s="155" t="str">
        <f t="shared" ref="G346:G348" si="9">hyperlink("https://en.uesp.net/wiki/Skyrim:Gather_Wheat", "Gather Wheat")</f>
        <v>Gather Wheat</v>
      </c>
      <c r="H346" s="82" t="s">
        <v>849</v>
      </c>
      <c r="I346" s="76" t="s">
        <v>850</v>
      </c>
    </row>
    <row r="347" ht="22.5" customHeight="1">
      <c r="A347" s="63" t="s">
        <v>132</v>
      </c>
      <c r="B347" s="155" t="str">
        <f>hyperlink("https://en.uesp.net/wiki/Skyrim:Sealing_the_Deal", "Sealing the Deal")</f>
        <v>Sealing the Deal</v>
      </c>
      <c r="C347" s="76" t="s">
        <v>851</v>
      </c>
      <c r="D347" s="76" t="s">
        <v>852</v>
      </c>
      <c r="E347" s="95"/>
      <c r="F347" s="63" t="s">
        <v>132</v>
      </c>
      <c r="G347" s="155" t="str">
        <f t="shared" si="9"/>
        <v>Gather Wheat</v>
      </c>
      <c r="H347" s="82" t="s">
        <v>853</v>
      </c>
      <c r="I347" s="76" t="s">
        <v>854</v>
      </c>
    </row>
    <row r="348" ht="22.5" customHeight="1">
      <c r="A348" s="63" t="s">
        <v>132</v>
      </c>
      <c r="B348" s="155" t="str">
        <f>hyperlink("https://en.uesp.net/wiki/Skyrim:Special_Delivery", "Special Delivery")</f>
        <v>Special Delivery</v>
      </c>
      <c r="C348" s="76" t="s">
        <v>855</v>
      </c>
      <c r="D348" s="76" t="s">
        <v>856</v>
      </c>
      <c r="E348" s="95"/>
      <c r="F348" s="63" t="s">
        <v>132</v>
      </c>
      <c r="G348" s="155" t="str">
        <f t="shared" si="9"/>
        <v>Gather Wheat</v>
      </c>
      <c r="H348" s="82" t="s">
        <v>857</v>
      </c>
      <c r="I348" s="76" t="s">
        <v>858</v>
      </c>
    </row>
    <row r="349" ht="22.5" customHeight="1">
      <c r="A349" s="63" t="s">
        <v>132</v>
      </c>
      <c r="B349" s="155" t="str">
        <f>hyperlink("https://en.uesp.net/wiki/Skyrim:Spread_the_Love", "Spread the Love")</f>
        <v>Spread the Love</v>
      </c>
      <c r="C349" s="76" t="s">
        <v>859</v>
      </c>
      <c r="D349" s="76" t="s">
        <v>471</v>
      </c>
      <c r="E349" s="95"/>
      <c r="F349" s="63" t="s">
        <v>132</v>
      </c>
      <c r="G349" s="155" t="str">
        <f>hyperlink("https://en.uesp.net/wiki/Skyrim:Smooth_Jazbay", "Smooth Jazbay")</f>
        <v>Smooth Jazbay</v>
      </c>
      <c r="H349" s="82" t="s">
        <v>860</v>
      </c>
      <c r="I349" s="76" t="s">
        <v>854</v>
      </c>
    </row>
    <row r="350" ht="22.5" customHeight="1">
      <c r="A350" s="63" t="s">
        <v>132</v>
      </c>
      <c r="B350" s="155" t="str">
        <f>hyperlink("https://en.uesp.net/wiki/Skyrim:Stabilized", "Stabilized")</f>
        <v>Stabilized</v>
      </c>
      <c r="C350" s="76" t="s">
        <v>861</v>
      </c>
      <c r="D350" s="76" t="s">
        <v>862</v>
      </c>
      <c r="E350" s="95"/>
      <c r="F350" s="94" t="s">
        <v>863</v>
      </c>
      <c r="G350" s="38"/>
      <c r="H350" s="38"/>
      <c r="I350" s="39"/>
    </row>
    <row r="351" ht="22.5" customHeight="1">
      <c r="A351" s="63" t="s">
        <v>132</v>
      </c>
      <c r="B351" s="155" t="str">
        <f>hyperlink("https://en.uesp.net/wiki/Skyrim:Stoking_the_Flames", "Stoking the Flames")</f>
        <v>Stoking the Flames</v>
      </c>
      <c r="C351" s="76" t="s">
        <v>864</v>
      </c>
      <c r="D351" s="76" t="s">
        <v>865</v>
      </c>
      <c r="E351" s="95"/>
      <c r="F351" s="63" t="s">
        <v>132</v>
      </c>
      <c r="G351" s="155" t="str">
        <f>hyperlink("https://en.uesp.net/wiki/Skyrim:Mine_Ore", "Mine Ore")</f>
        <v>Mine Ore</v>
      </c>
      <c r="H351" s="82" t="s">
        <v>677</v>
      </c>
      <c r="I351" s="76" t="s">
        <v>866</v>
      </c>
    </row>
    <row r="352" ht="22.5" customHeight="1">
      <c r="A352" s="63" t="s">
        <v>132</v>
      </c>
      <c r="B352" s="155" t="str">
        <f>hyperlink("https://en.uesp.net/wiki/Skyrim:Supply_and_Demand", "Supply and Demand")</f>
        <v>Supply and Demand</v>
      </c>
      <c r="C352" s="76" t="s">
        <v>867</v>
      </c>
      <c r="D352" s="76" t="s">
        <v>868</v>
      </c>
      <c r="E352" s="95"/>
      <c r="F352" s="63" t="s">
        <v>132</v>
      </c>
      <c r="G352" s="155" t="str">
        <f>hyperlink("https://en.uesp.net/wiki/Skyrim:Mine_or_Yours", "Mine or Yours")</f>
        <v>Mine or Yours</v>
      </c>
      <c r="H352" s="82" t="s">
        <v>869</v>
      </c>
      <c r="I352" s="76" t="s">
        <v>870</v>
      </c>
    </row>
    <row r="353" ht="22.5" customHeight="1">
      <c r="A353" s="63" t="s">
        <v>132</v>
      </c>
      <c r="B353" s="155" t="str">
        <f>hyperlink("https://en.uesp.net/wiki/Skyrim:The_Bonds_of_Matrimony", "The Bonds of Matrimony")</f>
        <v>The Bonds of Matrimony</v>
      </c>
      <c r="C353" s="76" t="s">
        <v>871</v>
      </c>
      <c r="D353" s="76" t="s">
        <v>872</v>
      </c>
      <c r="E353" s="95"/>
      <c r="F353" s="63" t="s">
        <v>132</v>
      </c>
      <c r="G353" s="155" t="str">
        <f>hyperlink("https://en.uesp.net/wiki/Skyrim:Special_Delivery", "Special Delivery")</f>
        <v>Special Delivery</v>
      </c>
      <c r="H353" s="82" t="s">
        <v>873</v>
      </c>
      <c r="I353" s="76" t="s">
        <v>874</v>
      </c>
    </row>
    <row r="354" ht="22.5" customHeight="1">
      <c r="A354" s="63" t="s">
        <v>132</v>
      </c>
      <c r="B354" s="155" t="str">
        <f>hyperlink("https://en.uesp.net/wiki/Skyrim:The_Lover's_Requital", "The Lover's Requital")</f>
        <v>The Lover's Requital</v>
      </c>
      <c r="C354" s="76" t="s">
        <v>875</v>
      </c>
      <c r="D354" s="76" t="s">
        <v>876</v>
      </c>
      <c r="E354" s="95"/>
      <c r="F354" s="125"/>
      <c r="G354" s="126"/>
      <c r="H354" s="139"/>
      <c r="I354" s="140"/>
    </row>
    <row r="355" ht="22.5" customHeight="1">
      <c r="A355" s="63" t="s">
        <v>132</v>
      </c>
      <c r="B355" s="155" t="str">
        <f>hyperlink("https://en.uesp.net/wiki/Skyrim:The_Raid", "The Raid")</f>
        <v>The Raid</v>
      </c>
      <c r="C355" s="76" t="s">
        <v>877</v>
      </c>
      <c r="D355" s="76" t="s">
        <v>830</v>
      </c>
      <c r="E355" s="95"/>
      <c r="F355" s="125"/>
      <c r="G355" s="126"/>
      <c r="H355" s="139"/>
      <c r="I355" s="140"/>
    </row>
    <row r="356" ht="22.5" customHeight="1">
      <c r="A356" s="63" t="s">
        <v>132</v>
      </c>
      <c r="B356" s="155" t="str">
        <f>hyperlink("https://en.uesp.net/wiki/Skyrim:Truth_Ore_Consequences", "Truth Ore Consequences")</f>
        <v>Truth Ore Consequences</v>
      </c>
      <c r="C356" s="76" t="s">
        <v>878</v>
      </c>
      <c r="D356" s="76" t="s">
        <v>879</v>
      </c>
      <c r="E356" s="95"/>
      <c r="F356" s="125"/>
      <c r="G356" s="126"/>
      <c r="H356" s="139"/>
      <c r="I356" s="140"/>
    </row>
    <row r="357" ht="22.5" customHeight="1">
      <c r="A357" s="63" t="s">
        <v>132</v>
      </c>
      <c r="B357" s="155" t="str">
        <f>hyperlink("https://en.uesp.net/wiki/Skyrim:Under_the_Table", "Under the Table")</f>
        <v>Under the Table</v>
      </c>
      <c r="C357" s="76" t="s">
        <v>880</v>
      </c>
      <c r="D357" s="76" t="s">
        <v>881</v>
      </c>
      <c r="E357" s="95"/>
      <c r="F357" s="125"/>
      <c r="G357" s="126"/>
      <c r="H357" s="139"/>
      <c r="I357" s="140"/>
    </row>
    <row r="358" ht="22.5" customHeight="1">
      <c r="A358" s="63" t="s">
        <v>132</v>
      </c>
      <c r="B358" s="155" t="str">
        <f>hyperlink("https://en.uesp.net/wiki/Skyrim:Vald's_Debt", "Vald's Debt")</f>
        <v>Vald's Debt</v>
      </c>
      <c r="C358" s="76" t="s">
        <v>882</v>
      </c>
      <c r="D358" s="76" t="s">
        <v>883</v>
      </c>
      <c r="E358" s="95"/>
      <c r="F358" s="125"/>
      <c r="G358" s="126"/>
      <c r="H358" s="139"/>
      <c r="I358" s="140"/>
    </row>
    <row r="359" ht="22.5" customHeight="1">
      <c r="A359" s="111"/>
      <c r="B359" s="131"/>
      <c r="C359" s="131"/>
      <c r="D359" s="131"/>
      <c r="E359" s="131"/>
      <c r="F359" s="141"/>
      <c r="G359" s="131"/>
      <c r="H359" s="142"/>
      <c r="I359" s="143"/>
    </row>
    <row r="360" ht="22.5" customHeight="1">
      <c r="A360" s="214" t="s">
        <v>884</v>
      </c>
      <c r="B360" s="88"/>
      <c r="C360" s="88"/>
      <c r="D360" s="88"/>
      <c r="E360" s="88"/>
      <c r="F360" s="88"/>
      <c r="G360" s="88"/>
      <c r="H360" s="88"/>
      <c r="I360" s="195">
        <f>((countif(A363:A384,"Y")+countif(F363:F375,"Y"))/30)</f>
        <v>0</v>
      </c>
    </row>
    <row r="361" ht="22.5" customHeight="1">
      <c r="A361" s="90"/>
      <c r="B361" s="91"/>
      <c r="C361" s="91"/>
      <c r="D361" s="91"/>
      <c r="E361" s="91"/>
      <c r="F361" s="91"/>
      <c r="G361" s="91"/>
      <c r="H361" s="91"/>
      <c r="I361" s="137"/>
    </row>
    <row r="362" ht="22.5" customHeight="1">
      <c r="A362" s="92" t="s">
        <v>885</v>
      </c>
      <c r="B362" s="38"/>
      <c r="C362" s="38"/>
      <c r="D362" s="39"/>
      <c r="E362" s="164"/>
      <c r="F362" s="92" t="s">
        <v>575</v>
      </c>
      <c r="G362" s="38"/>
      <c r="H362" s="38"/>
      <c r="I362" s="39"/>
    </row>
    <row r="363" ht="22.5" customHeight="1">
      <c r="A363" s="63" t="s">
        <v>132</v>
      </c>
      <c r="B363" s="203" t="s">
        <v>576</v>
      </c>
      <c r="C363" s="203" t="s">
        <v>886</v>
      </c>
      <c r="D363" s="203"/>
      <c r="E363" s="164"/>
      <c r="F363" s="204" t="s">
        <v>887</v>
      </c>
      <c r="G363" s="38"/>
      <c r="H363" s="38"/>
      <c r="I363" s="39"/>
    </row>
    <row r="364" ht="22.5" customHeight="1">
      <c r="A364" s="94" t="s">
        <v>210</v>
      </c>
      <c r="B364" s="38"/>
      <c r="C364" s="38"/>
      <c r="D364" s="39"/>
      <c r="E364" s="164"/>
      <c r="F364" s="63" t="s">
        <v>132</v>
      </c>
      <c r="G364" s="96" t="str">
        <f>hyperlink("https://en.uesp.net/wiki/Skyrim:The_Words_of_Power", "The Words of Power")</f>
        <v>The Words of Power</v>
      </c>
      <c r="H364" s="203" t="s">
        <v>888</v>
      </c>
      <c r="I364" s="203" t="s">
        <v>887</v>
      </c>
    </row>
    <row r="365" ht="22.5" customHeight="1">
      <c r="A365" s="63" t="s">
        <v>132</v>
      </c>
      <c r="B365" s="205" t="str">
        <f>hyperlink("https://en.uesp.net/wiki/Skyrim:In_My_Time_Of_Need", "In My Time Of Need")</f>
        <v>In My Time Of Need</v>
      </c>
      <c r="C365" s="206" t="s">
        <v>889</v>
      </c>
      <c r="D365" s="206" t="s">
        <v>890</v>
      </c>
      <c r="E365" s="164"/>
      <c r="F365" s="94" t="s">
        <v>891</v>
      </c>
      <c r="G365" s="38"/>
      <c r="H365" s="38"/>
      <c r="I365" s="39"/>
    </row>
    <row r="366" ht="22.5" customHeight="1">
      <c r="A366" s="63" t="s">
        <v>132</v>
      </c>
      <c r="B366" s="205" t="str">
        <f>hyperlink("https://en.uesp.net/wiki/Skyrim:Missing_In_Action", "Missing In Action")</f>
        <v>Missing In Action</v>
      </c>
      <c r="C366" s="206" t="s">
        <v>892</v>
      </c>
      <c r="D366" s="206" t="s">
        <v>893</v>
      </c>
      <c r="E366" s="164"/>
      <c r="F366" s="63" t="s">
        <v>132</v>
      </c>
      <c r="G366" s="155" t="str">
        <f>hyperlink("https://en.uesp.net/wiki/Skyrim:A_Lovely_Letter", "A Lovely Letter")</f>
        <v>A Lovely Letter</v>
      </c>
      <c r="H366" s="82" t="s">
        <v>894</v>
      </c>
      <c r="I366" s="76" t="s">
        <v>895</v>
      </c>
    </row>
    <row r="367" ht="22.5" customHeight="1">
      <c r="A367" s="94" t="s">
        <v>217</v>
      </c>
      <c r="B367" s="38"/>
      <c r="C367" s="38"/>
      <c r="D367" s="39"/>
      <c r="E367" s="233"/>
      <c r="F367" s="63" t="s">
        <v>132</v>
      </c>
      <c r="G367" s="155" t="str">
        <f>hyperlink("https://en.uesp.net/wiki/Skyrim:Alchemy_Tutorial", "Alchemy Tutorial")</f>
        <v>Alchemy Tutorial</v>
      </c>
      <c r="H367" s="82" t="s">
        <v>652</v>
      </c>
      <c r="I367" s="76" t="s">
        <v>896</v>
      </c>
    </row>
    <row r="368" ht="22.5" customHeight="1">
      <c r="A368" s="63" t="s">
        <v>132</v>
      </c>
      <c r="B368" s="155" t="str">
        <f>hyperlink("https://en.uesp.net/wiki/Skyrim:A_Few_Words_with_You", "A Few Words with You")</f>
        <v>A Few Words with You</v>
      </c>
      <c r="C368" s="76" t="s">
        <v>596</v>
      </c>
      <c r="D368" s="76" t="s">
        <v>897</v>
      </c>
      <c r="E368" s="233"/>
      <c r="F368" s="63" t="s">
        <v>132</v>
      </c>
      <c r="G368" s="155" t="str">
        <f>hyperlink("https://en.uesp.net/wiki/Skyrim:Blacksmithing_Tutorial", "Blacksmithing Tutorial")</f>
        <v>Blacksmithing Tutorial</v>
      </c>
      <c r="H368" s="82" t="s">
        <v>656</v>
      </c>
      <c r="I368" s="76" t="s">
        <v>898</v>
      </c>
    </row>
    <row r="369" ht="22.5" customHeight="1">
      <c r="A369" s="63" t="s">
        <v>132</v>
      </c>
      <c r="B369" s="155" t="str">
        <f>hyperlink("https://en.uesp.net/wiki/Skyrim:Alchemy_Tutorial", "Alchemy Tutorial")</f>
        <v>Alchemy Tutorial</v>
      </c>
      <c r="C369" s="76" t="s">
        <v>652</v>
      </c>
      <c r="D369" s="76" t="s">
        <v>899</v>
      </c>
      <c r="E369" s="233"/>
      <c r="F369" s="63" t="s">
        <v>132</v>
      </c>
      <c r="G369" s="155" t="str">
        <f>hyperlink("https://en.uesp.net/wiki/Skyrim:Chop_Wood", "Chop Wood")</f>
        <v>Chop Wood</v>
      </c>
      <c r="H369" s="82" t="s">
        <v>599</v>
      </c>
      <c r="I369" s="76" t="s">
        <v>900</v>
      </c>
    </row>
    <row r="370" ht="22.5" customHeight="1">
      <c r="A370" s="63" t="s">
        <v>132</v>
      </c>
      <c r="B370" s="155" t="str">
        <f>hyperlink("https://en.uesp.net/wiki/Skyrim:Argonian_Ale_Extraction", "Argonian Ale Extraction")</f>
        <v>Argonian Ale Extraction</v>
      </c>
      <c r="C370" s="76" t="s">
        <v>901</v>
      </c>
      <c r="D370" s="76" t="s">
        <v>902</v>
      </c>
      <c r="E370" s="233"/>
      <c r="F370" s="63" t="s">
        <v>132</v>
      </c>
      <c r="G370" s="155" t="str">
        <f>hyperlink("https://en.uesp.net/wiki/Skyrim:Quest_all_Drunks_Have", "Quest all Drunks Have")</f>
        <v>Quest all Drunks Have</v>
      </c>
      <c r="H370" s="82" t="s">
        <v>639</v>
      </c>
      <c r="I370" s="76" t="s">
        <v>903</v>
      </c>
    </row>
    <row r="371" ht="22.5" customHeight="1">
      <c r="A371" s="63" t="s">
        <v>132</v>
      </c>
      <c r="B371" s="155" t="str">
        <f>hyperlink("https://en.uesp.net/wiki/Skyrim:Blacksmithing_Tutorial", "Blacksmithing Tutorial")</f>
        <v>Blacksmithing Tutorial</v>
      </c>
      <c r="C371" s="76" t="s">
        <v>656</v>
      </c>
      <c r="D371" s="76" t="s">
        <v>904</v>
      </c>
      <c r="E371" s="233"/>
      <c r="F371" s="63" t="s">
        <v>132</v>
      </c>
      <c r="G371" s="205" t="str">
        <f>hyperlink("https://en.uesp.net/wiki/Skyrim:The_Golden_Claw", "The Golden Claw")</f>
        <v>The Golden Claw</v>
      </c>
      <c r="H371" s="117" t="s">
        <v>905</v>
      </c>
      <c r="I371" s="206" t="s">
        <v>906</v>
      </c>
    </row>
    <row r="372" ht="22.5" customHeight="1">
      <c r="A372" s="63" t="s">
        <v>132</v>
      </c>
      <c r="B372" s="155" t="str">
        <f>hyperlink("https://en.uesp.net/wiki/Skyrim:Bullying_Braith", "Bullying Braith")</f>
        <v>Bullying Braith</v>
      </c>
      <c r="C372" s="76" t="s">
        <v>907</v>
      </c>
      <c r="D372" s="76" t="s">
        <v>908</v>
      </c>
      <c r="E372" s="233"/>
      <c r="F372" s="94" t="s">
        <v>909</v>
      </c>
      <c r="G372" s="38"/>
      <c r="H372" s="38"/>
      <c r="I372" s="39"/>
    </row>
    <row r="373" ht="22.5" customHeight="1">
      <c r="A373" s="63" t="s">
        <v>132</v>
      </c>
      <c r="B373" s="155" t="str">
        <f>hyperlink("https://en.uesp.net/wiki/Skyrim:Chop_Wood", "Chop Wood")</f>
        <v>Chop Wood</v>
      </c>
      <c r="C373" s="76" t="s">
        <v>599</v>
      </c>
      <c r="D373" s="76" t="s">
        <v>910</v>
      </c>
      <c r="E373" s="233"/>
      <c r="F373" s="63" t="s">
        <v>132</v>
      </c>
      <c r="G373" s="155" t="str">
        <f>hyperlink("https://en.uesp.net/wiki/Skyrim:Erik_the_Slayer_(quest)", "Erik the Slayer")</f>
        <v>Erik the Slayer</v>
      </c>
      <c r="H373" s="82" t="s">
        <v>911</v>
      </c>
      <c r="I373" s="76" t="s">
        <v>912</v>
      </c>
    </row>
    <row r="374" ht="22.5" customHeight="1">
      <c r="A374" s="63" t="s">
        <v>132</v>
      </c>
      <c r="B374" s="207" t="s">
        <v>584</v>
      </c>
      <c r="C374" s="76" t="s">
        <v>913</v>
      </c>
      <c r="D374" s="76" t="s">
        <v>914</v>
      </c>
      <c r="E374" s="95"/>
      <c r="F374" s="63" t="s">
        <v>132</v>
      </c>
      <c r="G374" s="155" t="str">
        <f t="shared" ref="G374:G375" si="10">hyperlink("https://en.uesp.net/wiki/Skyrim:Gather_Wheat", "Gather Wheat")</f>
        <v>Gather Wheat</v>
      </c>
      <c r="H374" s="82" t="s">
        <v>915</v>
      </c>
      <c r="I374" s="76" t="s">
        <v>916</v>
      </c>
    </row>
    <row r="375" ht="22.5" customHeight="1">
      <c r="A375" s="63" t="s">
        <v>132</v>
      </c>
      <c r="B375" s="155" t="str">
        <f>hyperlink("https://en.uesp.net/wiki/Skyrim:Enchanting_Tutorial", "Enchanting Tutorial")</f>
        <v>Enchanting Tutorial</v>
      </c>
      <c r="C375" s="76" t="s">
        <v>917</v>
      </c>
      <c r="D375" s="76" t="s">
        <v>918</v>
      </c>
      <c r="E375" s="95"/>
      <c r="F375" s="63" t="s">
        <v>132</v>
      </c>
      <c r="G375" s="155" t="str">
        <f t="shared" si="10"/>
        <v>Gather Wheat</v>
      </c>
      <c r="H375" s="82" t="s">
        <v>919</v>
      </c>
      <c r="I375" s="76" t="s">
        <v>920</v>
      </c>
    </row>
    <row r="376" ht="22.5" customHeight="1">
      <c r="A376" s="63" t="s">
        <v>132</v>
      </c>
      <c r="B376" s="155" t="str">
        <f>hyperlink("https://en.uesp.net/wiki/Skyrim:Fight!_Fight!", "Fight! Fight!")</f>
        <v>Fight! Fight!</v>
      </c>
      <c r="C376" s="76" t="s">
        <v>617</v>
      </c>
      <c r="D376" s="76" t="s">
        <v>921</v>
      </c>
      <c r="E376" s="95"/>
      <c r="F376" s="125"/>
      <c r="G376" s="126"/>
      <c r="H376" s="139"/>
      <c r="I376" s="140"/>
    </row>
    <row r="377" ht="22.5" customHeight="1">
      <c r="A377" s="63" t="s">
        <v>132</v>
      </c>
      <c r="B377" s="155" t="str">
        <f t="shared" ref="B377:B378" si="11">hyperlink("https://en.uesp.net/wiki/Skyrim:Gather_Wheat", "Gather Wheat")</f>
        <v>Gather Wheat</v>
      </c>
      <c r="C377" s="76" t="s">
        <v>922</v>
      </c>
      <c r="D377" s="76" t="s">
        <v>923</v>
      </c>
      <c r="E377" s="95"/>
      <c r="F377" s="125"/>
      <c r="G377" s="126"/>
      <c r="H377" s="139"/>
      <c r="I377" s="140"/>
    </row>
    <row r="378" ht="22.5" customHeight="1">
      <c r="A378" s="63" t="s">
        <v>132</v>
      </c>
      <c r="B378" s="155" t="str">
        <f t="shared" si="11"/>
        <v>Gather Wheat</v>
      </c>
      <c r="C378" s="76" t="s">
        <v>924</v>
      </c>
      <c r="D378" s="76" t="s">
        <v>925</v>
      </c>
      <c r="E378" s="95"/>
      <c r="F378" s="125"/>
      <c r="G378" s="126"/>
      <c r="H378" s="139"/>
      <c r="I378" s="140"/>
    </row>
    <row r="379" ht="22.5" customHeight="1">
      <c r="A379" s="63" t="s">
        <v>132</v>
      </c>
      <c r="B379" s="155" t="str">
        <f>hyperlink("https://en.uesp.net/wiki/Skyrim:Greatsword_for_a_Great_Man", "Greatsword for a Great Man")</f>
        <v>Greatsword for a Great Man</v>
      </c>
      <c r="C379" s="76" t="s">
        <v>926</v>
      </c>
      <c r="D379" s="76" t="s">
        <v>904</v>
      </c>
      <c r="E379" s="95"/>
      <c r="F379" s="125"/>
      <c r="G379" s="126"/>
      <c r="H379" s="139"/>
      <c r="I379" s="140"/>
    </row>
    <row r="380" ht="22.5" customHeight="1">
      <c r="A380" s="63" t="s">
        <v>132</v>
      </c>
      <c r="B380" s="155" t="str">
        <f>hyperlink("https://en.uesp.net/wiki/Skyrim:Quest_all_Beggars_Have", "Quest all Beggars Have")</f>
        <v>Quest all Beggars Have</v>
      </c>
      <c r="C380" s="76" t="s">
        <v>632</v>
      </c>
      <c r="D380" s="76" t="s">
        <v>902</v>
      </c>
      <c r="E380" s="95"/>
      <c r="F380" s="125"/>
      <c r="G380" s="126"/>
      <c r="H380" s="139"/>
      <c r="I380" s="140"/>
    </row>
    <row r="381" ht="22.5" customHeight="1">
      <c r="A381" s="63" t="s">
        <v>132</v>
      </c>
      <c r="B381" s="155" t="str">
        <f>hyperlink("https://en.uesp.net/wiki/Skyrim:Rare_Gifts", "Rare Gifts")</f>
        <v>Rare Gifts</v>
      </c>
      <c r="C381" s="76" t="s">
        <v>927</v>
      </c>
      <c r="D381" s="76" t="s">
        <v>928</v>
      </c>
      <c r="E381" s="95"/>
      <c r="F381" s="125"/>
      <c r="G381" s="126"/>
      <c r="H381" s="139"/>
      <c r="I381" s="140"/>
    </row>
    <row r="382" ht="22.5" customHeight="1">
      <c r="A382" s="63" t="s">
        <v>132</v>
      </c>
      <c r="B382" s="155" t="str">
        <f>hyperlink("https://en.uesp.net/wiki/Skyrim:Recover_Andurs'_Amulet_of_Arkay", "Recover Andurs' Amulet of Arkay")</f>
        <v>Recover Andurs' Amulet of Arkay</v>
      </c>
      <c r="C382" s="76" t="s">
        <v>929</v>
      </c>
      <c r="D382" s="76" t="s">
        <v>930</v>
      </c>
      <c r="E382" s="95"/>
      <c r="F382" s="125"/>
      <c r="G382" s="126"/>
      <c r="H382" s="139"/>
      <c r="I382" s="140"/>
    </row>
    <row r="383" ht="22.5" customHeight="1">
      <c r="A383" s="63" t="s">
        <v>132</v>
      </c>
      <c r="B383" s="155" t="str">
        <f>hyperlink("https://en.uesp.net/wiki/Skyrim:Salt_for_Arcadia", "Salt for Arcadia")</f>
        <v>Salt for Arcadia</v>
      </c>
      <c r="C383" s="76" t="s">
        <v>931</v>
      </c>
      <c r="D383" s="76" t="s">
        <v>918</v>
      </c>
      <c r="E383" s="95"/>
      <c r="F383" s="125"/>
      <c r="G383" s="126"/>
      <c r="H383" s="139"/>
      <c r="I383" s="140"/>
    </row>
    <row r="384" ht="22.5" customHeight="1">
      <c r="A384" s="63" t="s">
        <v>132</v>
      </c>
      <c r="B384" s="155" t="str">
        <f>hyperlink("https://en.uesp.net/wiki/Skyrim:Thane_of_Whiterun", "Thane of Whiterun")</f>
        <v>Thane of Whiterun</v>
      </c>
      <c r="C384" s="76" t="s">
        <v>932</v>
      </c>
      <c r="D384" s="76" t="s">
        <v>933</v>
      </c>
      <c r="E384" s="95"/>
      <c r="F384" s="125"/>
      <c r="G384" s="126"/>
      <c r="H384" s="139"/>
      <c r="I384" s="140"/>
    </row>
    <row r="385" ht="22.5" customHeight="1">
      <c r="A385" s="141"/>
      <c r="B385" s="131"/>
      <c r="C385" s="131"/>
      <c r="D385" s="131"/>
      <c r="E385" s="131"/>
      <c r="F385" s="141"/>
      <c r="G385" s="131"/>
      <c r="H385" s="142"/>
      <c r="I385" s="143"/>
    </row>
    <row r="386" ht="22.5" customHeight="1">
      <c r="A386" s="214" t="s">
        <v>934</v>
      </c>
      <c r="B386" s="88"/>
      <c r="C386" s="88"/>
      <c r="D386" s="88"/>
      <c r="E386" s="88"/>
      <c r="F386" s="88"/>
      <c r="G386" s="88"/>
      <c r="H386" s="88"/>
      <c r="I386" s="195">
        <f>((countif(A389:A398,"Y")+countif(F389:F391,"Y"))/11)</f>
        <v>0</v>
      </c>
    </row>
    <row r="387" ht="22.5" customHeight="1">
      <c r="A387" s="90"/>
      <c r="B387" s="91"/>
      <c r="C387" s="91"/>
      <c r="D387" s="91"/>
      <c r="E387" s="91"/>
      <c r="F387" s="91"/>
      <c r="G387" s="91"/>
      <c r="H387" s="91"/>
      <c r="I387" s="137"/>
    </row>
    <row r="388" ht="22.5" customHeight="1">
      <c r="A388" s="92" t="s">
        <v>935</v>
      </c>
      <c r="B388" s="38"/>
      <c r="C388" s="38"/>
      <c r="D388" s="190"/>
      <c r="E388" s="95"/>
      <c r="F388" s="215" t="s">
        <v>575</v>
      </c>
      <c r="G388" s="38"/>
      <c r="H388" s="38"/>
      <c r="I388" s="39"/>
    </row>
    <row r="389" ht="22.5" customHeight="1">
      <c r="A389" s="63" t="s">
        <v>132</v>
      </c>
      <c r="B389" s="203" t="s">
        <v>649</v>
      </c>
      <c r="C389" s="203" t="s">
        <v>936</v>
      </c>
      <c r="D389" s="234"/>
      <c r="E389" s="95"/>
      <c r="F389" s="216" t="s">
        <v>937</v>
      </c>
      <c r="G389" s="38"/>
      <c r="H389" s="38"/>
      <c r="I389" s="39"/>
    </row>
    <row r="390" ht="22.5" customHeight="1">
      <c r="A390" s="94" t="s">
        <v>217</v>
      </c>
      <c r="B390" s="38"/>
      <c r="C390" s="38"/>
      <c r="D390" s="190"/>
      <c r="E390" s="95"/>
      <c r="F390" s="63" t="s">
        <v>132</v>
      </c>
      <c r="G390" s="155" t="str">
        <f>hyperlink("https://en.uesp.net/wiki/Skyrim:Chop_Wood", "Chop Wood")</f>
        <v>Chop Wood</v>
      </c>
      <c r="H390" s="82" t="s">
        <v>599</v>
      </c>
      <c r="I390" s="82" t="s">
        <v>938</v>
      </c>
    </row>
    <row r="391" ht="22.5" customHeight="1">
      <c r="A391" s="63" t="s">
        <v>132</v>
      </c>
      <c r="B391" s="207" t="s">
        <v>584</v>
      </c>
      <c r="C391" s="76" t="s">
        <v>939</v>
      </c>
      <c r="D391" s="235" t="s">
        <v>940</v>
      </c>
      <c r="E391" s="95"/>
      <c r="F391" s="63" t="s">
        <v>132</v>
      </c>
      <c r="G391" s="96" t="str">
        <f>hyperlink("https://en.uesp.net/wiki/Skyrim:Delivery", "Delivery")</f>
        <v>Delivery</v>
      </c>
      <c r="H391" s="82" t="s">
        <v>941</v>
      </c>
      <c r="I391" s="82" t="s">
        <v>938</v>
      </c>
    </row>
    <row r="392" ht="22.5" customHeight="1">
      <c r="A392" s="63" t="s">
        <v>132</v>
      </c>
      <c r="B392" s="155" t="str">
        <f>hyperlink("https://en.uesp.net/wiki/Skyrim:Kill_the_Giant", "Kill the Giant")</f>
        <v>Kill the Giant</v>
      </c>
      <c r="C392" s="76" t="s">
        <v>942</v>
      </c>
      <c r="D392" s="235" t="s">
        <v>943</v>
      </c>
      <c r="E392" s="95"/>
      <c r="F392" s="128"/>
      <c r="G392" s="230"/>
      <c r="H392" s="129"/>
      <c r="I392" s="231"/>
    </row>
    <row r="393" ht="22.5" customHeight="1">
      <c r="A393" s="63" t="s">
        <v>132</v>
      </c>
      <c r="B393" s="155" t="str">
        <f t="shared" ref="B393:B394" si="12">hyperlink("https://en.uesp.net/wiki/Skyrim:Mine_Ore", "Mine Ore")</f>
        <v>Mine Ore</v>
      </c>
      <c r="C393" s="76" t="s">
        <v>677</v>
      </c>
      <c r="D393" s="235" t="s">
        <v>944</v>
      </c>
      <c r="E393" s="95"/>
      <c r="F393" s="236"/>
      <c r="G393" s="237"/>
      <c r="H393" s="238"/>
      <c r="I393" s="239"/>
    </row>
    <row r="394" ht="22.5" customHeight="1">
      <c r="A394" s="63" t="s">
        <v>132</v>
      </c>
      <c r="B394" s="155" t="str">
        <f t="shared" si="12"/>
        <v>Mine Ore</v>
      </c>
      <c r="C394" s="76" t="s">
        <v>945</v>
      </c>
      <c r="D394" s="235" t="s">
        <v>946</v>
      </c>
      <c r="E394" s="95"/>
      <c r="F394" s="128"/>
      <c r="G394" s="230"/>
      <c r="H394" s="129"/>
      <c r="I394" s="231"/>
    </row>
    <row r="395" ht="22.5" customHeight="1">
      <c r="A395" s="63" t="s">
        <v>132</v>
      </c>
      <c r="B395" s="155" t="str">
        <f>hyperlink("https://en.uesp.net/wiki/Skyrim:Quest_all_Drunks_Have", "Quest all Drunks Have")</f>
        <v>Quest all Drunks Have</v>
      </c>
      <c r="C395" s="76" t="s">
        <v>639</v>
      </c>
      <c r="D395" s="235" t="s">
        <v>947</v>
      </c>
      <c r="E395" s="95"/>
      <c r="F395" s="128"/>
      <c r="G395" s="230"/>
      <c r="H395" s="129"/>
      <c r="I395" s="231"/>
    </row>
    <row r="396" ht="22.5" customHeight="1">
      <c r="A396" s="63" t="s">
        <v>132</v>
      </c>
      <c r="B396" s="155" t="str">
        <f>hyperlink("https://en.uesp.net/wiki/Skyrim:Rare_Gifts", "Rare Gifts")</f>
        <v>Rare Gifts</v>
      </c>
      <c r="C396" s="76" t="s">
        <v>948</v>
      </c>
      <c r="D396" s="235" t="s">
        <v>949</v>
      </c>
      <c r="E396" s="95"/>
      <c r="F396" s="128"/>
      <c r="G396" s="230"/>
      <c r="H396" s="129"/>
      <c r="I396" s="231"/>
    </row>
    <row r="397" ht="22.5" customHeight="1">
      <c r="A397" s="63" t="s">
        <v>132</v>
      </c>
      <c r="B397" s="155" t="str">
        <f>hyperlink("https://en.uesp.net/wiki/Skyrim:Salty_Sea-Dogs", "Salty Sea-Dogs")</f>
        <v>Salty Sea-Dogs</v>
      </c>
      <c r="C397" s="76" t="s">
        <v>950</v>
      </c>
      <c r="D397" s="235" t="s">
        <v>951</v>
      </c>
      <c r="E397" s="196"/>
      <c r="F397" s="128"/>
      <c r="G397" s="230"/>
      <c r="H397" s="129"/>
      <c r="I397" s="231"/>
    </row>
    <row r="398" ht="22.5" customHeight="1">
      <c r="A398" s="63" t="s">
        <v>132</v>
      </c>
      <c r="B398" s="155" t="str">
        <f>hyperlink("https://en.uesp.net/wiki/Skyrim:Thane_of_the_Pale", "Thane of the Pale")</f>
        <v>Thane of the Pale</v>
      </c>
      <c r="C398" s="76" t="s">
        <v>952</v>
      </c>
      <c r="D398" s="235"/>
      <c r="E398" s="95"/>
      <c r="F398" s="128"/>
      <c r="G398" s="230"/>
      <c r="H398" s="129"/>
      <c r="I398" s="231"/>
    </row>
    <row r="399" ht="22.5" customHeight="1">
      <c r="A399" s="223"/>
      <c r="B399" s="224"/>
      <c r="C399" s="224"/>
      <c r="D399" s="224"/>
      <c r="E399" s="224"/>
      <c r="F399" s="223"/>
      <c r="G399" s="224"/>
      <c r="H399" s="225"/>
      <c r="I399" s="226"/>
    </row>
    <row r="400" ht="22.5" customHeight="1">
      <c r="A400" s="214" t="s">
        <v>953</v>
      </c>
      <c r="B400" s="88"/>
      <c r="C400" s="88"/>
      <c r="D400" s="88"/>
      <c r="E400" s="88"/>
      <c r="F400" s="88"/>
      <c r="G400" s="88"/>
      <c r="H400" s="88"/>
      <c r="I400" s="195">
        <f>((countif(A403:A408,"Y")+countif(F403:F405,"Y"))/7)</f>
        <v>0</v>
      </c>
    </row>
    <row r="401" ht="22.5" customHeight="1">
      <c r="A401" s="90"/>
      <c r="B401" s="91"/>
      <c r="C401" s="91"/>
      <c r="D401" s="91"/>
      <c r="E401" s="91"/>
      <c r="F401" s="91"/>
      <c r="G401" s="91"/>
      <c r="H401" s="91"/>
      <c r="I401" s="137"/>
    </row>
    <row r="402" ht="22.5" customHeight="1">
      <c r="A402" s="186" t="s">
        <v>954</v>
      </c>
      <c r="B402" s="91"/>
      <c r="C402" s="91"/>
      <c r="D402" s="72"/>
      <c r="E402" s="133"/>
      <c r="F402" s="92" t="s">
        <v>575</v>
      </c>
      <c r="G402" s="38"/>
      <c r="H402" s="38"/>
      <c r="I402" s="39"/>
    </row>
    <row r="403" ht="22.5" customHeight="1">
      <c r="A403" s="63" t="s">
        <v>132</v>
      </c>
      <c r="B403" s="155" t="str">
        <f>hyperlink("https://en.uesp.net/wiki/Skyrim:A_Few_Words_with_You", "A Few Words with You")</f>
        <v>A Few Words with You</v>
      </c>
      <c r="C403" s="76" t="s">
        <v>596</v>
      </c>
      <c r="D403" s="76" t="s">
        <v>955</v>
      </c>
      <c r="E403" s="95"/>
      <c r="F403" s="204" t="s">
        <v>956</v>
      </c>
      <c r="G403" s="38"/>
      <c r="H403" s="38"/>
      <c r="I403" s="39"/>
    </row>
    <row r="404" ht="22.5" customHeight="1">
      <c r="A404" s="63" t="s">
        <v>132</v>
      </c>
      <c r="B404" s="155" t="str">
        <f>hyperlink("https://en.uesp.net/wiki/Skyrim:Drowned_Sorrows", "Drowned Sorrows")</f>
        <v>Drowned Sorrows</v>
      </c>
      <c r="C404" s="76" t="s">
        <v>957</v>
      </c>
      <c r="D404" s="76" t="s">
        <v>958</v>
      </c>
      <c r="E404" s="95"/>
      <c r="F404" s="63" t="s">
        <v>132</v>
      </c>
      <c r="G404" s="155" t="str">
        <f>hyperlink("https://en.uesp.net/wiki/Skyrim:Mine_Ore", "Mine Ore")</f>
        <v>Mine Ore</v>
      </c>
      <c r="H404" s="82" t="s">
        <v>677</v>
      </c>
      <c r="I404" s="76" t="s">
        <v>959</v>
      </c>
    </row>
    <row r="405" ht="22.5" customHeight="1">
      <c r="A405" s="63" t="s">
        <v>132</v>
      </c>
      <c r="B405" s="207" t="s">
        <v>584</v>
      </c>
      <c r="C405" s="76" t="s">
        <v>960</v>
      </c>
      <c r="D405" s="240" t="s">
        <v>961</v>
      </c>
      <c r="E405" s="95"/>
      <c r="F405" s="241"/>
      <c r="G405" s="242"/>
      <c r="H405" s="242"/>
      <c r="I405" s="243"/>
    </row>
    <row r="406" ht="22.5" customHeight="1">
      <c r="A406" s="63" t="s">
        <v>132</v>
      </c>
      <c r="B406" s="155" t="str">
        <f>hyperlink("https://en.uesp.net/wiki/Skyrim:Quest_all_Drunks_Have", "Quest all Drunks Have")</f>
        <v>Quest all Drunks Have</v>
      </c>
      <c r="C406" s="76" t="s">
        <v>639</v>
      </c>
      <c r="D406" s="235" t="s">
        <v>962</v>
      </c>
      <c r="E406" s="95"/>
      <c r="F406" s="244"/>
      <c r="G406" s="245"/>
      <c r="H406" s="246"/>
      <c r="I406" s="247"/>
    </row>
    <row r="407" ht="22.5" customHeight="1">
      <c r="A407" s="63" t="s">
        <v>132</v>
      </c>
      <c r="B407" s="155" t="str">
        <f>hyperlink("https://en.uesp.net/wiki/Skyrim:Some_Light_Theft", "Some Light Theft")</f>
        <v>Some Light Theft</v>
      </c>
      <c r="C407" s="76" t="s">
        <v>963</v>
      </c>
      <c r="D407" s="235" t="s">
        <v>964</v>
      </c>
      <c r="E407" s="95"/>
      <c r="F407" s="128"/>
      <c r="G407" s="129"/>
      <c r="H407" s="129"/>
      <c r="I407" s="248"/>
    </row>
    <row r="408" ht="22.5" customHeight="1">
      <c r="A408" s="63" t="s">
        <v>132</v>
      </c>
      <c r="B408" s="155" t="str">
        <f>hyperlink("https://en.uesp.net/wiki/Skyrim:Thane_of_Winterhold", "Thane of Winterhold")</f>
        <v>Thane of Winterhold</v>
      </c>
      <c r="C408" s="76" t="s">
        <v>965</v>
      </c>
      <c r="D408" s="76" t="s">
        <v>961</v>
      </c>
      <c r="E408" s="95"/>
      <c r="F408" s="219"/>
      <c r="G408" s="220"/>
      <c r="H408" s="221"/>
      <c r="I408" s="222"/>
    </row>
    <row r="409" ht="22.5" customHeight="1">
      <c r="A409" s="141"/>
      <c r="B409" s="249"/>
      <c r="C409" s="249"/>
      <c r="D409" s="249"/>
      <c r="E409" s="131"/>
      <c r="F409" s="223"/>
      <c r="G409" s="224"/>
      <c r="H409" s="225"/>
      <c r="I409" s="226"/>
    </row>
    <row r="410" ht="22.5" customHeight="1">
      <c r="A410" s="214" t="s">
        <v>966</v>
      </c>
      <c r="B410" s="88"/>
      <c r="C410" s="88"/>
      <c r="D410" s="88"/>
      <c r="E410" s="88"/>
      <c r="F410" s="88"/>
      <c r="G410" s="88"/>
      <c r="H410" s="88"/>
      <c r="I410" s="195">
        <f>(countif(A413:A424,"Y")/4)</f>
        <v>0</v>
      </c>
    </row>
    <row r="411" ht="22.5" customHeight="1">
      <c r="A411" s="90"/>
      <c r="B411" s="91"/>
      <c r="C411" s="91"/>
      <c r="D411" s="91"/>
      <c r="E411" s="91"/>
      <c r="F411" s="91"/>
      <c r="G411" s="91"/>
      <c r="H411" s="91"/>
      <c r="I411" s="137"/>
    </row>
    <row r="412" ht="22.5" customHeight="1">
      <c r="A412" s="94" t="s">
        <v>210</v>
      </c>
      <c r="B412" s="38"/>
      <c r="C412" s="38"/>
      <c r="D412" s="39"/>
      <c r="E412" s="95"/>
      <c r="F412" s="250" t="str">
        <f>hyperlink("https://en.uesp.net/wiki/Skyrim:Stones_of_Barenziah", "Stones of Barenziah")</f>
        <v>Stones of Barenziah</v>
      </c>
      <c r="G412" s="38"/>
      <c r="H412" s="38"/>
      <c r="I412" s="39"/>
    </row>
    <row r="413" ht="22.5" customHeight="1">
      <c r="A413" s="63" t="s">
        <v>132</v>
      </c>
      <c r="B413" s="251" t="s">
        <v>967</v>
      </c>
      <c r="C413" s="206" t="s">
        <v>968</v>
      </c>
      <c r="D413" s="206" t="s">
        <v>969</v>
      </c>
      <c r="E413" s="95"/>
      <c r="F413" s="63" t="s">
        <v>132</v>
      </c>
      <c r="G413" s="252" t="s">
        <v>970</v>
      </c>
      <c r="H413" s="253" t="str">
        <f>hyperlink("https://en.uesp.net/wiki/Skyrim:Stony_Creek_Cave", "Stony Creek Cave")</f>
        <v>Stony Creek Cave</v>
      </c>
      <c r="I413" s="254"/>
    </row>
    <row r="414" ht="22.5" customHeight="1">
      <c r="A414" s="94" t="s">
        <v>217</v>
      </c>
      <c r="B414" s="38"/>
      <c r="C414" s="38"/>
      <c r="D414" s="39"/>
      <c r="E414" s="95"/>
      <c r="F414" s="63" t="s">
        <v>132</v>
      </c>
      <c r="G414" s="252" t="s">
        <v>971</v>
      </c>
      <c r="H414" s="253" t="str">
        <f>hyperlink("https://en.uesp.net/wiki/Skyrim:Ansilvund", "Ansilvund")</f>
        <v>Ansilvund</v>
      </c>
      <c r="I414" s="254"/>
    </row>
    <row r="415" ht="22.5" customHeight="1">
      <c r="A415" s="63" t="s">
        <v>132</v>
      </c>
      <c r="B415" s="155" t="str">
        <f>hyperlink("https://en.uesp.net/wiki/Skyrim:Amulet_of_the_Moon", "Amulet of the Moon")</f>
        <v>Amulet of the Moon</v>
      </c>
      <c r="C415" s="76" t="s">
        <v>972</v>
      </c>
      <c r="D415" s="76" t="s">
        <v>973</v>
      </c>
      <c r="E415" s="95"/>
      <c r="F415" s="63" t="s">
        <v>132</v>
      </c>
      <c r="G415" s="252" t="s">
        <v>974</v>
      </c>
      <c r="H415" s="253" t="str">
        <f>hyperlink("https://en.uesp.net/wiki/Skyrim:Sunderstone_Gorge", "Sunderstone Gorge")</f>
        <v>Sunderstone Gorge</v>
      </c>
      <c r="I415" s="254"/>
    </row>
    <row r="416" ht="22.5" customHeight="1">
      <c r="A416" s="135" t="s">
        <v>132</v>
      </c>
      <c r="B416" s="97" t="str">
        <f>hyperlink("https://en.uesp.net/wiki/Skyrim:The_Forgemaster's_Fingers", "The Forgemaster's Fingers")</f>
        <v>The Forgemaster's Fingers</v>
      </c>
      <c r="C416" s="255" t="s">
        <v>975</v>
      </c>
      <c r="D416" s="98" t="s">
        <v>976</v>
      </c>
      <c r="E416" s="95"/>
      <c r="F416" s="63" t="s">
        <v>132</v>
      </c>
      <c r="G416" s="252" t="s">
        <v>977</v>
      </c>
      <c r="H416" s="253" t="str">
        <f>hyperlink("https://en.uesp.net/wiki/Skyrim:Dark_Brotherhood_Sanctuary", "Dark Brotherhood Sanctuary")</f>
        <v>Dark Brotherhood Sanctuary</v>
      </c>
      <c r="I416" s="254"/>
    </row>
    <row r="417" ht="22.5" customHeight="1">
      <c r="A417" s="136"/>
      <c r="B417" s="136"/>
      <c r="C417" s="136"/>
      <c r="D417" s="136"/>
      <c r="E417" s="95"/>
      <c r="F417" s="63" t="s">
        <v>132</v>
      </c>
      <c r="G417" s="252" t="s">
        <v>978</v>
      </c>
      <c r="H417" s="253" t="str">
        <f>hyperlink("https://en.uesp.net/wiki/Skyrim:Pinewatch", "Pinewatch")</f>
        <v>Pinewatch</v>
      </c>
      <c r="I417" s="254"/>
    </row>
    <row r="418" ht="22.5" customHeight="1">
      <c r="A418" s="136"/>
      <c r="B418" s="136"/>
      <c r="C418" s="136"/>
      <c r="D418" s="136"/>
      <c r="E418" s="95"/>
      <c r="F418" s="63" t="s">
        <v>132</v>
      </c>
      <c r="G418" s="252" t="s">
        <v>979</v>
      </c>
      <c r="H418" s="253" t="str">
        <f>hyperlink("https://en.uesp.net/wiki/Skyrim:Dainty_Sload", "Dainty Sload")</f>
        <v>Dainty Sload</v>
      </c>
      <c r="I418" s="254"/>
    </row>
    <row r="419" ht="22.5" customHeight="1">
      <c r="A419" s="136"/>
      <c r="B419" s="136"/>
      <c r="C419" s="136"/>
      <c r="D419" s="136"/>
      <c r="E419" s="95"/>
      <c r="F419" s="63" t="s">
        <v>132</v>
      </c>
      <c r="G419" s="252" t="s">
        <v>980</v>
      </c>
      <c r="H419" s="253" t="str">
        <f>hyperlink("https://en.uesp.net/wiki/Skyrim:Thalmor_Embassy", "Thalmor Embassy")</f>
        <v>Thalmor Embassy</v>
      </c>
      <c r="I419" s="254"/>
    </row>
    <row r="420" ht="22.5" customHeight="1">
      <c r="A420" s="136"/>
      <c r="B420" s="136"/>
      <c r="C420" s="136"/>
      <c r="D420" s="136"/>
      <c r="E420" s="95"/>
      <c r="F420" s="63" t="s">
        <v>132</v>
      </c>
      <c r="G420" s="76" t="s">
        <v>744</v>
      </c>
      <c r="H420" s="253" t="str">
        <f>hyperlink("https://en.uesp.net/wiki/Skyrim:The_Treasury_House", "The Treasury House")</f>
        <v>The Treasury House</v>
      </c>
      <c r="I420" s="254"/>
    </row>
    <row r="421" ht="22.5" customHeight="1">
      <c r="A421" s="136"/>
      <c r="B421" s="136"/>
      <c r="C421" s="136"/>
      <c r="D421" s="136"/>
      <c r="E421" s="95"/>
      <c r="F421" s="63" t="s">
        <v>132</v>
      </c>
      <c r="G421" s="76" t="s">
        <v>744</v>
      </c>
      <c r="H421" s="253" t="str">
        <f>hyperlink("https://en.uesp.net/wiki/Skyrim:Understone_Keep", "Understone Keep")</f>
        <v>Understone Keep</v>
      </c>
      <c r="I421" s="254"/>
    </row>
    <row r="422" ht="22.5" customHeight="1">
      <c r="A422" s="136"/>
      <c r="B422" s="136"/>
      <c r="C422" s="136"/>
      <c r="D422" s="136"/>
      <c r="E422" s="95"/>
      <c r="F422" s="63" t="s">
        <v>132</v>
      </c>
      <c r="G422" s="76" t="s">
        <v>803</v>
      </c>
      <c r="H422" s="253" t="str">
        <f>hyperlink("https://en.uesp.net/wiki/Skyrim:Mistveil_Keep", "Mistveil Keep")</f>
        <v>Mistveil Keep</v>
      </c>
      <c r="I422" s="254"/>
    </row>
    <row r="423" ht="22.5" customHeight="1">
      <c r="A423" s="137"/>
      <c r="B423" s="137"/>
      <c r="C423" s="137"/>
      <c r="D423" s="137"/>
      <c r="E423" s="95"/>
      <c r="F423" s="63" t="s">
        <v>132</v>
      </c>
      <c r="G423" s="76" t="s">
        <v>699</v>
      </c>
      <c r="H423" s="253" t="str">
        <f>hyperlink("https://en.uesp.net/wiki/Skyrim:Blue_Palace", "Blue Palace")</f>
        <v>Blue Palace</v>
      </c>
      <c r="I423" s="254"/>
    </row>
    <row r="424" ht="22.5" customHeight="1">
      <c r="A424" s="63" t="s">
        <v>132</v>
      </c>
      <c r="B424" s="155" t="str">
        <f>hyperlink("https://en.uesp.net/wiki/Skyrim:Scare_my_Enemy", "Scare My Enemy")</f>
        <v>Scare My Enemy</v>
      </c>
      <c r="C424" s="82" t="s">
        <v>981</v>
      </c>
      <c r="D424" s="81" t="s">
        <v>982</v>
      </c>
      <c r="E424" s="95"/>
      <c r="F424" s="63" t="s">
        <v>132</v>
      </c>
      <c r="G424" s="76" t="s">
        <v>699</v>
      </c>
      <c r="H424" s="253" t="str">
        <f>hyperlink("https://en.uesp.net/wiki/Skyrim:Proudspire_Manor", "Proudspire Manor")</f>
        <v>Proudspire Manor</v>
      </c>
      <c r="I424" s="254"/>
    </row>
    <row r="425" ht="22.5" customHeight="1">
      <c r="A425" s="256" t="s">
        <v>983</v>
      </c>
      <c r="B425" s="38"/>
      <c r="C425" s="38"/>
      <c r="D425" s="39"/>
      <c r="E425" s="95"/>
      <c r="F425" s="63" t="s">
        <v>132</v>
      </c>
      <c r="G425" s="252" t="s">
        <v>984</v>
      </c>
      <c r="H425" s="253" t="str">
        <f>hyperlink("https://en.uesp.net/wiki/Skyrim:Dead_Crone_Rock", "Dead Crone Rock")</f>
        <v>Dead Crone Rock</v>
      </c>
      <c r="I425" s="257"/>
    </row>
    <row r="426" ht="22.5" customHeight="1">
      <c r="A426" s="258" t="s">
        <v>985</v>
      </c>
      <c r="B426" s="39"/>
      <c r="C426" s="76" t="s">
        <v>986</v>
      </c>
      <c r="D426" s="217" t="s">
        <v>987</v>
      </c>
      <c r="E426" s="95"/>
      <c r="F426" s="63" t="s">
        <v>132</v>
      </c>
      <c r="G426" s="217" t="s">
        <v>988</v>
      </c>
      <c r="H426" s="253" t="str">
        <f>hyperlink("https://en.uesp.net/wiki/Skyrim:Black-Briar_Lodge", "Black-Briar Lodge")</f>
        <v>Black-Briar Lodge</v>
      </c>
      <c r="I426" s="257"/>
    </row>
    <row r="427" ht="22.5" customHeight="1">
      <c r="A427" s="258">
        <v>9.0</v>
      </c>
      <c r="B427" s="39"/>
      <c r="C427" s="76" t="s">
        <v>989</v>
      </c>
      <c r="D427" s="63" t="str">
        <f>A169</f>
        <v>N</v>
      </c>
      <c r="E427" s="95"/>
      <c r="F427" s="63" t="s">
        <v>132</v>
      </c>
      <c r="G427" s="76" t="s">
        <v>885</v>
      </c>
      <c r="H427" s="253" t="str">
        <f>hyperlink("https://en.uesp.net/wiki/Skyrim:Hall_of_the_Dead", "Hall of the Dead")</f>
        <v>Hall of the Dead</v>
      </c>
      <c r="I427" s="257"/>
    </row>
    <row r="428" ht="22.5" customHeight="1">
      <c r="A428" s="258">
        <v>10.0</v>
      </c>
      <c r="B428" s="39"/>
      <c r="C428" s="76" t="s">
        <v>990</v>
      </c>
      <c r="D428" s="63" t="str">
        <f>A163</f>
        <v>N</v>
      </c>
      <c r="E428" s="95"/>
      <c r="F428" s="63" t="s">
        <v>132</v>
      </c>
      <c r="G428" s="76" t="s">
        <v>885</v>
      </c>
      <c r="H428" s="253" t="str">
        <f>hyperlink("https://en.uesp.net/wiki/Skyrim:Dragonsreach", "Dragonsreach")</f>
        <v>Dragonsreach</v>
      </c>
      <c r="I428" s="257"/>
    </row>
    <row r="429" ht="22.5" customHeight="1">
      <c r="A429" s="258">
        <v>10.0</v>
      </c>
      <c r="B429" s="39"/>
      <c r="C429" s="76" t="s">
        <v>991</v>
      </c>
      <c r="D429" s="63" t="str">
        <f>A280</f>
        <v>N</v>
      </c>
      <c r="E429" s="95"/>
      <c r="F429" s="63" t="s">
        <v>132</v>
      </c>
      <c r="G429" s="76" t="s">
        <v>885</v>
      </c>
      <c r="H429" s="253" t="str">
        <f>hyperlink("https://en.uesp.net/wiki/Skyrim:Jorrvaskr", "Jorrvaskr")</f>
        <v>Jorrvaskr</v>
      </c>
      <c r="I429" s="257"/>
    </row>
    <row r="430" ht="22.5" customHeight="1">
      <c r="A430" s="258">
        <v>12.0</v>
      </c>
      <c r="B430" s="39"/>
      <c r="C430" s="76" t="s">
        <v>992</v>
      </c>
      <c r="D430" s="63" t="str">
        <f>F156</f>
        <v>N</v>
      </c>
      <c r="E430" s="95"/>
      <c r="F430" s="63" t="s">
        <v>132</v>
      </c>
      <c r="G430" s="252" t="s">
        <v>993</v>
      </c>
      <c r="H430" s="253" t="str">
        <f>hyperlink("https://en.uesp.net/wiki/Skyrim:Rannveig's_Fast", "Rannveig's Fast")</f>
        <v>Rannveig's Fast</v>
      </c>
      <c r="I430" s="257"/>
    </row>
    <row r="431" ht="22.5" customHeight="1">
      <c r="A431" s="258">
        <v>14.0</v>
      </c>
      <c r="B431" s="39"/>
      <c r="C431" s="76" t="s">
        <v>994</v>
      </c>
      <c r="D431" s="63" t="str">
        <f>F167</f>
        <v>N</v>
      </c>
      <c r="E431" s="95"/>
      <c r="F431" s="63" t="s">
        <v>132</v>
      </c>
      <c r="G431" s="252" t="s">
        <v>993</v>
      </c>
      <c r="H431" s="253" t="str">
        <f>hyperlink("https://en.uesp.net/wiki/Skyrim:Fellglow_Keep", "Fellglow Keep")</f>
        <v>Fellglow Keep</v>
      </c>
      <c r="I431" s="257"/>
    </row>
    <row r="432" ht="22.5" customHeight="1">
      <c r="A432" s="258">
        <v>14.0</v>
      </c>
      <c r="B432" s="39"/>
      <c r="C432" s="76" t="s">
        <v>995</v>
      </c>
      <c r="D432" s="63" t="str">
        <f>F333</f>
        <v>N</v>
      </c>
      <c r="E432" s="95"/>
      <c r="F432" s="63" t="s">
        <v>132</v>
      </c>
      <c r="G432" s="76" t="s">
        <v>574</v>
      </c>
      <c r="H432" s="253" t="str">
        <f>hyperlink("https://en.uesp.net/wiki/Skyrim:House_of_Clan_Shatter-Shield", "House of Clan Shatter-Shield")</f>
        <v>House of Clan Shatter-Shield</v>
      </c>
      <c r="I432" s="257"/>
    </row>
    <row r="433" ht="22.5" customHeight="1">
      <c r="A433" s="258">
        <v>14.0</v>
      </c>
      <c r="B433" s="39"/>
      <c r="C433" s="76" t="s">
        <v>996</v>
      </c>
      <c r="D433" s="63" t="str">
        <f>F170</f>
        <v>N</v>
      </c>
      <c r="E433" s="95"/>
      <c r="F433" s="63" t="s">
        <v>132</v>
      </c>
      <c r="G433" s="76" t="s">
        <v>574</v>
      </c>
      <c r="H433" s="253" t="str">
        <f>hyperlink("https://en.uesp.net/wiki/Skyrim:Palace_of_the_Kings", "Palace of the Kings")</f>
        <v>Palace of the Kings</v>
      </c>
      <c r="I433" s="257"/>
    </row>
    <row r="434" ht="22.5" customHeight="1">
      <c r="A434" s="258">
        <v>20.0</v>
      </c>
      <c r="B434" s="39"/>
      <c r="C434" s="76" t="s">
        <v>997</v>
      </c>
      <c r="D434" s="63" t="str">
        <f>A172</f>
        <v>N</v>
      </c>
      <c r="E434" s="95"/>
      <c r="F434" s="63" t="s">
        <v>132</v>
      </c>
      <c r="G434" s="76" t="s">
        <v>954</v>
      </c>
      <c r="H434" s="253" t="str">
        <f>hyperlink("https://en.uesp.net/wiki/Skyrim:College_of_Winterhold", "College of Winterhold")</f>
        <v>College of Winterhold</v>
      </c>
      <c r="I434" s="257"/>
    </row>
    <row r="435" ht="22.5" customHeight="1">
      <c r="A435" s="258">
        <v>20.0</v>
      </c>
      <c r="B435" s="39"/>
      <c r="C435" s="76" t="s">
        <v>998</v>
      </c>
      <c r="D435" s="63" t="str">
        <f>A175</f>
        <v>N</v>
      </c>
      <c r="E435" s="95"/>
      <c r="F435" s="63" t="s">
        <v>132</v>
      </c>
      <c r="G435" s="252" t="s">
        <v>999</v>
      </c>
      <c r="H435" s="253" t="str">
        <f>hyperlink("https://en.uesp.net/wiki/Skyrim:Hob's_Fall_Cave", "Hob's Fall Cave")</f>
        <v>Hob's Fall Cave</v>
      </c>
      <c r="I435" s="257"/>
    </row>
    <row r="436" ht="22.5" customHeight="1">
      <c r="A436" s="258">
        <v>30.0</v>
      </c>
      <c r="B436" s="39"/>
      <c r="C436" s="76" t="s">
        <v>1000</v>
      </c>
      <c r="D436" s="63" t="str">
        <f>A160</f>
        <v>N</v>
      </c>
      <c r="E436" s="95"/>
      <c r="F436" s="63" t="s">
        <v>132</v>
      </c>
      <c r="G436" s="252" t="s">
        <v>1001</v>
      </c>
      <c r="H436" s="253" t="str">
        <f>hyperlink("https://en.uesp.net/wiki/Skyrim:Yngvild", "Yngvild")</f>
        <v>Yngvild</v>
      </c>
      <c r="I436" s="257"/>
    </row>
    <row r="437" ht="22.5" customHeight="1">
      <c r="A437" s="259"/>
      <c r="B437" s="245"/>
      <c r="C437" s="245"/>
      <c r="D437" s="245"/>
      <c r="E437" s="260"/>
      <c r="F437" s="230"/>
      <c r="G437" s="230"/>
      <c r="H437" s="129"/>
      <c r="I437" s="231"/>
    </row>
    <row r="438" ht="22.5" customHeight="1">
      <c r="A438" s="261"/>
      <c r="B438" s="262"/>
      <c r="C438" s="262"/>
      <c r="D438" s="262"/>
      <c r="E438" s="85"/>
      <c r="F438" s="83"/>
      <c r="G438" s="263"/>
      <c r="H438" s="264"/>
      <c r="I438" s="265"/>
    </row>
    <row r="439" ht="22.5" customHeight="1">
      <c r="A439" s="87" t="s">
        <v>1002</v>
      </c>
      <c r="B439" s="88"/>
      <c r="C439" s="88"/>
      <c r="D439" s="88"/>
      <c r="E439" s="88"/>
      <c r="F439" s="88"/>
      <c r="G439" s="88"/>
      <c r="H439" s="88"/>
      <c r="I439" s="89"/>
    </row>
    <row r="440" ht="22.5" customHeight="1">
      <c r="A440" s="266"/>
      <c r="B440" s="267"/>
      <c r="C440" s="267"/>
      <c r="D440" s="267"/>
      <c r="E440" s="267"/>
      <c r="F440" s="267"/>
      <c r="G440" s="267"/>
      <c r="H440" s="267"/>
      <c r="I440" s="268"/>
    </row>
    <row r="441" ht="22.5" customHeight="1">
      <c r="A441" s="269"/>
      <c r="B441" s="270"/>
      <c r="C441" s="270"/>
      <c r="D441" s="270"/>
      <c r="E441" s="270"/>
      <c r="F441" s="270"/>
      <c r="G441" s="270"/>
      <c r="H441" s="270"/>
      <c r="I441" s="271">
        <f>if(A448="Y",((countif(A443:A467,"Y")+countif(F443:F453,"Y"))/27),((countif(A443:A467,"Y")+countif(F455:F467,"Y"))/28))</f>
        <v>0</v>
      </c>
    </row>
    <row r="442" ht="22.5" customHeight="1">
      <c r="A442" s="272"/>
      <c r="B442" s="273" t="s">
        <v>128</v>
      </c>
      <c r="C442" s="203" t="s">
        <v>129</v>
      </c>
      <c r="D442" s="76" t="s">
        <v>130</v>
      </c>
      <c r="E442" s="198"/>
      <c r="F442" s="274"/>
      <c r="G442" s="273" t="s">
        <v>128</v>
      </c>
      <c r="H442" s="203" t="s">
        <v>129</v>
      </c>
      <c r="I442" s="275" t="s">
        <v>130</v>
      </c>
    </row>
    <row r="443" ht="22.5" customHeight="1">
      <c r="A443" s="276" t="s">
        <v>131</v>
      </c>
      <c r="B443" s="38"/>
      <c r="C443" s="38"/>
      <c r="D443" s="39"/>
      <c r="E443" s="198"/>
      <c r="F443" s="277" t="s">
        <v>1003</v>
      </c>
      <c r="G443" s="38"/>
      <c r="H443" s="38"/>
      <c r="I443" s="39"/>
    </row>
    <row r="444" ht="22.5" customHeight="1">
      <c r="A444" s="63" t="s">
        <v>132</v>
      </c>
      <c r="B444" s="96" t="str">
        <f>hyperlink("https://en.uesp.net/wiki/Skyrim:Dawnguard", "Dawnguard")</f>
        <v>Dawnguard</v>
      </c>
      <c r="C444" s="82" t="s">
        <v>1004</v>
      </c>
      <c r="D444" s="82" t="s">
        <v>1005</v>
      </c>
      <c r="E444" s="198"/>
      <c r="F444" s="278" t="s">
        <v>1006</v>
      </c>
      <c r="G444" s="38"/>
      <c r="H444" s="38"/>
      <c r="I444" s="39"/>
    </row>
    <row r="445" ht="22.5" customHeight="1">
      <c r="A445" s="63" t="s">
        <v>132</v>
      </c>
      <c r="B445" s="96" t="str">
        <f>hyperlink("https://en.uesp.net/wiki/Skyrim:Awakening", "Awakening")</f>
        <v>Awakening</v>
      </c>
      <c r="C445" s="82" t="s">
        <v>1007</v>
      </c>
      <c r="D445" s="82" t="s">
        <v>1008</v>
      </c>
      <c r="E445" s="198"/>
      <c r="F445" s="63" t="s">
        <v>132</v>
      </c>
      <c r="G445" s="96" t="str">
        <f>hyperlink("https://en.uesp.net/wiki/Skyrim:Ancient_Technology", "Ancient Technology")</f>
        <v>Ancient Technology</v>
      </c>
      <c r="H445" s="82" t="s">
        <v>1009</v>
      </c>
      <c r="I445" s="82" t="s">
        <v>1010</v>
      </c>
    </row>
    <row r="446" ht="22.5" customHeight="1">
      <c r="A446" s="63" t="s">
        <v>132</v>
      </c>
      <c r="B446" s="96" t="str">
        <f>hyperlink("https://en.uesp.net/wiki/Skyrim:Bloodline", "Bloodline")</f>
        <v>Bloodline</v>
      </c>
      <c r="C446" s="82" t="s">
        <v>1011</v>
      </c>
      <c r="D446" s="82" t="s">
        <v>1012</v>
      </c>
      <c r="E446" s="198"/>
      <c r="F446" s="63" t="s">
        <v>132</v>
      </c>
      <c r="G446" s="96" t="str">
        <f>hyperlink("https://en.uesp.net/wiki/Skyrim:Bolstering_the_Ranks", "Bolstering the Ranks")</f>
        <v>Bolstering the Ranks</v>
      </c>
      <c r="H446" s="82" t="s">
        <v>1013</v>
      </c>
      <c r="I446" s="82" t="s">
        <v>1010</v>
      </c>
    </row>
    <row r="447" ht="22.5" customHeight="1">
      <c r="A447" s="124" t="s">
        <v>1014</v>
      </c>
      <c r="B447" s="38"/>
      <c r="C447" s="38"/>
      <c r="D447" s="39"/>
      <c r="E447" s="198"/>
      <c r="F447" s="63" t="s">
        <v>132</v>
      </c>
      <c r="G447" s="96" t="str">
        <f>hyperlink("https://en.uesp.net/wiki/Skyrim:Cleansing_Light", "Cleansing Light")</f>
        <v>Cleansing Light</v>
      </c>
      <c r="H447" s="82" t="s">
        <v>1015</v>
      </c>
      <c r="I447" s="82" t="s">
        <v>1016</v>
      </c>
    </row>
    <row r="448" ht="22.5" customHeight="1">
      <c r="A448" s="63" t="s">
        <v>132</v>
      </c>
      <c r="B448" s="96" t="str">
        <f>hyperlink("https://en.uesp.net/wiki/Skyrim:A_New_Order", "A New Order")</f>
        <v>A New Order</v>
      </c>
      <c r="C448" s="82" t="s">
        <v>1017</v>
      </c>
      <c r="D448" s="82" t="s">
        <v>1008</v>
      </c>
      <c r="E448" s="198"/>
      <c r="F448" s="63" t="s">
        <v>132</v>
      </c>
      <c r="G448" s="96" t="str">
        <f>hyperlink("https://en.uesp.net/wiki/Skyrim:Hide_and_Seek", "Hide and Seek")</f>
        <v>Hide and Seek</v>
      </c>
      <c r="H448" s="82" t="s">
        <v>1018</v>
      </c>
      <c r="I448" s="82" t="s">
        <v>1016</v>
      </c>
    </row>
    <row r="449" ht="22.5" customHeight="1">
      <c r="A449" s="63" t="s">
        <v>132</v>
      </c>
      <c r="B449" s="96" t="str">
        <f>hyperlink("https://en.uesp.net/wiki/Skyrim:Prophet", "Prophet")</f>
        <v>Prophet</v>
      </c>
      <c r="C449" s="82" t="s">
        <v>1019</v>
      </c>
      <c r="D449" s="82" t="s">
        <v>1008</v>
      </c>
      <c r="E449" s="198"/>
      <c r="F449" s="63" t="s">
        <v>132</v>
      </c>
      <c r="G449" s="96" t="str">
        <f>hyperlink("https://en.uesp.net/wiki/Skyrim:Hunting_the_Monster", "Hunting the Monster")</f>
        <v>Hunting the Monster</v>
      </c>
      <c r="H449" s="82" t="s">
        <v>1020</v>
      </c>
      <c r="I449" s="82" t="s">
        <v>1016</v>
      </c>
    </row>
    <row r="450" ht="22.5" customHeight="1">
      <c r="A450" s="124" t="s">
        <v>1021</v>
      </c>
      <c r="B450" s="38"/>
      <c r="C450" s="38"/>
      <c r="D450" s="39"/>
      <c r="E450" s="198"/>
      <c r="F450" s="63" t="s">
        <v>132</v>
      </c>
      <c r="G450" s="96" t="str">
        <f>hyperlink("https://en.uesp.net/wiki/Skyrim:A_Jarl's_Justice", "A Jarl's Justice")</f>
        <v>A Jarl's Justice</v>
      </c>
      <c r="H450" s="82" t="s">
        <v>1022</v>
      </c>
      <c r="I450" s="82" t="s">
        <v>1008</v>
      </c>
    </row>
    <row r="451" ht="22.5" customHeight="1">
      <c r="A451" s="63" t="s">
        <v>132</v>
      </c>
      <c r="B451" s="96" t="str">
        <f>hyperlink("https://en.uesp.net/wiki/Skyrim:The_Bloodstone_Chalice", "The Bloodstone Chalice")</f>
        <v>The Bloodstone Chalice</v>
      </c>
      <c r="C451" s="82" t="s">
        <v>1023</v>
      </c>
      <c r="D451" s="82" t="s">
        <v>1024</v>
      </c>
      <c r="E451" s="198"/>
      <c r="F451" s="63" t="s">
        <v>132</v>
      </c>
      <c r="G451" s="96" t="str">
        <f>hyperlink("https://en.uesp.net/wiki/Skyrim:Lost_Relic", "Lost Relic")</f>
        <v>Lost Relic</v>
      </c>
      <c r="H451" s="82" t="s">
        <v>1025</v>
      </c>
      <c r="I451" s="82" t="s">
        <v>1026</v>
      </c>
    </row>
    <row r="452" ht="22.5" customHeight="1">
      <c r="A452" s="63" t="s">
        <v>132</v>
      </c>
      <c r="B452" s="96" t="str">
        <f>hyperlink("https://en.uesp.net/wiki/Skyrim:Prophet", "Prophet")</f>
        <v>Prophet</v>
      </c>
      <c r="C452" s="82" t="s">
        <v>1027</v>
      </c>
      <c r="D452" s="82" t="s">
        <v>1028</v>
      </c>
      <c r="E452" s="198"/>
      <c r="F452" s="63" t="s">
        <v>132</v>
      </c>
      <c r="G452" s="96" t="str">
        <f>hyperlink("https://en.uesp.net/wiki/Skyrim:Preemptive_Strike", "Preemptive Strike")</f>
        <v>Preemptive Strike</v>
      </c>
      <c r="H452" s="82" t="s">
        <v>1029</v>
      </c>
      <c r="I452" s="82" t="s">
        <v>1016</v>
      </c>
    </row>
    <row r="453" ht="22.5" customHeight="1">
      <c r="A453" s="124" t="s">
        <v>1030</v>
      </c>
      <c r="B453" s="38"/>
      <c r="C453" s="38"/>
      <c r="D453" s="39"/>
      <c r="E453" s="198"/>
      <c r="F453" s="63" t="s">
        <v>132</v>
      </c>
      <c r="G453" s="96" t="str">
        <f>hyperlink("https://en.uesp.net/wiki/Skyrim:Rescue", "Rescue")</f>
        <v>Rescue</v>
      </c>
      <c r="H453" s="82" t="s">
        <v>1031</v>
      </c>
      <c r="I453" s="82" t="s">
        <v>1026</v>
      </c>
    </row>
    <row r="454" ht="22.5" customHeight="1">
      <c r="A454" s="63" t="s">
        <v>132</v>
      </c>
      <c r="B454" s="96" t="str">
        <f>hyperlink("https://en.uesp.net/wiki/Skyrim:Chasing_Echoes", "Chasing Echoes")</f>
        <v>Chasing Echoes</v>
      </c>
      <c r="C454" s="82" t="s">
        <v>1032</v>
      </c>
      <c r="D454" s="82" t="s">
        <v>1012</v>
      </c>
      <c r="E454" s="198"/>
      <c r="F454" s="278" t="s">
        <v>1033</v>
      </c>
      <c r="G454" s="38"/>
      <c r="H454" s="38"/>
      <c r="I454" s="39"/>
    </row>
    <row r="455" ht="22.5" customHeight="1">
      <c r="A455" s="63" t="s">
        <v>132</v>
      </c>
      <c r="B455" s="96" t="str">
        <f>hyperlink("https://en.uesp.net/wiki/Skyrim:Scroll_Scouting", "Scroll Scouting")</f>
        <v>Scroll Scouting</v>
      </c>
      <c r="C455" s="82" t="s">
        <v>1034</v>
      </c>
      <c r="D455" s="82" t="s">
        <v>1035</v>
      </c>
      <c r="E455" s="198"/>
      <c r="F455" s="63" t="s">
        <v>132</v>
      </c>
      <c r="G455" s="96" t="str">
        <f>hyperlink("https://en.uesp.net/wiki/Skyrim:Amulets_of_Night_Power", "Amulets of Night Power")</f>
        <v>Amulets of Night Power</v>
      </c>
      <c r="H455" s="82" t="s">
        <v>1036</v>
      </c>
      <c r="I455" s="82" t="s">
        <v>1037</v>
      </c>
    </row>
    <row r="456" ht="22.5" customHeight="1">
      <c r="A456" s="63" t="s">
        <v>132</v>
      </c>
      <c r="B456" s="96" t="str">
        <f>hyperlink("https://en.uesp.net/wiki/Skyrim:Beyond_Death", "Beyond Death")</f>
        <v>Beyond Death</v>
      </c>
      <c r="C456" s="82" t="s">
        <v>1038</v>
      </c>
      <c r="D456" s="82" t="s">
        <v>1012</v>
      </c>
      <c r="E456" s="198"/>
      <c r="F456" s="63" t="s">
        <v>132</v>
      </c>
      <c r="G456" s="96" t="str">
        <f>hyperlink("https://en.uesp.net/wiki/Skyrim:Ancient_Power", "Ancient Power")</f>
        <v>Ancient Power</v>
      </c>
      <c r="H456" s="82" t="s">
        <v>1039</v>
      </c>
      <c r="I456" s="82" t="s">
        <v>1037</v>
      </c>
    </row>
    <row r="457" ht="22.5" customHeight="1">
      <c r="A457" s="63" t="s">
        <v>132</v>
      </c>
      <c r="B457" s="96" t="str">
        <f>hyperlink("https://en.uesp.net/wiki/Skyrim:Seeking_Disclosure", "Seeking Disclosure")</f>
        <v>Seeking Disclosure</v>
      </c>
      <c r="C457" s="82" t="s">
        <v>1040</v>
      </c>
      <c r="D457" s="82" t="s">
        <v>1041</v>
      </c>
      <c r="E457" s="198"/>
      <c r="F457" s="63" t="s">
        <v>132</v>
      </c>
      <c r="G457" s="96" t="str">
        <f>hyperlink("https://en.uesp.net/wiki/Skyrim:Culling_the_Beast", "Culling the Beast")</f>
        <v>Culling the Beast</v>
      </c>
      <c r="H457" s="82" t="s">
        <v>1042</v>
      </c>
      <c r="I457" s="82" t="s">
        <v>1043</v>
      </c>
    </row>
    <row r="458" ht="22.5" customHeight="1">
      <c r="A458" s="63" t="s">
        <v>132</v>
      </c>
      <c r="B458" s="96" t="str">
        <f>hyperlink("https://en.uesp.net/wiki/Skyrim:Unseen_Visions", "Unseen Visions")</f>
        <v>Unseen Visions</v>
      </c>
      <c r="C458" s="82" t="s">
        <v>1044</v>
      </c>
      <c r="D458" s="82" t="s">
        <v>1035</v>
      </c>
      <c r="E458" s="198"/>
      <c r="F458" s="63" t="s">
        <v>132</v>
      </c>
      <c r="G458" s="96" t="str">
        <f>hyperlink("https://en.uesp.net/wiki/Skyrim:Deceiving_the_Herd", "Deceiving the Herd")</f>
        <v>Deceiving the Herd</v>
      </c>
      <c r="H458" s="82" t="s">
        <v>1045</v>
      </c>
      <c r="I458" s="82" t="s">
        <v>1037</v>
      </c>
    </row>
    <row r="459" ht="22.5" customHeight="1">
      <c r="A459" s="63" t="s">
        <v>132</v>
      </c>
      <c r="B459" s="96" t="str">
        <f>hyperlink("https://en.uesp.net/wiki/Skyrim:Touching_the_Sky", "Touching the Sky")</f>
        <v>Touching the Sky</v>
      </c>
      <c r="C459" s="82" t="s">
        <v>1046</v>
      </c>
      <c r="D459" s="82" t="s">
        <v>1012</v>
      </c>
      <c r="E459" s="198"/>
      <c r="F459" s="63" t="s">
        <v>132</v>
      </c>
      <c r="G459" s="96" t="str">
        <f>hyperlink("https://en.uesp.net/wiki/Skyrim:Destroying_the_Dawnguard", "Destroying the Dawnguard")</f>
        <v>Destroying the Dawnguard</v>
      </c>
      <c r="H459" s="82" t="s">
        <v>1047</v>
      </c>
      <c r="I459" s="82" t="s">
        <v>1043</v>
      </c>
    </row>
    <row r="460" ht="22.5" customHeight="1">
      <c r="A460" s="63" t="s">
        <v>132</v>
      </c>
      <c r="B460" s="96" t="str">
        <f>hyperlink("https://en.uesp.net/wiki/Skyrim:Kindred_Judgment", "Kindred Judgment")</f>
        <v>Kindred Judgment</v>
      </c>
      <c r="C460" s="82" t="s">
        <v>1048</v>
      </c>
      <c r="D460" s="82" t="s">
        <v>1012</v>
      </c>
      <c r="E460" s="198"/>
      <c r="F460" s="63" t="s">
        <v>132</v>
      </c>
      <c r="G460" s="96" t="str">
        <f>hyperlink("https://en.uesp.net/wiki/Skyrim:The_Gift", "The Gift")</f>
        <v>The Gift</v>
      </c>
      <c r="H460" s="82" t="s">
        <v>1049</v>
      </c>
      <c r="I460" s="82" t="s">
        <v>1050</v>
      </c>
    </row>
    <row r="461" ht="22.5" customHeight="1">
      <c r="A461" s="279" t="s">
        <v>210</v>
      </c>
      <c r="B461" s="38"/>
      <c r="C461" s="38"/>
      <c r="D461" s="39"/>
      <c r="E461" s="198"/>
      <c r="F461" s="63" t="s">
        <v>132</v>
      </c>
      <c r="G461" s="96" t="str">
        <f>hyperlink("https://en.uesp.net/wiki/Skyrim:The_Hunt", "The Hunt")</f>
        <v>The Hunt</v>
      </c>
      <c r="H461" s="82" t="s">
        <v>1051</v>
      </c>
      <c r="I461" s="82" t="s">
        <v>1043</v>
      </c>
    </row>
    <row r="462" ht="22.5" customHeight="1">
      <c r="A462" s="63" t="s">
        <v>132</v>
      </c>
      <c r="B462" s="96" t="str">
        <f>hyperlink("https://en.uesp.net/wiki/Skyrim:Durnehviir", "Durnehviir")</f>
        <v>Durnehviir</v>
      </c>
      <c r="C462" s="82" t="s">
        <v>1052</v>
      </c>
      <c r="D462" s="82" t="s">
        <v>1053</v>
      </c>
      <c r="E462" s="198"/>
      <c r="F462" s="63" t="s">
        <v>132</v>
      </c>
      <c r="G462" s="96" t="str">
        <f>hyperlink("https://en.uesp.net/wiki/Skyrim:New_Allegiances", "New Allegiances")</f>
        <v>New Allegiances</v>
      </c>
      <c r="H462" s="82" t="s">
        <v>1054</v>
      </c>
      <c r="I462" s="82" t="s">
        <v>1050</v>
      </c>
    </row>
    <row r="463" ht="22.5" customHeight="1">
      <c r="A463" s="63" t="s">
        <v>132</v>
      </c>
      <c r="B463" s="96" t="str">
        <f>hyperlink("https://en.uesp.net/wiki/Skyrim:Forgotten_Vale_Books_Quest", "Forgotten Vale Books Quest")</f>
        <v>Forgotten Vale Books Quest</v>
      </c>
      <c r="C463" s="82" t="s">
        <v>1055</v>
      </c>
      <c r="D463" s="82" t="s">
        <v>178</v>
      </c>
      <c r="E463" s="198"/>
      <c r="F463" s="63" t="s">
        <v>132</v>
      </c>
      <c r="G463" s="96" t="str">
        <f>hyperlink("https://en.uesp.net/wiki/Skyrim:Protecting_the_Bloodline", "Protecting the Bloodline")</f>
        <v>Protecting the Bloodline</v>
      </c>
      <c r="H463" s="82" t="s">
        <v>1056</v>
      </c>
      <c r="I463" s="82" t="s">
        <v>1043</v>
      </c>
    </row>
    <row r="464" ht="22.5" customHeight="1">
      <c r="A464" s="63" t="s">
        <v>132</v>
      </c>
      <c r="B464" s="96" t="str">
        <f>hyperlink("https://en.uesp.net/wiki/Skyrim:Impatience_of_a_Saint", "Impatience of a Saint")</f>
        <v>Impatience of a Saint</v>
      </c>
      <c r="C464" s="82" t="s">
        <v>1057</v>
      </c>
      <c r="D464" s="82" t="s">
        <v>1058</v>
      </c>
      <c r="E464" s="198"/>
      <c r="F464" s="63" t="s">
        <v>132</v>
      </c>
      <c r="G464" s="96" t="str">
        <f>hyperlink("https://en.uesp.net/wiki/Skyrim:Rings_of_Blood_Magic", "Rings of Blood Magic")</f>
        <v>Rings of Blood Magic</v>
      </c>
      <c r="H464" s="82" t="s">
        <v>1059</v>
      </c>
      <c r="I464" s="82" t="s">
        <v>1037</v>
      </c>
    </row>
    <row r="465" ht="22.5" customHeight="1">
      <c r="A465" s="63" t="s">
        <v>132</v>
      </c>
      <c r="B465" s="96" t="str">
        <f>hyperlink("https://en.uesp.net/wiki/Skyrim:Lost_to_the_Ages", "Lost to the Ages")</f>
        <v>Lost to the Ages</v>
      </c>
      <c r="C465" s="82" t="s">
        <v>1060</v>
      </c>
      <c r="D465" s="82" t="s">
        <v>1061</v>
      </c>
      <c r="E465" s="95"/>
      <c r="F465" s="126"/>
      <c r="G465" s="126"/>
      <c r="H465" s="139"/>
      <c r="I465" s="140"/>
    </row>
    <row r="466" ht="22.5" customHeight="1">
      <c r="A466" s="63" t="s">
        <v>132</v>
      </c>
      <c r="B466" s="96" t="str">
        <f>hyperlink("https://en.uesp.net/wiki/Skyrim:Soul_Cairn_Horse_Quest", "Soul Cairn Horse Quest")</f>
        <v>Soul Cairn Horse Quest</v>
      </c>
      <c r="C466" s="82" t="s">
        <v>1062</v>
      </c>
      <c r="D466" s="82" t="s">
        <v>1063</v>
      </c>
      <c r="E466" s="95"/>
      <c r="F466" s="126"/>
      <c r="G466" s="126"/>
      <c r="H466" s="139"/>
      <c r="I466" s="140"/>
    </row>
    <row r="467" ht="22.5" customHeight="1">
      <c r="A467" s="63" t="s">
        <v>132</v>
      </c>
      <c r="B467" s="96" t="str">
        <f>hyperlink("https://en.uesp.net/wiki/Skyrim:Surgery", "Surgery")</f>
        <v>Surgery</v>
      </c>
      <c r="C467" s="82" t="s">
        <v>1064</v>
      </c>
      <c r="D467" s="82" t="s">
        <v>1065</v>
      </c>
      <c r="E467" s="95"/>
      <c r="F467" s="126"/>
      <c r="G467" s="126"/>
      <c r="H467" s="139"/>
      <c r="I467" s="140"/>
    </row>
    <row r="468" ht="22.5" customHeight="1">
      <c r="A468" s="141"/>
      <c r="B468" s="280"/>
      <c r="C468" s="280"/>
      <c r="D468" s="280"/>
      <c r="E468" s="131"/>
      <c r="F468" s="141"/>
      <c r="G468" s="131"/>
      <c r="H468" s="142"/>
      <c r="I468" s="143"/>
    </row>
    <row r="469" ht="22.5" customHeight="1">
      <c r="A469" s="281" t="s">
        <v>1066</v>
      </c>
      <c r="B469" s="88"/>
      <c r="C469" s="88"/>
      <c r="D469" s="88"/>
      <c r="E469" s="88"/>
      <c r="F469" s="88"/>
      <c r="G469" s="88"/>
      <c r="H469" s="88"/>
      <c r="I469" s="89"/>
    </row>
    <row r="470" ht="22.5" customHeight="1">
      <c r="A470" s="266"/>
      <c r="B470" s="267"/>
      <c r="C470" s="267"/>
      <c r="D470" s="267"/>
      <c r="E470" s="267"/>
      <c r="F470" s="267"/>
      <c r="G470" s="267"/>
      <c r="H470" s="267"/>
      <c r="I470" s="268"/>
    </row>
    <row r="471" ht="22.5" customHeight="1">
      <c r="A471" s="282"/>
      <c r="B471" s="270"/>
      <c r="C471" s="270"/>
      <c r="D471" s="270"/>
      <c r="E471" s="270"/>
      <c r="F471" s="270"/>
      <c r="G471" s="270"/>
      <c r="H471" s="270"/>
      <c r="I471" s="283">
        <f>If(F495="N",((countif(A474:A497,"Y")+countif(F474:F514,"Y"))/60),((countif(A474:A497,"Y")+countif(F474:F514,"Y"))/56))</f>
        <v>0</v>
      </c>
    </row>
    <row r="472" ht="22.5" customHeight="1">
      <c r="A472" s="272"/>
      <c r="B472" s="273" t="s">
        <v>128</v>
      </c>
      <c r="C472" s="203" t="s">
        <v>129</v>
      </c>
      <c r="D472" s="76" t="s">
        <v>130</v>
      </c>
      <c r="E472" s="198"/>
      <c r="F472" s="274"/>
      <c r="G472" s="273" t="s">
        <v>128</v>
      </c>
      <c r="H472" s="203" t="s">
        <v>129</v>
      </c>
      <c r="I472" s="76" t="s">
        <v>130</v>
      </c>
    </row>
    <row r="473" ht="22.5" customHeight="1">
      <c r="A473" s="276" t="s">
        <v>131</v>
      </c>
      <c r="B473" s="38"/>
      <c r="C473" s="38"/>
      <c r="D473" s="39"/>
      <c r="E473" s="198"/>
      <c r="F473" s="277" t="s">
        <v>1067</v>
      </c>
      <c r="G473" s="38"/>
      <c r="H473" s="38"/>
      <c r="I473" s="39"/>
    </row>
    <row r="474" ht="22.5" customHeight="1">
      <c r="A474" s="63" t="s">
        <v>132</v>
      </c>
      <c r="B474" s="96" t="str">
        <f>hyperlink("https://en.uesp.net/wiki/Skyrim:Dragonborn", "Dragonborn")</f>
        <v>Dragonborn</v>
      </c>
      <c r="C474" s="82" t="s">
        <v>1068</v>
      </c>
      <c r="D474" s="82"/>
      <c r="E474" s="198"/>
      <c r="F474" s="63" t="s">
        <v>132</v>
      </c>
      <c r="G474" s="96" t="str">
        <f>hyperlink("https://en.uesp.net/wiki/Skyrim:An_Axe_to_Find", "An Axe to Find")</f>
        <v>An Axe to Find</v>
      </c>
      <c r="H474" s="82" t="s">
        <v>1069</v>
      </c>
      <c r="I474" s="82" t="s">
        <v>1070</v>
      </c>
    </row>
    <row r="475" ht="22.5" customHeight="1">
      <c r="A475" s="63" t="s">
        <v>132</v>
      </c>
      <c r="B475" s="96" t="str">
        <f>hyperlink("https://en.uesp.net/wiki/Skyrim:The_Temple_of_Miraak", "The Temple of Miraak")</f>
        <v>The Temple of Miraak</v>
      </c>
      <c r="C475" s="82" t="s">
        <v>1071</v>
      </c>
      <c r="D475" s="82" t="s">
        <v>1072</v>
      </c>
      <c r="E475" s="198"/>
      <c r="F475" s="63" t="s">
        <v>132</v>
      </c>
      <c r="G475" s="96" t="str">
        <f>hyperlink("https://en.uesp.net/wiki/Skyrim:Clean_Sweep", "Clean Sweep")</f>
        <v>Clean Sweep</v>
      </c>
      <c r="H475" s="82" t="s">
        <v>1073</v>
      </c>
      <c r="I475" s="82" t="s">
        <v>1074</v>
      </c>
    </row>
    <row r="476" ht="22.5" customHeight="1">
      <c r="A476" s="63" t="s">
        <v>132</v>
      </c>
      <c r="B476" s="96" t="str">
        <f>hyperlink("https://en.uesp.net/wiki/Skyrim:The_Fate_of_the_Skaal", "The Fate of the Skaal")</f>
        <v>The Fate of the Skaal</v>
      </c>
      <c r="C476" s="82" t="s">
        <v>1075</v>
      </c>
      <c r="D476" s="82" t="s">
        <v>1072</v>
      </c>
      <c r="E476" s="198"/>
      <c r="F476" s="63" t="s">
        <v>132</v>
      </c>
      <c r="G476" s="96" t="str">
        <f>hyperlink("https://en.uesp.net/wiki/Skyrim:Feeding_the_Addiction", "Feeding the Addiction")</f>
        <v>Feeding the Addiction</v>
      </c>
      <c r="H476" s="82" t="s">
        <v>1076</v>
      </c>
      <c r="I476" s="82" t="s">
        <v>1077</v>
      </c>
    </row>
    <row r="477" ht="22.5" customHeight="1">
      <c r="A477" s="63" t="s">
        <v>132</v>
      </c>
      <c r="B477" s="96" t="str">
        <f>hyperlink("https://en.uesp.net/wiki/Skyrim:Cleansing_the_Stones", "Cleansing the Stones")</f>
        <v>Cleansing the Stones</v>
      </c>
      <c r="C477" s="82" t="s">
        <v>1078</v>
      </c>
      <c r="D477" s="82" t="s">
        <v>1079</v>
      </c>
      <c r="E477" s="198"/>
      <c r="F477" s="63" t="s">
        <v>132</v>
      </c>
      <c r="G477" s="96" t="str">
        <f>hyperlink("https://en.uesp.net/wiki/Skyrim:Fetch_the_Netch", "Fetch the Netch")</f>
        <v>Fetch the Netch</v>
      </c>
      <c r="H477" s="82" t="s">
        <v>1080</v>
      </c>
      <c r="I477" s="82" t="s">
        <v>1081</v>
      </c>
    </row>
    <row r="478" ht="22.5" customHeight="1">
      <c r="A478" s="63" t="s">
        <v>132</v>
      </c>
      <c r="B478" s="96" t="str">
        <f>hyperlink("https://en.uesp.net/wiki/Skyrim:The_Path_of_Knowledge", "The Path of Knowledge")</f>
        <v>The Path of Knowledge</v>
      </c>
      <c r="C478" s="82" t="s">
        <v>1082</v>
      </c>
      <c r="D478" s="82" t="s">
        <v>1079</v>
      </c>
      <c r="E478" s="198"/>
      <c r="F478" s="63" t="s">
        <v>132</v>
      </c>
      <c r="G478" s="96" t="str">
        <f>hyperlink("https://en.uesp.net/wiki/Skyrim:First_Edition", "First Edition")</f>
        <v>First Edition</v>
      </c>
      <c r="H478" s="82" t="s">
        <v>1083</v>
      </c>
      <c r="I478" s="82" t="s">
        <v>1084</v>
      </c>
    </row>
    <row r="479" ht="22.5" customHeight="1">
      <c r="A479" s="63" t="s">
        <v>132</v>
      </c>
      <c r="B479" s="96" t="str">
        <f>hyperlink("https://en.uesp.net/wiki/Skyrim:The_Gardener_of_Men", "The Gardener of Men")</f>
        <v>The Gardener of Men</v>
      </c>
      <c r="C479" s="82" t="s">
        <v>1085</v>
      </c>
      <c r="D479" s="82"/>
      <c r="E479" s="198"/>
      <c r="F479" s="63" t="s">
        <v>132</v>
      </c>
      <c r="G479" s="96" t="str">
        <f>hyperlink("https://en.uesp.net/wiki/Skyrim:It's_All_In_The_Taste", "It's All In The Taste")</f>
        <v>It's All In The Taste</v>
      </c>
      <c r="H479" s="82" t="s">
        <v>1086</v>
      </c>
      <c r="I479" s="82" t="s">
        <v>1087</v>
      </c>
    </row>
    <row r="480" ht="22.5" customHeight="1">
      <c r="A480" s="63" t="s">
        <v>132</v>
      </c>
      <c r="B480" s="96" t="str">
        <f>hyperlink("https://en.uesp.net/wiki/Skyrim:At_the_Summit_of_Apocrypha", "At the Summit of Apocrypha")</f>
        <v>At the Summit of Apocrypha</v>
      </c>
      <c r="C480" s="82" t="s">
        <v>1088</v>
      </c>
      <c r="D480" s="82" t="s">
        <v>1072</v>
      </c>
      <c r="E480" s="198"/>
      <c r="F480" s="63" t="s">
        <v>132</v>
      </c>
      <c r="G480" s="96" t="str">
        <f>hyperlink("https://en.uesp.net/wiki/Skyrim:March_of_the_Dead", "March of the Dead")</f>
        <v>March of the Dead</v>
      </c>
      <c r="H480" s="82" t="s">
        <v>1089</v>
      </c>
      <c r="I480" s="82" t="s">
        <v>1090</v>
      </c>
    </row>
    <row r="481" ht="22.5" customHeight="1">
      <c r="A481" s="284" t="str">
        <f>hyperlink("https://en.uesp.net/wiki/Skyrim:Black_Books", "Black Books")</f>
        <v>Black Books</v>
      </c>
      <c r="B481" s="38"/>
      <c r="C481" s="38"/>
      <c r="D481" s="39"/>
      <c r="E481" s="198"/>
      <c r="F481" s="63" t="s">
        <v>132</v>
      </c>
      <c r="G481" s="96" t="str">
        <f>hyperlink("https://en.uesp.net/wiki/Skyrim:Paid_in_Full", "Paid in Full")</f>
        <v>Paid in Full</v>
      </c>
      <c r="H481" s="82" t="s">
        <v>1091</v>
      </c>
      <c r="I481" s="82" t="s">
        <v>1070</v>
      </c>
    </row>
    <row r="482" ht="22.5" customHeight="1">
      <c r="A482" s="63" t="s">
        <v>132</v>
      </c>
      <c r="B482" s="82" t="s">
        <v>1092</v>
      </c>
      <c r="C482" s="82" t="s">
        <v>1093</v>
      </c>
      <c r="D482" s="82" t="s">
        <v>1094</v>
      </c>
      <c r="E482" s="198"/>
      <c r="F482" s="63" t="s">
        <v>132</v>
      </c>
      <c r="G482" s="96" t="str">
        <f>hyperlink("https://en.uesp.net/wiki/Skyrim:Pain_in_the_Necklace", "Pain in the Necklace")</f>
        <v>Pain in the Necklace</v>
      </c>
      <c r="H482" s="82" t="s">
        <v>1095</v>
      </c>
      <c r="I482" s="82" t="s">
        <v>1096</v>
      </c>
    </row>
    <row r="483" ht="22.5" customHeight="1">
      <c r="A483" s="63" t="s">
        <v>132</v>
      </c>
      <c r="B483" s="82" t="s">
        <v>1097</v>
      </c>
      <c r="C483" s="82" t="s">
        <v>1093</v>
      </c>
      <c r="D483" s="82" t="s">
        <v>1094</v>
      </c>
      <c r="E483" s="198"/>
      <c r="F483" s="63" t="s">
        <v>132</v>
      </c>
      <c r="G483" s="96" t="str">
        <f>hyperlink("https://en.uesp.net/wiki/Skyrim:Recipe_for_Distraction", "Recipe for Distraction")</f>
        <v>Recipe for Distraction</v>
      </c>
      <c r="H483" s="82" t="s">
        <v>1098</v>
      </c>
      <c r="I483" s="82" t="s">
        <v>1090</v>
      </c>
    </row>
    <row r="484" ht="22.5" customHeight="1">
      <c r="A484" s="63" t="s">
        <v>132</v>
      </c>
      <c r="B484" s="82" t="s">
        <v>1099</v>
      </c>
      <c r="C484" s="82" t="s">
        <v>1093</v>
      </c>
      <c r="D484" s="82" t="s">
        <v>1094</v>
      </c>
      <c r="E484" s="198"/>
      <c r="F484" s="63" t="s">
        <v>132</v>
      </c>
      <c r="G484" s="96" t="str">
        <f>hyperlink("https://en.uesp.net/wiki/Skyrim:Served_Cold", "Served Cold")</f>
        <v>Served Cold</v>
      </c>
      <c r="H484" s="82" t="s">
        <v>1100</v>
      </c>
      <c r="I484" s="82" t="s">
        <v>1090</v>
      </c>
    </row>
    <row r="485" ht="22.5" customHeight="1">
      <c r="A485" s="63" t="s">
        <v>132</v>
      </c>
      <c r="B485" s="82" t="s">
        <v>1101</v>
      </c>
      <c r="C485" s="82" t="s">
        <v>1093</v>
      </c>
      <c r="D485" s="82" t="s">
        <v>1094</v>
      </c>
      <c r="E485" s="198"/>
      <c r="F485" s="63" t="s">
        <v>132</v>
      </c>
      <c r="G485" s="96" t="str">
        <f>hyperlink("https://en.uesp.net/wiki/Skyrim:The_Final_Descent", "The Final Descent")</f>
        <v>The Final Descent</v>
      </c>
      <c r="H485" s="82" t="s">
        <v>1102</v>
      </c>
      <c r="I485" s="82" t="s">
        <v>1103</v>
      </c>
    </row>
    <row r="486" ht="22.5" customHeight="1">
      <c r="A486" s="63" t="s">
        <v>132</v>
      </c>
      <c r="B486" s="82" t="s">
        <v>1104</v>
      </c>
      <c r="C486" s="82" t="s">
        <v>1093</v>
      </c>
      <c r="D486" s="285" t="s">
        <v>1094</v>
      </c>
      <c r="E486" s="198"/>
      <c r="F486" s="277" t="s">
        <v>1105</v>
      </c>
      <c r="G486" s="38"/>
      <c r="H486" s="38"/>
      <c r="I486" s="39"/>
    </row>
    <row r="487" ht="22.5" customHeight="1">
      <c r="A487" s="279" t="s">
        <v>296</v>
      </c>
      <c r="B487" s="38"/>
      <c r="C487" s="38"/>
      <c r="D487" s="190"/>
      <c r="E487" s="198"/>
      <c r="F487" s="63" t="s">
        <v>132</v>
      </c>
      <c r="G487" s="96" t="str">
        <f>hyperlink("https://en.uesp.net/wiki/Skyrim:A_New_Source_of_Stalhrim", "A New Source of Stalhrim")</f>
        <v>A New Source of Stalhrim</v>
      </c>
      <c r="H487" s="82" t="s">
        <v>1106</v>
      </c>
      <c r="I487" s="82" t="s">
        <v>1107</v>
      </c>
    </row>
    <row r="488" ht="22.5" customHeight="1">
      <c r="A488" s="63" t="s">
        <v>132</v>
      </c>
      <c r="B488" s="96" t="str">
        <f>hyperlink("https://en.uesp.net/wiki/Skyrim:Black_Book", "Black Book")</f>
        <v>Black Book</v>
      </c>
      <c r="C488" s="82" t="s">
        <v>1108</v>
      </c>
      <c r="D488" s="285" t="s">
        <v>1109</v>
      </c>
      <c r="E488" s="198"/>
      <c r="F488" s="63" t="s">
        <v>132</v>
      </c>
      <c r="G488" s="96" t="str">
        <f>hyperlink("https://en.uesp.net/wiki/Skyrim:Convince_Nikulas_to_stay_in_Skaal_Village", "Convince Nikulas to stay in Skaal Village")</f>
        <v>Convince Nikulas to stay in Skaal Village</v>
      </c>
      <c r="H488" s="82" t="s">
        <v>1110</v>
      </c>
      <c r="I488" s="82" t="s">
        <v>1111</v>
      </c>
    </row>
    <row r="489" ht="22.5" customHeight="1">
      <c r="A489" s="63" t="s">
        <v>132</v>
      </c>
      <c r="B489" s="96" t="str">
        <f>hyperlink("https://en.uesp.net/wiki/Skyrim:Deathbrand", "Deathbrand")</f>
        <v>Deathbrand</v>
      </c>
      <c r="C489" s="82" t="s">
        <v>1112</v>
      </c>
      <c r="D489" s="285" t="s">
        <v>1113</v>
      </c>
      <c r="E489" s="198"/>
      <c r="F489" s="63" t="s">
        <v>132</v>
      </c>
      <c r="G489" s="96" t="str">
        <f>hyperlink("https://en.uesp.net/wiki/Skyrim:Filial_Bonds", "Filial Bonds")</f>
        <v>Filial Bonds</v>
      </c>
      <c r="H489" s="82" t="s">
        <v>1114</v>
      </c>
      <c r="I489" s="82" t="s">
        <v>1115</v>
      </c>
    </row>
    <row r="490" ht="22.5" customHeight="1">
      <c r="A490" s="63" t="s">
        <v>132</v>
      </c>
      <c r="B490" s="96" t="str">
        <f>hyperlink("https://en.uesp.net/wiki/Skyrim:Hrodulf's_House", "Hrodulf's House")</f>
        <v>Hrodulf's House</v>
      </c>
      <c r="C490" s="82" t="s">
        <v>1116</v>
      </c>
      <c r="D490" s="285"/>
      <c r="E490" s="198"/>
      <c r="F490" s="63" t="s">
        <v>132</v>
      </c>
      <c r="G490" s="96" t="str">
        <f>hyperlink("https://en.uesp.net/wiki/Skyrim:Lost_Legacy", "Lost Legacy")</f>
        <v>Lost Legacy</v>
      </c>
      <c r="H490" s="82" t="s">
        <v>1117</v>
      </c>
      <c r="I490" s="82" t="s">
        <v>1118</v>
      </c>
    </row>
    <row r="491" ht="22.5" customHeight="1">
      <c r="A491" s="63" t="s">
        <v>132</v>
      </c>
      <c r="B491" s="286" t="s">
        <v>1119</v>
      </c>
      <c r="C491" s="82" t="s">
        <v>1120</v>
      </c>
      <c r="D491" s="285" t="s">
        <v>1121</v>
      </c>
      <c r="E491" s="198"/>
      <c r="F491" s="63" t="s">
        <v>132</v>
      </c>
      <c r="G491" s="96" t="str">
        <f>hyperlink("https://en.uesp.net/wiki/Skyrim:Skaal_Village_Dialogue", "Skaal Village Dialogue")</f>
        <v>Skaal Village Dialogue</v>
      </c>
      <c r="H491" s="82" t="s">
        <v>1122</v>
      </c>
      <c r="I491" s="82" t="s">
        <v>1123</v>
      </c>
    </row>
    <row r="492" ht="22.5" customHeight="1">
      <c r="A492" s="63" t="s">
        <v>132</v>
      </c>
      <c r="B492" s="96" t="str">
        <f>hyperlink("https://en.uesp.net/wiki/Skyrim:Sell_Stalhrim_Equipment", "Sell Stalhrim Equipment")</f>
        <v>Sell Stalhrim Equipment</v>
      </c>
      <c r="C492" s="82" t="s">
        <v>1124</v>
      </c>
      <c r="D492" s="285" t="s">
        <v>1125</v>
      </c>
      <c r="E492" s="198"/>
      <c r="F492" s="277" t="s">
        <v>1126</v>
      </c>
      <c r="G492" s="38"/>
      <c r="H492" s="38"/>
      <c r="I492" s="39"/>
    </row>
    <row r="493" ht="22.5" customHeight="1">
      <c r="A493" s="63" t="s">
        <v>132</v>
      </c>
      <c r="B493" s="96" t="str">
        <f>hyperlink("https://en.uesp.net/wiki/Skyrim:Summoning_Karstaag", "Summoning Karstaag")</f>
        <v>Summoning Karstaag</v>
      </c>
      <c r="C493" s="82" t="s">
        <v>1127</v>
      </c>
      <c r="D493" s="285"/>
      <c r="E493" s="198"/>
      <c r="F493" s="63" t="s">
        <v>132</v>
      </c>
      <c r="G493" s="96" t="str">
        <f>hyperlink("https://en.uesp.net/wiki/Skyrim:Thirsk_Rumors", "Thirsk Rumors")</f>
        <v>Thirsk Rumors</v>
      </c>
      <c r="H493" s="82" t="s">
        <v>1128</v>
      </c>
      <c r="I493" s="82"/>
    </row>
    <row r="494" ht="22.5" customHeight="1">
      <c r="A494" s="63" t="s">
        <v>132</v>
      </c>
      <c r="B494" s="96" t="str">
        <f>hyperlink("https://en.uesp.net/wiki/Skyrim:The_Ebony_Warrior", "The Ebony Warrior")</f>
        <v>The Ebony Warrior</v>
      </c>
      <c r="C494" s="82" t="s">
        <v>1129</v>
      </c>
      <c r="D494" s="285" t="s">
        <v>1130</v>
      </c>
      <c r="E494" s="198"/>
      <c r="F494" s="63" t="s">
        <v>132</v>
      </c>
      <c r="G494" s="96" t="str">
        <f>hyperlink("https://en.uesp.net/wiki/Skyrim:Elmus_Favor_Quest_(mead)", "Elmus Favor Quest (mead)")</f>
        <v>Elmus Favor Quest (mead)</v>
      </c>
      <c r="H494" s="82" t="s">
        <v>1131</v>
      </c>
      <c r="I494" s="81" t="s">
        <v>1132</v>
      </c>
    </row>
    <row r="495" ht="22.5" customHeight="1">
      <c r="A495" s="63" t="s">
        <v>132</v>
      </c>
      <c r="B495" s="96" t="str">
        <f>hyperlink("https://en.uesp.net/wiki/Skyrim:The_Kagrumez_Gauntlet", "The Kagrumez Gauntlet")</f>
        <v>The Kagrumez Gauntlet</v>
      </c>
      <c r="C495" s="82" t="s">
        <v>1133</v>
      </c>
      <c r="D495" s="285"/>
      <c r="E495" s="198"/>
      <c r="F495" s="63" t="s">
        <v>132</v>
      </c>
      <c r="G495" s="96" t="str">
        <f>hyperlink("https://en.uesp.net/wiki/Skyrim:The_Chief_of_Thirsk_Hall", "The Chief of Thirsk Hall")</f>
        <v>The Chief of Thirsk Hall</v>
      </c>
      <c r="H495" s="81" t="s">
        <v>1134</v>
      </c>
      <c r="I495" s="82" t="s">
        <v>1135</v>
      </c>
    </row>
    <row r="496" ht="22.5" customHeight="1">
      <c r="A496" s="63" t="s">
        <v>132</v>
      </c>
      <c r="B496" s="96" t="str">
        <f>hyperlink("https://en.uesp.net/wiki/Skyrim:Unearthed", "Unearthed")</f>
        <v>Unearthed</v>
      </c>
      <c r="C496" s="82" t="s">
        <v>1120</v>
      </c>
      <c r="D496" s="285" t="s">
        <v>1121</v>
      </c>
      <c r="E496" s="198"/>
      <c r="F496" s="63" t="s">
        <v>132</v>
      </c>
      <c r="G496" s="96" t="str">
        <f>hyperlink("https://en.uesp.net/wiki/Skyrim:Retaking_Thirsk", "Retaking Thirsk")</f>
        <v>Retaking Thirsk</v>
      </c>
      <c r="H496" s="81" t="s">
        <v>1136</v>
      </c>
      <c r="I496" s="82" t="s">
        <v>1137</v>
      </c>
    </row>
    <row r="497" ht="22.5" customHeight="1">
      <c r="A497" s="63" t="s">
        <v>132</v>
      </c>
      <c r="B497" s="96" t="str">
        <f>hyperlink("https://en.uesp.net/wiki/Skyrim:Visit_the_hunters_at_Frostmoon_Crag", "Visit the hunters at Frostmoon Crag")</f>
        <v>Visit the hunters at Frostmoon Crag</v>
      </c>
      <c r="C497" s="82" t="s">
        <v>1138</v>
      </c>
      <c r="D497" s="285" t="s">
        <v>1087</v>
      </c>
      <c r="E497" s="198"/>
      <c r="F497" s="63" t="s">
        <v>132</v>
      </c>
      <c r="G497" s="96" t="str">
        <f>hyperlink("https://en.uesp.net/wiki/Skyrim:Hilund_Favor_Quest", "Hilund Favor Quest")</f>
        <v>Hilund Favor Quest</v>
      </c>
      <c r="H497" s="82" t="s">
        <v>1139</v>
      </c>
      <c r="I497" s="81" t="s">
        <v>1140</v>
      </c>
    </row>
    <row r="498" ht="22.5" customHeight="1">
      <c r="A498" s="130"/>
      <c r="B498" s="129"/>
      <c r="C498" s="129"/>
      <c r="D498" s="129"/>
      <c r="E498" s="198"/>
      <c r="F498" s="63" t="s">
        <v>132</v>
      </c>
      <c r="G498" s="96" t="str">
        <f>hyperlink("https://en.uesp.net/wiki/Skyrim:Elmus_Favor_Quest_(berries)", "Elmus Favor Quest (berries)")</f>
        <v>Elmus Favor Quest (berries)</v>
      </c>
      <c r="H498" s="82" t="s">
        <v>1141</v>
      </c>
      <c r="I498" s="81" t="s">
        <v>1142</v>
      </c>
    </row>
    <row r="499" ht="22.5" customHeight="1">
      <c r="A499" s="130"/>
      <c r="B499" s="130"/>
      <c r="C499" s="130"/>
      <c r="D499" s="130"/>
      <c r="E499" s="198"/>
      <c r="F499" s="63" t="s">
        <v>132</v>
      </c>
      <c r="G499" s="96" t="str">
        <f>hyperlink("https://en.uesp.net/wiki/Skyrim:Halbarn_Favor_Quest", "Halbarn Favor Quest")</f>
        <v>Halbarn Favor Quest</v>
      </c>
      <c r="H499" s="82" t="s">
        <v>1143</v>
      </c>
      <c r="I499" s="81" t="s">
        <v>1144</v>
      </c>
    </row>
    <row r="500" ht="22.5" customHeight="1">
      <c r="A500" s="287"/>
      <c r="B500" s="130"/>
      <c r="C500" s="130"/>
      <c r="D500" s="130"/>
      <c r="E500" s="198"/>
      <c r="F500" s="277" t="s">
        <v>1145</v>
      </c>
      <c r="G500" s="38"/>
      <c r="H500" s="38"/>
      <c r="I500" s="39"/>
    </row>
    <row r="501" ht="22.5" customHeight="1">
      <c r="A501" s="287"/>
      <c r="B501" s="130"/>
      <c r="C501" s="130"/>
      <c r="D501" s="130"/>
      <c r="E501" s="198"/>
      <c r="F501" s="63" t="s">
        <v>132</v>
      </c>
      <c r="G501" s="96" t="str">
        <f>hyperlink("https://en.uesp.net/wiki/Skyrim:A_New_Debt", "A New Debt")</f>
        <v>A New Debt</v>
      </c>
      <c r="H501" s="82" t="s">
        <v>1146</v>
      </c>
      <c r="I501" s="82" t="s">
        <v>1147</v>
      </c>
    </row>
    <row r="502" ht="22.5" customHeight="1">
      <c r="A502" s="287"/>
      <c r="B502" s="130"/>
      <c r="C502" s="130"/>
      <c r="D502" s="130"/>
      <c r="E502" s="198"/>
      <c r="F502" s="63" t="s">
        <v>132</v>
      </c>
      <c r="G502" s="96" t="str">
        <f>hyperlink("https://en.uesp.net/wiki/Skyrim:Azra's_Staffs", "Azra's Staffs")</f>
        <v>Azra's Staffs</v>
      </c>
      <c r="H502" s="82" t="s">
        <v>1148</v>
      </c>
      <c r="I502" s="98" t="s">
        <v>1149</v>
      </c>
    </row>
    <row r="503" ht="22.5" customHeight="1">
      <c r="A503" s="287"/>
      <c r="B503" s="288"/>
      <c r="C503" s="288"/>
      <c r="D503" s="288"/>
      <c r="E503" s="198"/>
      <c r="F503" s="63" t="s">
        <v>132</v>
      </c>
      <c r="G503" s="96" t="str">
        <f>hyperlink("https://en.uesp.net/wiki/Skyrim:Briarheart_Necropsy", "Briarheart Necropsy")</f>
        <v>Briarheart Necropsy</v>
      </c>
      <c r="H503" s="74" t="s">
        <v>1150</v>
      </c>
      <c r="I503" s="289" t="s">
        <v>1149</v>
      </c>
    </row>
    <row r="504" ht="22.5" customHeight="1">
      <c r="A504" s="287"/>
      <c r="B504" s="288"/>
      <c r="C504" s="288"/>
      <c r="D504" s="288"/>
      <c r="E504" s="198"/>
      <c r="F504" s="63" t="s">
        <v>132</v>
      </c>
      <c r="G504" s="96" t="str">
        <f>hyperlink("https://en.uesp.net/wiki/Skyrim:Experimental_Subject_(A)", "Experimental Subject (A)")</f>
        <v>Experimental Subject (A)</v>
      </c>
      <c r="H504" s="74" t="s">
        <v>1151</v>
      </c>
      <c r="I504" s="184" t="s">
        <v>1149</v>
      </c>
    </row>
    <row r="505" ht="22.5" customHeight="1">
      <c r="A505" s="287"/>
      <c r="B505" s="288"/>
      <c r="C505" s="288"/>
      <c r="D505" s="288"/>
      <c r="E505" s="198"/>
      <c r="F505" s="63" t="s">
        <v>132</v>
      </c>
      <c r="G505" s="96" t="str">
        <f>hyperlink("https://en.uesp.net/wiki/Skyrim:Experimental_Subject_(B)", "Experimental Subject (B)")</f>
        <v>Experimental Subject (B)</v>
      </c>
      <c r="H505" s="82" t="s">
        <v>1151</v>
      </c>
      <c r="I505" s="82" t="s">
        <v>1149</v>
      </c>
    </row>
    <row r="506" ht="22.5" customHeight="1">
      <c r="A506" s="287"/>
      <c r="B506" s="288"/>
      <c r="C506" s="288"/>
      <c r="D506" s="288"/>
      <c r="E506" s="198"/>
      <c r="F506" s="63" t="s">
        <v>132</v>
      </c>
      <c r="G506" s="96" t="str">
        <f>hyperlink("https://en.uesp.net/wiki/Skyrim:From_the_Ashes", "From the Ashes")</f>
        <v>From the Ashes</v>
      </c>
      <c r="H506" s="82" t="s">
        <v>1152</v>
      </c>
      <c r="I506" s="82" t="s">
        <v>1153</v>
      </c>
    </row>
    <row r="507" ht="22.5" customHeight="1">
      <c r="A507" s="287"/>
      <c r="B507" s="288"/>
      <c r="C507" s="288"/>
      <c r="D507" s="288"/>
      <c r="E507" s="198"/>
      <c r="F507" s="63" t="s">
        <v>132</v>
      </c>
      <c r="G507" s="96" t="str">
        <f>hyperlink("https://en.uesp.net/wiki/Skyrim:Healing_a_House", "Healing a House")</f>
        <v>Healing a House</v>
      </c>
      <c r="H507" s="82" t="s">
        <v>1154</v>
      </c>
      <c r="I507" s="82" t="s">
        <v>1155</v>
      </c>
    </row>
    <row r="508" ht="22.5" customHeight="1">
      <c r="A508" s="287"/>
      <c r="B508" s="288"/>
      <c r="C508" s="288"/>
      <c r="D508" s="288"/>
      <c r="E508" s="198"/>
      <c r="F508" s="63" t="s">
        <v>132</v>
      </c>
      <c r="G508" s="96" t="str">
        <f>hyperlink("https://en.uesp.net/wiki/Skyrim:Heart_Stones", "Heart Stones")</f>
        <v>Heart Stones</v>
      </c>
      <c r="H508" s="82" t="s">
        <v>1156</v>
      </c>
      <c r="I508" s="82" t="s">
        <v>1149</v>
      </c>
    </row>
    <row r="509" ht="22.5" customHeight="1">
      <c r="A509" s="287"/>
      <c r="B509" s="288"/>
      <c r="C509" s="288"/>
      <c r="D509" s="288"/>
      <c r="E509" s="198"/>
      <c r="F509" s="63" t="s">
        <v>132</v>
      </c>
      <c r="G509" s="96" t="str">
        <f>hyperlink("https://en.uesp.net/wiki/Skyrim:Hunting_and_Gathering", "Hunting and Gathering")</f>
        <v>Hunting and Gathering</v>
      </c>
      <c r="H509" s="82" t="s">
        <v>1157</v>
      </c>
      <c r="I509" s="82" t="s">
        <v>1155</v>
      </c>
    </row>
    <row r="510" ht="22.5" customHeight="1">
      <c r="A510" s="287"/>
      <c r="B510" s="288"/>
      <c r="C510" s="288"/>
      <c r="D510" s="288"/>
      <c r="E510" s="198"/>
      <c r="F510" s="63" t="s">
        <v>132</v>
      </c>
      <c r="G510" s="96" t="str">
        <f>hyperlink("https://en.uesp.net/wiki/Skyrim:Lost_Knowledge", "Lost Knowledge")</f>
        <v>Lost Knowledge</v>
      </c>
      <c r="H510" s="82" t="s">
        <v>1158</v>
      </c>
      <c r="I510" s="82" t="s">
        <v>1149</v>
      </c>
    </row>
    <row r="511" ht="22.5" customHeight="1">
      <c r="A511" s="287"/>
      <c r="B511" s="288"/>
      <c r="C511" s="288"/>
      <c r="D511" s="288"/>
      <c r="E511" s="198"/>
      <c r="F511" s="63" t="s">
        <v>132</v>
      </c>
      <c r="G511" s="96" t="str">
        <f>hyperlink("https://en.uesp.net/wiki/Skyrim:Old_Friends", "Old Friends")</f>
        <v>Old Friends</v>
      </c>
      <c r="H511" s="82" t="s">
        <v>1159</v>
      </c>
      <c r="I511" s="82" t="s">
        <v>1149</v>
      </c>
    </row>
    <row r="512" ht="22.5" customHeight="1">
      <c r="A512" s="287"/>
      <c r="B512" s="288"/>
      <c r="C512" s="288"/>
      <c r="D512" s="288"/>
      <c r="E512" s="198"/>
      <c r="F512" s="63" t="s">
        <v>132</v>
      </c>
      <c r="G512" s="96" t="str">
        <f>hyperlink("https://en.uesp.net/wiki/Skyrim:Reluctant_Steward", "Reluctant Steward")</f>
        <v>Reluctant Steward</v>
      </c>
      <c r="H512" s="82" t="s">
        <v>1160</v>
      </c>
      <c r="I512" s="82" t="s">
        <v>1149</v>
      </c>
    </row>
    <row r="513" ht="22.5" customHeight="1">
      <c r="A513" s="287"/>
      <c r="B513" s="288"/>
      <c r="C513" s="288"/>
      <c r="D513" s="288"/>
      <c r="E513" s="198"/>
      <c r="F513" s="63" t="s">
        <v>132</v>
      </c>
      <c r="G513" s="96" t="str">
        <f>hyperlink("https://en.uesp.net/wiki/Skyrim:Telvanni_Research", "Telvanni Research")</f>
        <v>Telvanni Research</v>
      </c>
      <c r="H513" s="82" t="s">
        <v>1161</v>
      </c>
      <c r="I513" s="82" t="s">
        <v>1149</v>
      </c>
    </row>
    <row r="514" ht="22.5" customHeight="1">
      <c r="A514" s="290"/>
      <c r="B514" s="291"/>
      <c r="C514" s="291"/>
      <c r="D514" s="291"/>
      <c r="E514" s="198"/>
      <c r="F514" s="63" t="s">
        <v>132</v>
      </c>
      <c r="G514" s="96" t="str">
        <f>hyperlink("https://en.uesp.net/wiki/Skyrim:Wind_and_Sand", "Wind and Sand")</f>
        <v>Wind and Sand</v>
      </c>
      <c r="H514" s="82" t="s">
        <v>1162</v>
      </c>
      <c r="I514" s="82" t="s">
        <v>1149</v>
      </c>
    </row>
    <row r="515" ht="22.5" customHeight="1">
      <c r="A515" s="292"/>
      <c r="B515" s="88"/>
      <c r="C515" s="88"/>
      <c r="D515" s="88"/>
      <c r="E515" s="88"/>
      <c r="F515" s="88"/>
      <c r="G515" s="88"/>
      <c r="H515" s="88"/>
      <c r="I515" s="89"/>
    </row>
    <row r="516" ht="22.5" customHeight="1">
      <c r="A516" s="90"/>
      <c r="B516" s="91"/>
      <c r="C516" s="91"/>
      <c r="D516" s="91"/>
      <c r="E516" s="91"/>
      <c r="F516" s="91"/>
      <c r="G516" s="91"/>
      <c r="H516" s="91"/>
      <c r="I516" s="72"/>
    </row>
    <row r="517" ht="22.5" customHeight="1">
      <c r="A517" s="281" t="s">
        <v>1163</v>
      </c>
      <c r="B517" s="88"/>
      <c r="C517" s="88"/>
      <c r="D517" s="88"/>
      <c r="E517" s="88"/>
      <c r="F517" s="88"/>
      <c r="G517" s="88"/>
      <c r="H517" s="88"/>
      <c r="I517" s="89"/>
    </row>
    <row r="518" ht="22.5" customHeight="1">
      <c r="A518" s="147"/>
      <c r="I518" s="148"/>
    </row>
    <row r="519" ht="22.5" customHeight="1">
      <c r="A519" s="293" t="s">
        <v>127</v>
      </c>
      <c r="B519" s="294"/>
      <c r="C519" s="294"/>
      <c r="D519" s="294"/>
      <c r="E519" s="294"/>
      <c r="F519" s="294"/>
      <c r="G519" s="294"/>
      <c r="H519" s="294"/>
      <c r="I519" s="295">
        <f>((countif(A521:A623,"Y")+countif(F521:F606,"Y"))/((countif(A521:A623,"Y")+countif(F521:F606,"Y")+(countif(A521:A623,"N")+countif(F521:F606,"N")))))</f>
        <v>0</v>
      </c>
    </row>
    <row r="520" ht="22.5" customHeight="1">
      <c r="A520" s="272"/>
      <c r="B520" s="273" t="s">
        <v>128</v>
      </c>
      <c r="C520" s="203" t="s">
        <v>129</v>
      </c>
      <c r="D520" s="76" t="s">
        <v>130</v>
      </c>
      <c r="E520" s="198"/>
      <c r="F520" s="274"/>
      <c r="G520" s="273" t="s">
        <v>128</v>
      </c>
      <c r="H520" s="203" t="s">
        <v>129</v>
      </c>
      <c r="I520" s="76" t="s">
        <v>130</v>
      </c>
    </row>
    <row r="521" ht="22.5" customHeight="1">
      <c r="A521" s="296" t="s">
        <v>1164</v>
      </c>
      <c r="B521" s="38"/>
      <c r="C521" s="38"/>
      <c r="D521" s="39"/>
      <c r="E521" s="198"/>
      <c r="F521" s="296" t="s">
        <v>1165</v>
      </c>
      <c r="G521" s="38"/>
      <c r="H521" s="38"/>
      <c r="I521" s="39"/>
    </row>
    <row r="522" ht="22.5" customHeight="1">
      <c r="A522" s="297" t="s">
        <v>1166</v>
      </c>
      <c r="B522" s="38"/>
      <c r="C522" s="38"/>
      <c r="D522" s="39"/>
      <c r="E522" s="198"/>
      <c r="F522" s="63" t="s">
        <v>132</v>
      </c>
      <c r="G522" s="286" t="s">
        <v>1167</v>
      </c>
      <c r="H522" s="81" t="s">
        <v>1168</v>
      </c>
      <c r="I522" s="81" t="s">
        <v>1169</v>
      </c>
    </row>
    <row r="523" ht="22.5" customHeight="1">
      <c r="A523" s="296" t="s">
        <v>1170</v>
      </c>
      <c r="B523" s="38"/>
      <c r="C523" s="38"/>
      <c r="D523" s="39"/>
      <c r="E523" s="198"/>
      <c r="F523" s="296" t="s">
        <v>1171</v>
      </c>
      <c r="G523" s="38"/>
      <c r="H523" s="38"/>
      <c r="I523" s="39"/>
    </row>
    <row r="524" ht="22.5" customHeight="1">
      <c r="A524" s="63" t="s">
        <v>132</v>
      </c>
      <c r="B524" s="286" t="s">
        <v>1172</v>
      </c>
      <c r="C524" s="81" t="s">
        <v>1173</v>
      </c>
      <c r="D524" s="81" t="s">
        <v>1174</v>
      </c>
      <c r="E524" s="198"/>
      <c r="F524" s="63" t="s">
        <v>132</v>
      </c>
      <c r="G524" s="286" t="s">
        <v>1175</v>
      </c>
      <c r="H524" s="81" t="s">
        <v>1176</v>
      </c>
      <c r="I524" s="81" t="s">
        <v>1177</v>
      </c>
    </row>
    <row r="525" ht="22.5" customHeight="1">
      <c r="A525" s="296" t="s">
        <v>1178</v>
      </c>
      <c r="B525" s="38"/>
      <c r="C525" s="38"/>
      <c r="D525" s="39"/>
      <c r="E525" s="198"/>
      <c r="F525" s="296" t="s">
        <v>1179</v>
      </c>
      <c r="G525" s="38"/>
      <c r="H525" s="38"/>
      <c r="I525" s="39"/>
    </row>
    <row r="526" ht="22.5" customHeight="1">
      <c r="A526" s="63" t="s">
        <v>132</v>
      </c>
      <c r="B526" s="298" t="s">
        <v>1180</v>
      </c>
      <c r="C526" s="217" t="s">
        <v>1181</v>
      </c>
      <c r="D526" s="217" t="s">
        <v>1182</v>
      </c>
      <c r="E526" s="198"/>
      <c r="F526" s="63" t="s">
        <v>132</v>
      </c>
      <c r="G526" s="286" t="s">
        <v>1183</v>
      </c>
      <c r="H526" s="81" t="s">
        <v>1184</v>
      </c>
      <c r="I526" s="81" t="s">
        <v>1185</v>
      </c>
    </row>
    <row r="527" ht="22.5" customHeight="1">
      <c r="A527" s="63" t="s">
        <v>132</v>
      </c>
      <c r="B527" s="298" t="s">
        <v>1186</v>
      </c>
      <c r="C527" s="217" t="s">
        <v>1187</v>
      </c>
      <c r="D527" s="217" t="s">
        <v>1188</v>
      </c>
      <c r="E527" s="198"/>
      <c r="F527" s="296" t="s">
        <v>1189</v>
      </c>
      <c r="G527" s="38"/>
      <c r="H527" s="38"/>
      <c r="I527" s="39"/>
    </row>
    <row r="528" ht="22.5" customHeight="1">
      <c r="A528" s="296" t="s">
        <v>1190</v>
      </c>
      <c r="B528" s="38"/>
      <c r="C528" s="38"/>
      <c r="D528" s="39"/>
      <c r="E528" s="198"/>
      <c r="F528" s="63" t="s">
        <v>132</v>
      </c>
      <c r="G528" s="286" t="s">
        <v>1191</v>
      </c>
      <c r="H528" s="81" t="s">
        <v>1192</v>
      </c>
      <c r="I528" s="81" t="s">
        <v>1193</v>
      </c>
    </row>
    <row r="529" ht="22.5" customHeight="1">
      <c r="A529" s="63" t="s">
        <v>132</v>
      </c>
      <c r="B529" s="298" t="s">
        <v>1194</v>
      </c>
      <c r="C529" s="217" t="s">
        <v>1195</v>
      </c>
      <c r="D529" s="217" t="s">
        <v>1196</v>
      </c>
      <c r="E529" s="299"/>
      <c r="F529" s="296" t="s">
        <v>1197</v>
      </c>
      <c r="G529" s="38"/>
      <c r="H529" s="38"/>
      <c r="I529" s="39"/>
    </row>
    <row r="530" ht="22.5" customHeight="1">
      <c r="A530" s="296" t="s">
        <v>1198</v>
      </c>
      <c r="B530" s="38"/>
      <c r="C530" s="38"/>
      <c r="D530" s="39"/>
      <c r="E530" s="299"/>
      <c r="F530" s="63" t="s">
        <v>132</v>
      </c>
      <c r="G530" s="286" t="s">
        <v>1199</v>
      </c>
      <c r="H530" s="81" t="s">
        <v>1200</v>
      </c>
      <c r="I530" s="81" t="s">
        <v>1201</v>
      </c>
    </row>
    <row r="531" ht="22.5" customHeight="1">
      <c r="A531" s="63" t="s">
        <v>132</v>
      </c>
      <c r="B531" s="298" t="s">
        <v>1202</v>
      </c>
      <c r="C531" s="217" t="s">
        <v>1203</v>
      </c>
      <c r="D531" s="217" t="s">
        <v>1204</v>
      </c>
      <c r="E531" s="299"/>
      <c r="F531" s="296" t="s">
        <v>1205</v>
      </c>
      <c r="G531" s="38"/>
      <c r="H531" s="38"/>
      <c r="I531" s="39"/>
    </row>
    <row r="532" ht="22.5" customHeight="1">
      <c r="A532" s="63" t="s">
        <v>132</v>
      </c>
      <c r="B532" s="298" t="s">
        <v>1206</v>
      </c>
      <c r="C532" s="217" t="s">
        <v>1207</v>
      </c>
      <c r="D532" s="217" t="s">
        <v>1204</v>
      </c>
      <c r="E532" s="299"/>
      <c r="F532" s="63" t="s">
        <v>132</v>
      </c>
      <c r="G532" s="286" t="s">
        <v>1208</v>
      </c>
      <c r="H532" s="81" t="s">
        <v>1209</v>
      </c>
      <c r="I532" s="81" t="s">
        <v>1210</v>
      </c>
    </row>
    <row r="533" ht="22.5" customHeight="1">
      <c r="A533" s="296" t="s">
        <v>1211</v>
      </c>
      <c r="B533" s="38"/>
      <c r="C533" s="38"/>
      <c r="D533" s="39"/>
      <c r="E533" s="299"/>
      <c r="F533" s="296" t="s">
        <v>1212</v>
      </c>
      <c r="G533" s="38"/>
      <c r="H533" s="38"/>
      <c r="I533" s="39"/>
    </row>
    <row r="534" ht="22.5" customHeight="1">
      <c r="A534" s="63" t="s">
        <v>132</v>
      </c>
      <c r="B534" s="298" t="s">
        <v>1213</v>
      </c>
      <c r="C534" s="217" t="s">
        <v>1214</v>
      </c>
      <c r="D534" s="217" t="s">
        <v>1215</v>
      </c>
      <c r="E534" s="299"/>
      <c r="F534" s="63" t="s">
        <v>132</v>
      </c>
      <c r="G534" s="286" t="s">
        <v>1216</v>
      </c>
      <c r="H534" s="81" t="s">
        <v>1217</v>
      </c>
      <c r="I534" s="81" t="s">
        <v>1218</v>
      </c>
    </row>
    <row r="535" ht="22.5" customHeight="1">
      <c r="A535" s="296" t="s">
        <v>1219</v>
      </c>
      <c r="B535" s="38"/>
      <c r="C535" s="38"/>
      <c r="D535" s="39"/>
      <c r="E535" s="299"/>
      <c r="F535" s="296" t="s">
        <v>1220</v>
      </c>
      <c r="G535" s="38"/>
      <c r="H535" s="38"/>
      <c r="I535" s="39"/>
    </row>
    <row r="536" ht="22.5" customHeight="1">
      <c r="A536" s="63" t="s">
        <v>132</v>
      </c>
      <c r="B536" s="298" t="s">
        <v>1221</v>
      </c>
      <c r="C536" s="217" t="s">
        <v>1222</v>
      </c>
      <c r="D536" s="217" t="s">
        <v>1223</v>
      </c>
      <c r="E536" s="299"/>
      <c r="F536" s="63" t="s">
        <v>132</v>
      </c>
      <c r="G536" s="286" t="s">
        <v>1224</v>
      </c>
      <c r="H536" s="81" t="s">
        <v>1225</v>
      </c>
      <c r="I536" s="81" t="s">
        <v>1226</v>
      </c>
    </row>
    <row r="537" ht="22.5" customHeight="1">
      <c r="A537" s="296" t="s">
        <v>1227</v>
      </c>
      <c r="B537" s="38"/>
      <c r="C537" s="38"/>
      <c r="D537" s="39"/>
      <c r="E537" s="299"/>
      <c r="F537" s="296" t="s">
        <v>1228</v>
      </c>
      <c r="G537" s="38"/>
      <c r="H537" s="38"/>
      <c r="I537" s="39"/>
    </row>
    <row r="538" ht="22.5" customHeight="1">
      <c r="A538" s="63" t="s">
        <v>132</v>
      </c>
      <c r="B538" s="298" t="s">
        <v>1229</v>
      </c>
      <c r="C538" s="217" t="s">
        <v>1230</v>
      </c>
      <c r="D538" s="217" t="s">
        <v>1231</v>
      </c>
      <c r="E538" s="299"/>
      <c r="F538" s="63" t="s">
        <v>132</v>
      </c>
      <c r="G538" s="286" t="s">
        <v>1232</v>
      </c>
      <c r="H538" s="81" t="s">
        <v>1233</v>
      </c>
      <c r="I538" s="81" t="s">
        <v>1234</v>
      </c>
    </row>
    <row r="539" ht="22.5" customHeight="1">
      <c r="A539" s="296" t="s">
        <v>1235</v>
      </c>
      <c r="B539" s="38"/>
      <c r="C539" s="38"/>
      <c r="D539" s="39"/>
      <c r="E539" s="299"/>
      <c r="F539" s="63" t="s">
        <v>132</v>
      </c>
      <c r="G539" s="286" t="s">
        <v>1236</v>
      </c>
      <c r="H539" s="81" t="s">
        <v>1237</v>
      </c>
      <c r="I539" s="81" t="s">
        <v>1238</v>
      </c>
    </row>
    <row r="540" ht="22.5" customHeight="1">
      <c r="A540" s="63" t="s">
        <v>132</v>
      </c>
      <c r="B540" s="298" t="s">
        <v>1239</v>
      </c>
      <c r="C540" s="217" t="s">
        <v>1240</v>
      </c>
      <c r="D540" s="217" t="s">
        <v>1241</v>
      </c>
      <c r="E540" s="299"/>
      <c r="F540" s="63" t="s">
        <v>132</v>
      </c>
      <c r="G540" s="286" t="s">
        <v>1242</v>
      </c>
      <c r="H540" s="81" t="s">
        <v>1243</v>
      </c>
      <c r="I540" s="81" t="s">
        <v>1244</v>
      </c>
    </row>
    <row r="541" ht="22.5" customHeight="1">
      <c r="A541" s="296" t="s">
        <v>1245</v>
      </c>
      <c r="B541" s="38"/>
      <c r="C541" s="38"/>
      <c r="D541" s="39"/>
      <c r="E541" s="299"/>
      <c r="F541" s="296" t="s">
        <v>1246</v>
      </c>
      <c r="G541" s="38"/>
      <c r="H541" s="38"/>
      <c r="I541" s="39"/>
    </row>
    <row r="542" ht="22.5" customHeight="1">
      <c r="A542" s="63" t="s">
        <v>132</v>
      </c>
      <c r="B542" s="298" t="s">
        <v>1247</v>
      </c>
      <c r="C542" s="217" t="s">
        <v>1248</v>
      </c>
      <c r="D542" s="217" t="s">
        <v>765</v>
      </c>
      <c r="E542" s="299"/>
      <c r="F542" s="63" t="s">
        <v>132</v>
      </c>
      <c r="G542" s="286" t="s">
        <v>1249</v>
      </c>
      <c r="H542" s="81" t="s">
        <v>1250</v>
      </c>
      <c r="I542" s="81" t="s">
        <v>1251</v>
      </c>
    </row>
    <row r="543" ht="22.5" customHeight="1">
      <c r="A543" s="296" t="s">
        <v>1252</v>
      </c>
      <c r="B543" s="38"/>
      <c r="C543" s="38"/>
      <c r="D543" s="39"/>
      <c r="E543" s="299"/>
      <c r="F543" s="296" t="s">
        <v>1253</v>
      </c>
      <c r="G543" s="38"/>
      <c r="H543" s="38"/>
      <c r="I543" s="39"/>
    </row>
    <row r="544" ht="22.5" customHeight="1">
      <c r="A544" s="63" t="s">
        <v>132</v>
      </c>
      <c r="B544" s="298" t="s">
        <v>1254</v>
      </c>
      <c r="C544" s="217" t="s">
        <v>1255</v>
      </c>
      <c r="D544" s="217" t="s">
        <v>1256</v>
      </c>
      <c r="E544" s="299"/>
      <c r="F544" s="63" t="s">
        <v>132</v>
      </c>
      <c r="G544" s="286" t="s">
        <v>1257</v>
      </c>
      <c r="H544" s="81" t="s">
        <v>1258</v>
      </c>
      <c r="I544" s="81" t="s">
        <v>1259</v>
      </c>
    </row>
    <row r="545" ht="22.5" customHeight="1">
      <c r="A545" s="296" t="s">
        <v>1260</v>
      </c>
      <c r="B545" s="38"/>
      <c r="C545" s="38"/>
      <c r="D545" s="39"/>
      <c r="E545" s="299"/>
      <c r="F545" s="296" t="s">
        <v>1261</v>
      </c>
      <c r="G545" s="38"/>
      <c r="H545" s="38"/>
      <c r="I545" s="39"/>
    </row>
    <row r="546" ht="22.5" customHeight="1">
      <c r="A546" s="297" t="s">
        <v>1166</v>
      </c>
      <c r="B546" s="38"/>
      <c r="C546" s="38"/>
      <c r="D546" s="39"/>
      <c r="E546" s="299"/>
      <c r="F546" s="63" t="s">
        <v>132</v>
      </c>
      <c r="G546" s="286" t="s">
        <v>1262</v>
      </c>
      <c r="H546" s="81" t="s">
        <v>1263</v>
      </c>
      <c r="I546" s="81" t="s">
        <v>1264</v>
      </c>
    </row>
    <row r="547" ht="22.5" customHeight="1">
      <c r="A547" s="296" t="s">
        <v>1265</v>
      </c>
      <c r="B547" s="38"/>
      <c r="C547" s="38"/>
      <c r="D547" s="39"/>
      <c r="E547" s="299"/>
      <c r="F547" s="63" t="s">
        <v>132</v>
      </c>
      <c r="G547" s="286" t="s">
        <v>1266</v>
      </c>
      <c r="H547" s="81" t="s">
        <v>1267</v>
      </c>
      <c r="I547" s="81" t="s">
        <v>1268</v>
      </c>
    </row>
    <row r="548" ht="22.5" customHeight="1">
      <c r="A548" s="297" t="s">
        <v>1166</v>
      </c>
      <c r="B548" s="38"/>
      <c r="C548" s="38"/>
      <c r="D548" s="39"/>
      <c r="E548" s="299"/>
      <c r="F548" s="296" t="s">
        <v>1269</v>
      </c>
      <c r="G548" s="38"/>
      <c r="H548" s="38"/>
      <c r="I548" s="39"/>
    </row>
    <row r="549" ht="22.5" customHeight="1">
      <c r="A549" s="296" t="s">
        <v>1270</v>
      </c>
      <c r="B549" s="38"/>
      <c r="C549" s="38"/>
      <c r="D549" s="39"/>
      <c r="E549" s="299"/>
      <c r="F549" s="297" t="s">
        <v>1166</v>
      </c>
      <c r="G549" s="38"/>
      <c r="H549" s="38"/>
      <c r="I549" s="39"/>
    </row>
    <row r="550" ht="22.5" customHeight="1">
      <c r="A550" s="63" t="s">
        <v>132</v>
      </c>
      <c r="B550" s="298" t="s">
        <v>1271</v>
      </c>
      <c r="C550" s="217" t="s">
        <v>1272</v>
      </c>
      <c r="D550" s="217" t="s">
        <v>1273</v>
      </c>
      <c r="E550" s="299"/>
      <c r="F550" s="296" t="s">
        <v>1274</v>
      </c>
      <c r="G550" s="38"/>
      <c r="H550" s="38"/>
      <c r="I550" s="39"/>
    </row>
    <row r="551" ht="22.5" customHeight="1">
      <c r="A551" s="296" t="s">
        <v>1275</v>
      </c>
      <c r="B551" s="38"/>
      <c r="C551" s="38"/>
      <c r="D551" s="39"/>
      <c r="E551" s="299"/>
      <c r="F551" s="63" t="s">
        <v>132</v>
      </c>
      <c r="G551" s="286" t="s">
        <v>1276</v>
      </c>
      <c r="H551" s="81" t="s">
        <v>1277</v>
      </c>
      <c r="I551" s="81" t="s">
        <v>1278</v>
      </c>
    </row>
    <row r="552" ht="22.5" customHeight="1">
      <c r="A552" s="63" t="s">
        <v>132</v>
      </c>
      <c r="B552" s="298" t="s">
        <v>1279</v>
      </c>
      <c r="C552" s="217" t="s">
        <v>1280</v>
      </c>
      <c r="D552" s="217" t="s">
        <v>1281</v>
      </c>
      <c r="E552" s="299"/>
      <c r="F552" s="296" t="s">
        <v>1282</v>
      </c>
      <c r="G552" s="38"/>
      <c r="H552" s="38"/>
      <c r="I552" s="39"/>
    </row>
    <row r="553" ht="22.5" customHeight="1">
      <c r="A553" s="296" t="s">
        <v>1283</v>
      </c>
      <c r="B553" s="38"/>
      <c r="C553" s="38"/>
      <c r="D553" s="39"/>
      <c r="E553" s="299"/>
      <c r="F553" s="63" t="s">
        <v>132</v>
      </c>
      <c r="G553" s="286" t="s">
        <v>1282</v>
      </c>
      <c r="H553" s="81" t="s">
        <v>1284</v>
      </c>
      <c r="I553" s="81" t="s">
        <v>1285</v>
      </c>
    </row>
    <row r="554" ht="22.5" customHeight="1">
      <c r="A554" s="297" t="s">
        <v>1166</v>
      </c>
      <c r="B554" s="38"/>
      <c r="C554" s="38"/>
      <c r="D554" s="39"/>
      <c r="E554" s="299"/>
      <c r="F554" s="63" t="s">
        <v>132</v>
      </c>
      <c r="G554" s="286" t="s">
        <v>1286</v>
      </c>
      <c r="H554" s="81" t="s">
        <v>1287</v>
      </c>
      <c r="I554" s="81" t="s">
        <v>1288</v>
      </c>
    </row>
    <row r="555" ht="22.5" customHeight="1">
      <c r="A555" s="296" t="s">
        <v>1289</v>
      </c>
      <c r="B555" s="38"/>
      <c r="C555" s="38"/>
      <c r="D555" s="39"/>
      <c r="E555" s="299"/>
      <c r="F555" s="63" t="s">
        <v>132</v>
      </c>
      <c r="G555" s="286" t="s">
        <v>1290</v>
      </c>
      <c r="H555" s="81" t="s">
        <v>1291</v>
      </c>
      <c r="I555" s="81" t="s">
        <v>1292</v>
      </c>
    </row>
    <row r="556" ht="22.5" customHeight="1">
      <c r="A556" s="63" t="s">
        <v>132</v>
      </c>
      <c r="B556" s="298" t="s">
        <v>1289</v>
      </c>
      <c r="C556" s="217" t="s">
        <v>1293</v>
      </c>
      <c r="D556" s="217" t="s">
        <v>1294</v>
      </c>
      <c r="E556" s="299"/>
      <c r="F556" s="63" t="s">
        <v>132</v>
      </c>
      <c r="G556" s="286" t="s">
        <v>1295</v>
      </c>
      <c r="H556" s="81" t="s">
        <v>1296</v>
      </c>
      <c r="I556" s="81" t="s">
        <v>1297</v>
      </c>
    </row>
    <row r="557" ht="22.5" customHeight="1">
      <c r="A557" s="296" t="s">
        <v>1298</v>
      </c>
      <c r="B557" s="38"/>
      <c r="C557" s="38"/>
      <c r="D557" s="39"/>
      <c r="E557" s="299"/>
      <c r="F557" s="63" t="s">
        <v>132</v>
      </c>
      <c r="G557" s="286" t="s">
        <v>1299</v>
      </c>
      <c r="H557" s="81" t="s">
        <v>1300</v>
      </c>
      <c r="I557" s="81" t="s">
        <v>1297</v>
      </c>
    </row>
    <row r="558" ht="22.5" customHeight="1">
      <c r="A558" s="63" t="s">
        <v>132</v>
      </c>
      <c r="B558" s="298" t="s">
        <v>1301</v>
      </c>
      <c r="C558" s="217" t="s">
        <v>1302</v>
      </c>
      <c r="D558" s="217" t="s">
        <v>1303</v>
      </c>
      <c r="E558" s="299"/>
      <c r="F558" s="63" t="s">
        <v>132</v>
      </c>
      <c r="G558" s="286" t="s">
        <v>1304</v>
      </c>
      <c r="H558" s="81" t="s">
        <v>1305</v>
      </c>
      <c r="I558" s="81" t="s">
        <v>1297</v>
      </c>
    </row>
    <row r="559" ht="22.5" customHeight="1">
      <c r="A559" s="296" t="s">
        <v>1306</v>
      </c>
      <c r="B559" s="38"/>
      <c r="C559" s="38"/>
      <c r="D559" s="39"/>
      <c r="E559" s="299"/>
      <c r="F559" s="296" t="s">
        <v>1307</v>
      </c>
      <c r="G559" s="38"/>
      <c r="H559" s="38"/>
      <c r="I559" s="39"/>
    </row>
    <row r="560" ht="22.5" customHeight="1">
      <c r="A560" s="63" t="s">
        <v>132</v>
      </c>
      <c r="B560" s="298" t="s">
        <v>1306</v>
      </c>
      <c r="C560" s="217" t="s">
        <v>1308</v>
      </c>
      <c r="D560" s="217" t="s">
        <v>1309</v>
      </c>
      <c r="E560" s="299"/>
      <c r="F560" s="63" t="s">
        <v>132</v>
      </c>
      <c r="G560" s="286" t="s">
        <v>1310</v>
      </c>
      <c r="H560" s="81" t="s">
        <v>1311</v>
      </c>
      <c r="I560" s="81" t="s">
        <v>1312</v>
      </c>
    </row>
    <row r="561" ht="22.5" customHeight="1">
      <c r="A561" s="296" t="s">
        <v>1313</v>
      </c>
      <c r="B561" s="38"/>
      <c r="C561" s="38"/>
      <c r="D561" s="39"/>
      <c r="E561" s="299"/>
      <c r="F561" s="296" t="s">
        <v>1314</v>
      </c>
      <c r="G561" s="38"/>
      <c r="H561" s="38"/>
      <c r="I561" s="39"/>
    </row>
    <row r="562" ht="22.5" customHeight="1">
      <c r="A562" s="297" t="s">
        <v>1166</v>
      </c>
      <c r="B562" s="38"/>
      <c r="C562" s="38"/>
      <c r="D562" s="39"/>
      <c r="E562" s="299"/>
      <c r="F562" s="63" t="s">
        <v>132</v>
      </c>
      <c r="G562" s="286" t="s">
        <v>1315</v>
      </c>
      <c r="H562" s="81" t="s">
        <v>1316</v>
      </c>
      <c r="I562" s="81" t="s">
        <v>1317</v>
      </c>
    </row>
    <row r="563" ht="22.5" customHeight="1">
      <c r="A563" s="296" t="s">
        <v>1318</v>
      </c>
      <c r="B563" s="38"/>
      <c r="C563" s="38"/>
      <c r="D563" s="39"/>
      <c r="E563" s="299"/>
      <c r="F563" s="296" t="s">
        <v>1319</v>
      </c>
      <c r="G563" s="38"/>
      <c r="H563" s="38"/>
      <c r="I563" s="39"/>
    </row>
    <row r="564" ht="22.5" customHeight="1">
      <c r="A564" s="63" t="s">
        <v>132</v>
      </c>
      <c r="B564" s="298" t="s">
        <v>1320</v>
      </c>
      <c r="C564" s="217" t="s">
        <v>1321</v>
      </c>
      <c r="D564" s="217" t="s">
        <v>1322</v>
      </c>
      <c r="E564" s="299"/>
      <c r="F564" s="297" t="s">
        <v>1166</v>
      </c>
      <c r="G564" s="38"/>
      <c r="H564" s="38"/>
      <c r="I564" s="39"/>
    </row>
    <row r="565" ht="22.5" customHeight="1">
      <c r="A565" s="296" t="s">
        <v>1323</v>
      </c>
      <c r="B565" s="38"/>
      <c r="C565" s="38"/>
      <c r="D565" s="39"/>
      <c r="E565" s="299"/>
      <c r="F565" s="296" t="s">
        <v>1324</v>
      </c>
      <c r="G565" s="38"/>
      <c r="H565" s="38"/>
      <c r="I565" s="39"/>
    </row>
    <row r="566" ht="22.5" customHeight="1">
      <c r="A566" s="63" t="s">
        <v>132</v>
      </c>
      <c r="B566" s="298" t="s">
        <v>1325</v>
      </c>
      <c r="C566" s="217" t="s">
        <v>1326</v>
      </c>
      <c r="D566" s="217" t="s">
        <v>1327</v>
      </c>
      <c r="E566" s="299"/>
      <c r="F566" s="297" t="s">
        <v>1166</v>
      </c>
      <c r="G566" s="38"/>
      <c r="H566" s="38"/>
      <c r="I566" s="39"/>
    </row>
    <row r="567" ht="22.5" customHeight="1">
      <c r="A567" s="296" t="s">
        <v>1328</v>
      </c>
      <c r="B567" s="38"/>
      <c r="C567" s="38"/>
      <c r="D567" s="39"/>
      <c r="E567" s="299"/>
      <c r="F567" s="296" t="s">
        <v>1329</v>
      </c>
      <c r="G567" s="38"/>
      <c r="H567" s="38"/>
      <c r="I567" s="39"/>
    </row>
    <row r="568" ht="22.5" customHeight="1">
      <c r="A568" s="63" t="s">
        <v>132</v>
      </c>
      <c r="B568" s="298" t="s">
        <v>1330</v>
      </c>
      <c r="C568" s="217" t="s">
        <v>1331</v>
      </c>
      <c r="D568" s="217" t="s">
        <v>1332</v>
      </c>
      <c r="E568" s="299"/>
      <c r="F568" s="63" t="s">
        <v>132</v>
      </c>
      <c r="G568" s="286" t="s">
        <v>1333</v>
      </c>
      <c r="H568" s="81" t="s">
        <v>1334</v>
      </c>
      <c r="I568" s="81" t="s">
        <v>1335</v>
      </c>
    </row>
    <row r="569" ht="22.5" customHeight="1">
      <c r="A569" s="63" t="s">
        <v>132</v>
      </c>
      <c r="B569" s="298" t="s">
        <v>1336</v>
      </c>
      <c r="C569" s="217" t="s">
        <v>1337</v>
      </c>
      <c r="D569" s="217" t="s">
        <v>1332</v>
      </c>
      <c r="E569" s="299"/>
      <c r="F569" s="296" t="s">
        <v>1338</v>
      </c>
      <c r="G569" s="38"/>
      <c r="H569" s="38"/>
      <c r="I569" s="39"/>
    </row>
    <row r="570" ht="22.5" customHeight="1">
      <c r="A570" s="296" t="s">
        <v>1339</v>
      </c>
      <c r="B570" s="38"/>
      <c r="C570" s="38"/>
      <c r="D570" s="39"/>
      <c r="E570" s="299"/>
      <c r="F570" s="297" t="s">
        <v>1166</v>
      </c>
      <c r="G570" s="38"/>
      <c r="H570" s="38"/>
      <c r="I570" s="39"/>
    </row>
    <row r="571" ht="22.5" customHeight="1">
      <c r="A571" s="63" t="s">
        <v>132</v>
      </c>
      <c r="B571" s="298" t="s">
        <v>1340</v>
      </c>
      <c r="C571" s="217" t="s">
        <v>1341</v>
      </c>
      <c r="D571" s="217" t="s">
        <v>1342</v>
      </c>
      <c r="E571" s="299"/>
      <c r="F571" s="296" t="s">
        <v>1343</v>
      </c>
      <c r="G571" s="38"/>
      <c r="H571" s="38"/>
      <c r="I571" s="39"/>
    </row>
    <row r="572" ht="22.5" customHeight="1">
      <c r="A572" s="296" t="s">
        <v>1344</v>
      </c>
      <c r="B572" s="38"/>
      <c r="C572" s="38"/>
      <c r="D572" s="39"/>
      <c r="E572" s="299"/>
      <c r="F572" s="63" t="s">
        <v>132</v>
      </c>
      <c r="G572" s="286" t="s">
        <v>1345</v>
      </c>
      <c r="H572" s="81" t="s">
        <v>1346</v>
      </c>
      <c r="I572" s="81" t="s">
        <v>1347</v>
      </c>
    </row>
    <row r="573" ht="22.5" customHeight="1">
      <c r="A573" s="63" t="s">
        <v>132</v>
      </c>
      <c r="B573" s="298" t="s">
        <v>1348</v>
      </c>
      <c r="C573" s="217" t="s">
        <v>1349</v>
      </c>
      <c r="D573" s="217" t="s">
        <v>1350</v>
      </c>
      <c r="E573" s="299"/>
      <c r="F573" s="296" t="s">
        <v>1351</v>
      </c>
      <c r="G573" s="38"/>
      <c r="H573" s="38"/>
      <c r="I573" s="39"/>
    </row>
    <row r="574" ht="22.5" customHeight="1">
      <c r="A574" s="296" t="s">
        <v>1352</v>
      </c>
      <c r="B574" s="38"/>
      <c r="C574" s="38"/>
      <c r="D574" s="39"/>
      <c r="E574" s="299"/>
      <c r="F574" s="297" t="s">
        <v>1166</v>
      </c>
      <c r="G574" s="38"/>
      <c r="H574" s="38"/>
      <c r="I574" s="39"/>
    </row>
    <row r="575" ht="22.5" customHeight="1">
      <c r="A575" s="63" t="s">
        <v>132</v>
      </c>
      <c r="B575" s="286" t="s">
        <v>1353</v>
      </c>
      <c r="C575" s="81" t="s">
        <v>1354</v>
      </c>
      <c r="D575" s="81" t="s">
        <v>1355</v>
      </c>
      <c r="E575" s="299"/>
      <c r="F575" s="296" t="s">
        <v>1356</v>
      </c>
      <c r="G575" s="38"/>
      <c r="H575" s="38"/>
      <c r="I575" s="39"/>
    </row>
    <row r="576" ht="22.5" customHeight="1">
      <c r="A576" s="63" t="s">
        <v>132</v>
      </c>
      <c r="B576" s="298" t="s">
        <v>1352</v>
      </c>
      <c r="C576" s="217" t="s">
        <v>1357</v>
      </c>
      <c r="D576" s="217" t="s">
        <v>1358</v>
      </c>
      <c r="E576" s="299"/>
      <c r="F576" s="63" t="s">
        <v>132</v>
      </c>
      <c r="G576" s="286" t="s">
        <v>1356</v>
      </c>
      <c r="H576" s="81" t="s">
        <v>1359</v>
      </c>
      <c r="I576" s="81" t="s">
        <v>1360</v>
      </c>
    </row>
    <row r="577" ht="22.5" customHeight="1">
      <c r="A577" s="63" t="s">
        <v>132</v>
      </c>
      <c r="B577" s="298" t="s">
        <v>1361</v>
      </c>
      <c r="C577" s="217" t="s">
        <v>1362</v>
      </c>
      <c r="D577" s="217" t="s">
        <v>1363</v>
      </c>
      <c r="E577" s="299"/>
      <c r="F577" s="63" t="s">
        <v>132</v>
      </c>
      <c r="G577" s="286" t="s">
        <v>1364</v>
      </c>
      <c r="H577" s="81" t="s">
        <v>1365</v>
      </c>
      <c r="I577" s="81" t="s">
        <v>1366</v>
      </c>
    </row>
    <row r="578" ht="22.5" customHeight="1">
      <c r="A578" s="296" t="s">
        <v>1367</v>
      </c>
      <c r="B578" s="38"/>
      <c r="C578" s="38"/>
      <c r="D578" s="39"/>
      <c r="E578" s="299"/>
      <c r="F578" s="296" t="s">
        <v>1368</v>
      </c>
      <c r="G578" s="38"/>
      <c r="H578" s="38"/>
      <c r="I578" s="39"/>
    </row>
    <row r="579" ht="22.5" customHeight="1">
      <c r="A579" s="63" t="s">
        <v>132</v>
      </c>
      <c r="B579" s="298" t="s">
        <v>1369</v>
      </c>
      <c r="C579" s="217" t="s">
        <v>1370</v>
      </c>
      <c r="D579" s="217" t="s">
        <v>1371</v>
      </c>
      <c r="E579" s="299"/>
      <c r="F579" s="63" t="s">
        <v>132</v>
      </c>
      <c r="G579" s="81" t="s">
        <v>1372</v>
      </c>
      <c r="H579" s="81" t="s">
        <v>1373</v>
      </c>
      <c r="I579" s="81" t="s">
        <v>1374</v>
      </c>
    </row>
    <row r="580" ht="22.5" customHeight="1">
      <c r="A580" s="296" t="s">
        <v>1375</v>
      </c>
      <c r="B580" s="38"/>
      <c r="C580" s="38"/>
      <c r="D580" s="39"/>
      <c r="E580" s="299"/>
      <c r="F580" s="296" t="s">
        <v>1376</v>
      </c>
      <c r="G580" s="38"/>
      <c r="H580" s="38"/>
      <c r="I580" s="39"/>
    </row>
    <row r="581" ht="22.5" customHeight="1">
      <c r="A581" s="63" t="s">
        <v>132</v>
      </c>
      <c r="B581" s="286" t="s">
        <v>1377</v>
      </c>
      <c r="C581" s="81" t="s">
        <v>1378</v>
      </c>
      <c r="D581" s="81" t="s">
        <v>1379</v>
      </c>
      <c r="E581" s="299"/>
      <c r="F581" s="63" t="s">
        <v>132</v>
      </c>
      <c r="G581" s="286" t="s">
        <v>1380</v>
      </c>
      <c r="H581" s="81" t="s">
        <v>1381</v>
      </c>
      <c r="I581" s="81" t="s">
        <v>1382</v>
      </c>
    </row>
    <row r="582" ht="22.5" customHeight="1">
      <c r="A582" s="296" t="s">
        <v>1383</v>
      </c>
      <c r="B582" s="38"/>
      <c r="C582" s="38"/>
      <c r="D582" s="39"/>
      <c r="E582" s="299"/>
      <c r="F582" s="300" t="s">
        <v>1384</v>
      </c>
      <c r="G582" s="38"/>
      <c r="H582" s="38"/>
      <c r="I582" s="39"/>
    </row>
    <row r="583" ht="22.5" customHeight="1">
      <c r="A583" s="63" t="s">
        <v>132</v>
      </c>
      <c r="B583" s="286" t="s">
        <v>1385</v>
      </c>
      <c r="C583" s="81" t="s">
        <v>1386</v>
      </c>
      <c r="D583" s="81" t="s">
        <v>1387</v>
      </c>
      <c r="E583" s="299"/>
      <c r="F583" s="63" t="s">
        <v>132</v>
      </c>
      <c r="G583" s="286" t="s">
        <v>1388</v>
      </c>
      <c r="H583" s="81" t="s">
        <v>1389</v>
      </c>
      <c r="I583" s="81" t="s">
        <v>1390</v>
      </c>
    </row>
    <row r="584" ht="22.5" customHeight="1">
      <c r="A584" s="296" t="s">
        <v>1391</v>
      </c>
      <c r="B584" s="38"/>
      <c r="C584" s="38"/>
      <c r="D584" s="39"/>
      <c r="E584" s="299"/>
      <c r="F584" s="63" t="s">
        <v>132</v>
      </c>
      <c r="G584" s="286" t="s">
        <v>1392</v>
      </c>
      <c r="H584" s="81" t="s">
        <v>1393</v>
      </c>
      <c r="I584" s="81" t="s">
        <v>1390</v>
      </c>
    </row>
    <row r="585" ht="22.5" customHeight="1">
      <c r="A585" s="63" t="s">
        <v>132</v>
      </c>
      <c r="B585" s="286" t="s">
        <v>1394</v>
      </c>
      <c r="C585" s="81" t="s">
        <v>1395</v>
      </c>
      <c r="D585" s="81" t="s">
        <v>1396</v>
      </c>
      <c r="E585" s="299"/>
      <c r="F585" s="63" t="s">
        <v>132</v>
      </c>
      <c r="G585" s="286" t="s">
        <v>1397</v>
      </c>
      <c r="H585" s="81" t="s">
        <v>1398</v>
      </c>
      <c r="I585" s="81" t="s">
        <v>1390</v>
      </c>
    </row>
    <row r="586" ht="22.5" customHeight="1">
      <c r="A586" s="296" t="s">
        <v>1399</v>
      </c>
      <c r="B586" s="38"/>
      <c r="C586" s="38"/>
      <c r="D586" s="39"/>
      <c r="E586" s="299"/>
      <c r="F586" s="63" t="s">
        <v>132</v>
      </c>
      <c r="G586" s="286" t="s">
        <v>1400</v>
      </c>
      <c r="H586" s="81" t="s">
        <v>1401</v>
      </c>
      <c r="I586" s="81" t="s">
        <v>1390</v>
      </c>
    </row>
    <row r="587" ht="22.5" customHeight="1">
      <c r="A587" s="63" t="s">
        <v>132</v>
      </c>
      <c r="B587" s="286" t="s">
        <v>1399</v>
      </c>
      <c r="C587" s="81" t="s">
        <v>1402</v>
      </c>
      <c r="D587" s="81" t="s">
        <v>1403</v>
      </c>
      <c r="E587" s="299"/>
      <c r="F587" s="63" t="s">
        <v>132</v>
      </c>
      <c r="G587" s="286" t="s">
        <v>1404</v>
      </c>
      <c r="H587" s="81" t="s">
        <v>1405</v>
      </c>
      <c r="I587" s="81" t="s">
        <v>1390</v>
      </c>
    </row>
    <row r="588" ht="22.5" customHeight="1">
      <c r="A588" s="296" t="s">
        <v>1406</v>
      </c>
      <c r="B588" s="38"/>
      <c r="C588" s="38"/>
      <c r="D588" s="39"/>
      <c r="E588" s="299"/>
      <c r="F588" s="63" t="s">
        <v>132</v>
      </c>
      <c r="G588" s="286" t="s">
        <v>1407</v>
      </c>
      <c r="H588" s="81" t="s">
        <v>1408</v>
      </c>
      <c r="I588" s="81" t="s">
        <v>1390</v>
      </c>
    </row>
    <row r="589" ht="22.5" customHeight="1">
      <c r="A589" s="63" t="s">
        <v>132</v>
      </c>
      <c r="B589" s="286" t="s">
        <v>1409</v>
      </c>
      <c r="C589" s="81" t="s">
        <v>1410</v>
      </c>
      <c r="D589" s="81" t="s">
        <v>1411</v>
      </c>
      <c r="E589" s="299"/>
      <c r="F589" s="63" t="s">
        <v>132</v>
      </c>
      <c r="G589" s="286" t="s">
        <v>1412</v>
      </c>
      <c r="H589" s="81" t="s">
        <v>1413</v>
      </c>
      <c r="I589" s="81" t="s">
        <v>1390</v>
      </c>
    </row>
    <row r="590" ht="22.5" customHeight="1">
      <c r="A590" s="296" t="s">
        <v>1414</v>
      </c>
      <c r="B590" s="38"/>
      <c r="C590" s="38"/>
      <c r="D590" s="39"/>
      <c r="E590" s="299"/>
      <c r="F590" s="301" t="s">
        <v>1415</v>
      </c>
      <c r="G590" s="38"/>
      <c r="H590" s="38"/>
      <c r="I590" s="39"/>
    </row>
    <row r="591" ht="22.5" customHeight="1">
      <c r="A591" s="63" t="s">
        <v>132</v>
      </c>
      <c r="B591" s="286" t="s">
        <v>1416</v>
      </c>
      <c r="C591" s="81" t="s">
        <v>1417</v>
      </c>
      <c r="D591" s="81" t="s">
        <v>1418</v>
      </c>
      <c r="E591" s="299"/>
      <c r="F591" s="63" t="s">
        <v>132</v>
      </c>
      <c r="G591" s="302" t="s">
        <v>1419</v>
      </c>
      <c r="H591" s="303" t="s">
        <v>1420</v>
      </c>
      <c r="I591" s="303" t="s">
        <v>1421</v>
      </c>
    </row>
    <row r="592" ht="22.5" customHeight="1">
      <c r="A592" s="296" t="s">
        <v>1422</v>
      </c>
      <c r="B592" s="38"/>
      <c r="C592" s="38"/>
      <c r="D592" s="39"/>
      <c r="E592" s="299"/>
      <c r="F592" s="63" t="s">
        <v>132</v>
      </c>
      <c r="G592" s="302" t="s">
        <v>1423</v>
      </c>
      <c r="H592" s="303" t="s">
        <v>1424</v>
      </c>
      <c r="I592" s="303" t="s">
        <v>1421</v>
      </c>
    </row>
    <row r="593" ht="22.5" customHeight="1">
      <c r="A593" s="63" t="s">
        <v>132</v>
      </c>
      <c r="B593" s="286" t="s">
        <v>1425</v>
      </c>
      <c r="C593" s="81" t="s">
        <v>1426</v>
      </c>
      <c r="D593" s="81" t="s">
        <v>1427</v>
      </c>
      <c r="E593" s="299"/>
      <c r="F593" s="63" t="s">
        <v>132</v>
      </c>
      <c r="G593" s="302" t="s">
        <v>1428</v>
      </c>
      <c r="H593" s="303" t="s">
        <v>1429</v>
      </c>
      <c r="I593" s="303" t="s">
        <v>1421</v>
      </c>
    </row>
    <row r="594" ht="22.5" customHeight="1">
      <c r="A594" s="296" t="s">
        <v>1430</v>
      </c>
      <c r="B594" s="38"/>
      <c r="C594" s="38"/>
      <c r="D594" s="39"/>
      <c r="E594" s="299"/>
      <c r="F594" s="63" t="s">
        <v>132</v>
      </c>
      <c r="G594" s="302" t="s">
        <v>1431</v>
      </c>
      <c r="H594" s="303" t="s">
        <v>1432</v>
      </c>
      <c r="I594" s="303" t="s">
        <v>1421</v>
      </c>
    </row>
    <row r="595" ht="22.5" customHeight="1">
      <c r="A595" s="63" t="s">
        <v>132</v>
      </c>
      <c r="B595" s="286" t="s">
        <v>1433</v>
      </c>
      <c r="C595" s="81" t="s">
        <v>1434</v>
      </c>
      <c r="D595" s="81" t="s">
        <v>1435</v>
      </c>
      <c r="E595" s="299"/>
      <c r="F595" s="63" t="s">
        <v>132</v>
      </c>
      <c r="G595" s="302" t="s">
        <v>1436</v>
      </c>
      <c r="H595" s="303" t="s">
        <v>1437</v>
      </c>
      <c r="I595" s="303" t="s">
        <v>1421</v>
      </c>
    </row>
    <row r="596" ht="22.5" customHeight="1">
      <c r="A596" s="296" t="s">
        <v>1438</v>
      </c>
      <c r="B596" s="38"/>
      <c r="C596" s="38"/>
      <c r="D596" s="39"/>
      <c r="E596" s="299"/>
      <c r="F596" s="63" t="s">
        <v>132</v>
      </c>
      <c r="G596" s="302" t="s">
        <v>1439</v>
      </c>
      <c r="H596" s="303" t="s">
        <v>1440</v>
      </c>
      <c r="I596" s="303" t="s">
        <v>1421</v>
      </c>
    </row>
    <row r="597" ht="22.5" customHeight="1">
      <c r="A597" s="63" t="s">
        <v>132</v>
      </c>
      <c r="B597" s="286" t="s">
        <v>1441</v>
      </c>
      <c r="C597" s="81" t="s">
        <v>1442</v>
      </c>
      <c r="D597" s="81" t="s">
        <v>1443</v>
      </c>
      <c r="E597" s="299"/>
      <c r="F597" s="63" t="s">
        <v>132</v>
      </c>
      <c r="G597" s="302" t="s">
        <v>1444</v>
      </c>
      <c r="H597" s="303" t="s">
        <v>1445</v>
      </c>
      <c r="I597" s="303" t="s">
        <v>1421</v>
      </c>
    </row>
    <row r="598" ht="22.5" customHeight="1">
      <c r="A598" s="63" t="s">
        <v>132</v>
      </c>
      <c r="B598" s="286" t="s">
        <v>1446</v>
      </c>
      <c r="C598" s="81" t="s">
        <v>1447</v>
      </c>
      <c r="D598" s="81" t="s">
        <v>1448</v>
      </c>
      <c r="E598" s="299"/>
      <c r="F598" s="63" t="s">
        <v>132</v>
      </c>
      <c r="G598" s="302" t="s">
        <v>1449</v>
      </c>
      <c r="H598" s="303" t="s">
        <v>1450</v>
      </c>
      <c r="I598" s="303" t="s">
        <v>1421</v>
      </c>
    </row>
    <row r="599" ht="22.5" customHeight="1">
      <c r="A599" s="296" t="s">
        <v>1451</v>
      </c>
      <c r="B599" s="38"/>
      <c r="C599" s="38"/>
      <c r="D599" s="39"/>
      <c r="E599" s="299"/>
      <c r="F599" s="63" t="s">
        <v>132</v>
      </c>
      <c r="G599" s="302" t="s">
        <v>1452</v>
      </c>
      <c r="H599" s="303" t="s">
        <v>1453</v>
      </c>
      <c r="I599" s="303" t="s">
        <v>1421</v>
      </c>
    </row>
    <row r="600" ht="22.5" customHeight="1">
      <c r="A600" s="297" t="s">
        <v>1166</v>
      </c>
      <c r="B600" s="38"/>
      <c r="C600" s="38"/>
      <c r="D600" s="39"/>
      <c r="E600" s="299"/>
      <c r="F600" s="63" t="s">
        <v>132</v>
      </c>
      <c r="G600" s="302" t="s">
        <v>1454</v>
      </c>
      <c r="H600" s="303" t="s">
        <v>1455</v>
      </c>
      <c r="I600" s="303" t="s">
        <v>1421</v>
      </c>
    </row>
    <row r="601" ht="22.5" customHeight="1">
      <c r="A601" s="296" t="s">
        <v>1456</v>
      </c>
      <c r="B601" s="38"/>
      <c r="C601" s="38"/>
      <c r="D601" s="39"/>
      <c r="E601" s="299"/>
      <c r="F601" s="63" t="s">
        <v>132</v>
      </c>
      <c r="G601" s="302" t="s">
        <v>1457</v>
      </c>
      <c r="H601" s="303" t="s">
        <v>1458</v>
      </c>
      <c r="I601" s="303" t="s">
        <v>1459</v>
      </c>
    </row>
    <row r="602" ht="22.5" customHeight="1">
      <c r="A602" s="63" t="s">
        <v>132</v>
      </c>
      <c r="B602" s="286" t="s">
        <v>1460</v>
      </c>
      <c r="C602" s="81" t="s">
        <v>1461</v>
      </c>
      <c r="D602" s="81" t="s">
        <v>1462</v>
      </c>
      <c r="E602" s="299"/>
      <c r="F602" s="63" t="s">
        <v>132</v>
      </c>
      <c r="G602" s="302" t="s">
        <v>1463</v>
      </c>
      <c r="H602" s="303" t="s">
        <v>1464</v>
      </c>
      <c r="I602" s="303" t="s">
        <v>1459</v>
      </c>
    </row>
    <row r="603" ht="22.5" customHeight="1">
      <c r="A603" s="296" t="s">
        <v>1465</v>
      </c>
      <c r="B603" s="38"/>
      <c r="C603" s="38"/>
      <c r="D603" s="39"/>
      <c r="E603" s="299"/>
      <c r="F603" s="304" t="s">
        <v>296</v>
      </c>
      <c r="G603" s="91"/>
      <c r="H603" s="91"/>
      <c r="I603" s="72"/>
    </row>
    <row r="604" ht="22.5" customHeight="1">
      <c r="A604" s="63" t="s">
        <v>132</v>
      </c>
      <c r="B604" s="286" t="s">
        <v>1466</v>
      </c>
      <c r="C604" s="81" t="s">
        <v>1467</v>
      </c>
      <c r="D604" s="81" t="s">
        <v>1468</v>
      </c>
      <c r="E604" s="299"/>
      <c r="F604" s="63" t="s">
        <v>132</v>
      </c>
      <c r="G604" s="305" t="s">
        <v>1469</v>
      </c>
      <c r="H604" s="306" t="s">
        <v>1470</v>
      </c>
      <c r="I604" s="306" t="s">
        <v>1471</v>
      </c>
    </row>
    <row r="605" ht="22.5" customHeight="1">
      <c r="A605" s="296" t="s">
        <v>1472</v>
      </c>
      <c r="B605" s="38"/>
      <c r="C605" s="38"/>
      <c r="D605" s="39"/>
      <c r="E605" s="299"/>
      <c r="F605" s="194"/>
      <c r="G605" s="307"/>
      <c r="H605" s="307"/>
      <c r="I605" s="307"/>
    </row>
    <row r="606" ht="22.5" customHeight="1">
      <c r="A606" s="63" t="s">
        <v>132</v>
      </c>
      <c r="B606" s="286" t="s">
        <v>1473</v>
      </c>
      <c r="C606" s="81" t="s">
        <v>1474</v>
      </c>
      <c r="D606" s="81" t="s">
        <v>1475</v>
      </c>
      <c r="E606" s="299"/>
      <c r="F606" s="308"/>
      <c r="G606" s="309"/>
      <c r="H606" s="309"/>
      <c r="I606" s="309"/>
    </row>
    <row r="607" ht="22.5" customHeight="1">
      <c r="A607" s="296" t="s">
        <v>1476</v>
      </c>
      <c r="B607" s="38"/>
      <c r="C607" s="38"/>
      <c r="D607" s="39"/>
      <c r="E607" s="299"/>
      <c r="F607" s="308"/>
      <c r="G607" s="309"/>
      <c r="H607" s="309"/>
      <c r="I607" s="309"/>
    </row>
    <row r="608" ht="22.5" customHeight="1">
      <c r="A608" s="63" t="s">
        <v>132</v>
      </c>
      <c r="B608" s="286" t="s">
        <v>1477</v>
      </c>
      <c r="C608" s="81" t="s">
        <v>1478</v>
      </c>
      <c r="D608" s="81" t="s">
        <v>1479</v>
      </c>
      <c r="E608" s="299"/>
      <c r="F608" s="308"/>
      <c r="G608" s="309"/>
      <c r="H608" s="309"/>
      <c r="I608" s="309"/>
    </row>
    <row r="609" ht="22.5" customHeight="1">
      <c r="A609" s="296" t="s">
        <v>1480</v>
      </c>
      <c r="B609" s="38"/>
      <c r="C609" s="38"/>
      <c r="D609" s="39"/>
      <c r="E609" s="299"/>
      <c r="F609" s="308"/>
      <c r="G609" s="309"/>
      <c r="H609" s="309"/>
      <c r="I609" s="309"/>
    </row>
    <row r="610" ht="22.5" customHeight="1">
      <c r="A610" s="63" t="s">
        <v>132</v>
      </c>
      <c r="B610" s="286" t="s">
        <v>1481</v>
      </c>
      <c r="C610" s="81" t="s">
        <v>1482</v>
      </c>
      <c r="D610" s="81" t="s">
        <v>1483</v>
      </c>
      <c r="E610" s="299"/>
      <c r="F610" s="308"/>
      <c r="G610" s="309"/>
      <c r="H610" s="309"/>
      <c r="I610" s="309"/>
    </row>
    <row r="611" ht="22.5" customHeight="1">
      <c r="A611" s="296" t="s">
        <v>1484</v>
      </c>
      <c r="B611" s="38"/>
      <c r="C611" s="38"/>
      <c r="D611" s="39"/>
      <c r="E611" s="299"/>
      <c r="F611" s="308"/>
      <c r="G611" s="309"/>
      <c r="H611" s="309"/>
      <c r="I611" s="309"/>
    </row>
    <row r="612" ht="22.5" customHeight="1">
      <c r="A612" s="63" t="s">
        <v>132</v>
      </c>
      <c r="B612" s="286" t="s">
        <v>1485</v>
      </c>
      <c r="C612" s="81" t="s">
        <v>1486</v>
      </c>
      <c r="D612" s="81" t="s">
        <v>1487</v>
      </c>
      <c r="E612" s="299"/>
      <c r="F612" s="308"/>
      <c r="G612" s="309"/>
      <c r="H612" s="309"/>
      <c r="I612" s="309"/>
    </row>
    <row r="613" ht="22.5" customHeight="1">
      <c r="A613" s="296" t="s">
        <v>1488</v>
      </c>
      <c r="B613" s="38"/>
      <c r="C613" s="38"/>
      <c r="D613" s="39"/>
      <c r="E613" s="299"/>
      <c r="F613" s="308"/>
      <c r="G613" s="309"/>
      <c r="H613" s="309"/>
      <c r="I613" s="309"/>
    </row>
    <row r="614" ht="22.5" customHeight="1">
      <c r="A614" s="63" t="s">
        <v>132</v>
      </c>
      <c r="B614" s="286" t="s">
        <v>1489</v>
      </c>
      <c r="C614" s="81" t="s">
        <v>1490</v>
      </c>
      <c r="D614" s="81" t="s">
        <v>1491</v>
      </c>
      <c r="E614" s="299"/>
      <c r="F614" s="308"/>
      <c r="G614" s="309"/>
      <c r="H614" s="309"/>
      <c r="I614" s="309"/>
    </row>
    <row r="615" ht="22.5" customHeight="1">
      <c r="A615" s="296" t="s">
        <v>1492</v>
      </c>
      <c r="B615" s="38"/>
      <c r="C615" s="38"/>
      <c r="D615" s="39"/>
      <c r="E615" s="299"/>
      <c r="F615" s="308"/>
      <c r="G615" s="309"/>
      <c r="H615" s="309"/>
      <c r="I615" s="309"/>
    </row>
    <row r="616" ht="22.5" customHeight="1">
      <c r="A616" s="63" t="s">
        <v>132</v>
      </c>
      <c r="B616" s="286" t="s">
        <v>1493</v>
      </c>
      <c r="C616" s="81" t="s">
        <v>1494</v>
      </c>
      <c r="D616" s="81" t="s">
        <v>1495</v>
      </c>
      <c r="E616" s="299"/>
      <c r="F616" s="308"/>
      <c r="G616" s="309"/>
      <c r="H616" s="309"/>
      <c r="I616" s="309"/>
    </row>
    <row r="617" ht="22.5" customHeight="1">
      <c r="A617" s="296" t="s">
        <v>1496</v>
      </c>
      <c r="B617" s="38"/>
      <c r="C617" s="38"/>
      <c r="D617" s="39"/>
      <c r="E617" s="299"/>
      <c r="F617" s="308"/>
      <c r="G617" s="309"/>
      <c r="H617" s="309"/>
      <c r="I617" s="309"/>
    </row>
    <row r="618" ht="22.5" customHeight="1">
      <c r="A618" s="63" t="s">
        <v>132</v>
      </c>
      <c r="B618" s="286" t="s">
        <v>1497</v>
      </c>
      <c r="C618" s="81" t="s">
        <v>1498</v>
      </c>
      <c r="D618" s="81" t="s">
        <v>1499</v>
      </c>
      <c r="E618" s="299"/>
      <c r="F618" s="308"/>
      <c r="G618" s="309"/>
      <c r="H618" s="309"/>
      <c r="I618" s="309"/>
    </row>
    <row r="619" ht="22.5" customHeight="1">
      <c r="A619" s="63" t="s">
        <v>132</v>
      </c>
      <c r="B619" s="286" t="s">
        <v>1500</v>
      </c>
      <c r="C619" s="81" t="s">
        <v>1501</v>
      </c>
      <c r="D619" s="81" t="s">
        <v>1502</v>
      </c>
      <c r="E619" s="299"/>
      <c r="F619" s="308"/>
      <c r="G619" s="309"/>
      <c r="H619" s="309"/>
      <c r="I619" s="309"/>
    </row>
    <row r="620" ht="22.5" customHeight="1">
      <c r="A620" s="296" t="s">
        <v>1503</v>
      </c>
      <c r="B620" s="38"/>
      <c r="C620" s="38"/>
      <c r="D620" s="39"/>
      <c r="E620" s="299"/>
      <c r="F620" s="308"/>
      <c r="G620" s="309"/>
      <c r="H620" s="309"/>
      <c r="I620" s="309"/>
    </row>
    <row r="621" ht="22.5" customHeight="1">
      <c r="A621" s="63" t="s">
        <v>132</v>
      </c>
      <c r="B621" s="286" t="s">
        <v>1503</v>
      </c>
      <c r="C621" s="81" t="s">
        <v>1504</v>
      </c>
      <c r="D621" s="81" t="s">
        <v>1505</v>
      </c>
      <c r="E621" s="299"/>
      <c r="F621" s="308"/>
      <c r="G621" s="309"/>
      <c r="H621" s="309"/>
      <c r="I621" s="309"/>
    </row>
    <row r="622" ht="22.5" customHeight="1">
      <c r="A622" s="296" t="s">
        <v>1506</v>
      </c>
      <c r="B622" s="38"/>
      <c r="C622" s="38"/>
      <c r="D622" s="39"/>
      <c r="E622" s="299"/>
      <c r="F622" s="310"/>
      <c r="G622" s="175"/>
      <c r="H622" s="175"/>
      <c r="I622" s="175"/>
    </row>
    <row r="623" ht="22.5" customHeight="1">
      <c r="A623" s="63" t="s">
        <v>132</v>
      </c>
      <c r="B623" s="286" t="s">
        <v>1507</v>
      </c>
      <c r="C623" s="81" t="s">
        <v>1508</v>
      </c>
      <c r="D623" s="81" t="s">
        <v>1509</v>
      </c>
      <c r="E623" s="299"/>
      <c r="F623" s="311"/>
      <c r="G623" s="175"/>
      <c r="H623" s="175"/>
      <c r="I623" s="175"/>
    </row>
  </sheetData>
  <mergeCells count="384">
    <mergeCell ref="F486:I486"/>
    <mergeCell ref="F492:I492"/>
    <mergeCell ref="F500:I500"/>
    <mergeCell ref="A515:I516"/>
    <mergeCell ref="A517:I518"/>
    <mergeCell ref="A519:H519"/>
    <mergeCell ref="F521:I521"/>
    <mergeCell ref="A521:D521"/>
    <mergeCell ref="A522:D522"/>
    <mergeCell ref="A523:D523"/>
    <mergeCell ref="F523:I523"/>
    <mergeCell ref="A525:D525"/>
    <mergeCell ref="F525:I525"/>
    <mergeCell ref="A528:D528"/>
    <mergeCell ref="F527:I527"/>
    <mergeCell ref="F529:I529"/>
    <mergeCell ref="A530:D530"/>
    <mergeCell ref="F531:I531"/>
    <mergeCell ref="A533:D533"/>
    <mergeCell ref="F533:I533"/>
    <mergeCell ref="F535:I535"/>
    <mergeCell ref="A535:D535"/>
    <mergeCell ref="A537:D537"/>
    <mergeCell ref="F537:I537"/>
    <mergeCell ref="A539:D539"/>
    <mergeCell ref="A541:D541"/>
    <mergeCell ref="F541:I541"/>
    <mergeCell ref="F543:I543"/>
    <mergeCell ref="F548:I548"/>
    <mergeCell ref="F549:I549"/>
    <mergeCell ref="F550:I550"/>
    <mergeCell ref="F552:I552"/>
    <mergeCell ref="A543:D543"/>
    <mergeCell ref="A545:D545"/>
    <mergeCell ref="F545:I545"/>
    <mergeCell ref="A546:D546"/>
    <mergeCell ref="A547:D547"/>
    <mergeCell ref="A548:D548"/>
    <mergeCell ref="A549:D549"/>
    <mergeCell ref="F565:I565"/>
    <mergeCell ref="F566:I566"/>
    <mergeCell ref="F569:I569"/>
    <mergeCell ref="F571:I571"/>
    <mergeCell ref="F573:I573"/>
    <mergeCell ref="F575:I575"/>
    <mergeCell ref="A561:D561"/>
    <mergeCell ref="F561:I561"/>
    <mergeCell ref="A562:D562"/>
    <mergeCell ref="A563:D563"/>
    <mergeCell ref="F563:I563"/>
    <mergeCell ref="F564:I564"/>
    <mergeCell ref="A565:D565"/>
    <mergeCell ref="A567:D567"/>
    <mergeCell ref="F567:I567"/>
    <mergeCell ref="A570:D570"/>
    <mergeCell ref="F570:I570"/>
    <mergeCell ref="A572:D572"/>
    <mergeCell ref="A574:D574"/>
    <mergeCell ref="F574:I574"/>
    <mergeCell ref="A578:D578"/>
    <mergeCell ref="F578:I578"/>
    <mergeCell ref="A580:D580"/>
    <mergeCell ref="F580:I580"/>
    <mergeCell ref="A582:D582"/>
    <mergeCell ref="F582:I582"/>
    <mergeCell ref="A584:D584"/>
    <mergeCell ref="A586:D586"/>
    <mergeCell ref="A588:D588"/>
    <mergeCell ref="A590:D590"/>
    <mergeCell ref="F590:I590"/>
    <mergeCell ref="A592:D592"/>
    <mergeCell ref="A594:D594"/>
    <mergeCell ref="A596:D596"/>
    <mergeCell ref="A609:D609"/>
    <mergeCell ref="A611:D611"/>
    <mergeCell ref="A613:D613"/>
    <mergeCell ref="A615:D615"/>
    <mergeCell ref="A617:D617"/>
    <mergeCell ref="A620:D620"/>
    <mergeCell ref="A622:D622"/>
    <mergeCell ref="A599:D599"/>
    <mergeCell ref="A600:D600"/>
    <mergeCell ref="A601:D601"/>
    <mergeCell ref="A603:D603"/>
    <mergeCell ref="F603:I603"/>
    <mergeCell ref="A605:D605"/>
    <mergeCell ref="A607:D607"/>
    <mergeCell ref="A400:H401"/>
    <mergeCell ref="I400:I401"/>
    <mergeCell ref="A402:D402"/>
    <mergeCell ref="F402:I402"/>
    <mergeCell ref="F403:I403"/>
    <mergeCell ref="A410:H411"/>
    <mergeCell ref="I410:I411"/>
    <mergeCell ref="A412:D412"/>
    <mergeCell ref="F412:I412"/>
    <mergeCell ref="A414:D414"/>
    <mergeCell ref="A416:A423"/>
    <mergeCell ref="B416:B423"/>
    <mergeCell ref="C416:C423"/>
    <mergeCell ref="D416:D423"/>
    <mergeCell ref="A425:D425"/>
    <mergeCell ref="A426:B426"/>
    <mergeCell ref="A427:B427"/>
    <mergeCell ref="A428:B428"/>
    <mergeCell ref="A429:B429"/>
    <mergeCell ref="A430:B430"/>
    <mergeCell ref="A431:B431"/>
    <mergeCell ref="A432:B432"/>
    <mergeCell ref="A433:B433"/>
    <mergeCell ref="A434:B434"/>
    <mergeCell ref="A435:B435"/>
    <mergeCell ref="A436:B436"/>
    <mergeCell ref="A439:I440"/>
    <mergeCell ref="A441:H441"/>
    <mergeCell ref="A443:D443"/>
    <mergeCell ref="F443:I443"/>
    <mergeCell ref="F444:I444"/>
    <mergeCell ref="A447:D447"/>
    <mergeCell ref="A450:D450"/>
    <mergeCell ref="A453:D453"/>
    <mergeCell ref="F454:I454"/>
    <mergeCell ref="A461:D461"/>
    <mergeCell ref="A469:I470"/>
    <mergeCell ref="A471:H471"/>
    <mergeCell ref="A473:D473"/>
    <mergeCell ref="F473:I473"/>
    <mergeCell ref="A481:D481"/>
    <mergeCell ref="A487:D487"/>
    <mergeCell ref="A551:D551"/>
    <mergeCell ref="A553:D553"/>
    <mergeCell ref="A554:D554"/>
    <mergeCell ref="A555:D555"/>
    <mergeCell ref="A557:D557"/>
    <mergeCell ref="A559:D559"/>
    <mergeCell ref="F559:I559"/>
    <mergeCell ref="A46:C46"/>
    <mergeCell ref="A47:D47"/>
    <mergeCell ref="A49:D49"/>
    <mergeCell ref="A25:I26"/>
    <mergeCell ref="A27:H27"/>
    <mergeCell ref="A28:D28"/>
    <mergeCell ref="F28:I28"/>
    <mergeCell ref="F35:I35"/>
    <mergeCell ref="A38:D38"/>
    <mergeCell ref="F46:H46"/>
    <mergeCell ref="F47:I47"/>
    <mergeCell ref="F49:I49"/>
    <mergeCell ref="F51:I51"/>
    <mergeCell ref="F53:I53"/>
    <mergeCell ref="A54:C54"/>
    <mergeCell ref="A55:D55"/>
    <mergeCell ref="F57:I57"/>
    <mergeCell ref="F58:I58"/>
    <mergeCell ref="F65:I65"/>
    <mergeCell ref="F68:I68"/>
    <mergeCell ref="A75:H75"/>
    <mergeCell ref="A76:D76"/>
    <mergeCell ref="F76:I76"/>
    <mergeCell ref="F89:I89"/>
    <mergeCell ref="C1:H1"/>
    <mergeCell ref="H2:I2"/>
    <mergeCell ref="B3:C3"/>
    <mergeCell ref="D3:H3"/>
    <mergeCell ref="A4:H4"/>
    <mergeCell ref="B5:C5"/>
    <mergeCell ref="D5:H5"/>
    <mergeCell ref="B6:C6"/>
    <mergeCell ref="D6:H6"/>
    <mergeCell ref="B7:C7"/>
    <mergeCell ref="D7:H7"/>
    <mergeCell ref="B8:C8"/>
    <mergeCell ref="D8:H8"/>
    <mergeCell ref="D9:H9"/>
    <mergeCell ref="B16:C16"/>
    <mergeCell ref="B17:C17"/>
    <mergeCell ref="B18:C18"/>
    <mergeCell ref="B19:C19"/>
    <mergeCell ref="B20:C20"/>
    <mergeCell ref="B21:C21"/>
    <mergeCell ref="B22:C22"/>
    <mergeCell ref="B23:C23"/>
    <mergeCell ref="B9:C9"/>
    <mergeCell ref="B10:C10"/>
    <mergeCell ref="B11:C11"/>
    <mergeCell ref="B12:C12"/>
    <mergeCell ref="B13:C13"/>
    <mergeCell ref="B14:C14"/>
    <mergeCell ref="B15:C15"/>
    <mergeCell ref="D10:H10"/>
    <mergeCell ref="D11:H11"/>
    <mergeCell ref="D12:H12"/>
    <mergeCell ref="D13:H13"/>
    <mergeCell ref="D14:H14"/>
    <mergeCell ref="D15:H15"/>
    <mergeCell ref="D16:H16"/>
    <mergeCell ref="D17:H17"/>
    <mergeCell ref="D18:H18"/>
    <mergeCell ref="D19:H19"/>
    <mergeCell ref="D20:H20"/>
    <mergeCell ref="D21:H21"/>
    <mergeCell ref="D22:H22"/>
    <mergeCell ref="D23:H23"/>
    <mergeCell ref="H93:H95"/>
    <mergeCell ref="I93:I95"/>
    <mergeCell ref="F90:F92"/>
    <mergeCell ref="G90:G92"/>
    <mergeCell ref="H90:H92"/>
    <mergeCell ref="I90:I92"/>
    <mergeCell ref="A91:D91"/>
    <mergeCell ref="F93:F95"/>
    <mergeCell ref="G93:G95"/>
    <mergeCell ref="A94:D94"/>
    <mergeCell ref="A98:H98"/>
    <mergeCell ref="A99:D99"/>
    <mergeCell ref="F99:I99"/>
    <mergeCell ref="F100:I103"/>
    <mergeCell ref="F104:I107"/>
    <mergeCell ref="F108:I108"/>
    <mergeCell ref="F109:G109"/>
    <mergeCell ref="H109:I109"/>
    <mergeCell ref="F110:I110"/>
    <mergeCell ref="F111:G111"/>
    <mergeCell ref="H111:I111"/>
    <mergeCell ref="A112:D112"/>
    <mergeCell ref="H112:I112"/>
    <mergeCell ref="F116:G116"/>
    <mergeCell ref="F117:G117"/>
    <mergeCell ref="F118:G118"/>
    <mergeCell ref="F112:G112"/>
    <mergeCell ref="F113:G113"/>
    <mergeCell ref="H113:I113"/>
    <mergeCell ref="F114:I114"/>
    <mergeCell ref="F115:G115"/>
    <mergeCell ref="H115:I115"/>
    <mergeCell ref="H116:I116"/>
    <mergeCell ref="H117:I117"/>
    <mergeCell ref="H118:I118"/>
    <mergeCell ref="F119:I119"/>
    <mergeCell ref="F120:G120"/>
    <mergeCell ref="H120:I120"/>
    <mergeCell ref="F121:G121"/>
    <mergeCell ref="H121:I121"/>
    <mergeCell ref="F122:G122"/>
    <mergeCell ref="H122:I122"/>
    <mergeCell ref="F123:G123"/>
    <mergeCell ref="H123:I123"/>
    <mergeCell ref="F124:G124"/>
    <mergeCell ref="H124:I124"/>
    <mergeCell ref="F125:G125"/>
    <mergeCell ref="H125:I125"/>
    <mergeCell ref="F126:I126"/>
    <mergeCell ref="A132:H133"/>
    <mergeCell ref="I132:I133"/>
    <mergeCell ref="A134:D134"/>
    <mergeCell ref="F134:I134"/>
    <mergeCell ref="A135:D135"/>
    <mergeCell ref="A155:D155"/>
    <mergeCell ref="A158:B158"/>
    <mergeCell ref="C158:D158"/>
    <mergeCell ref="F135:I135"/>
    <mergeCell ref="A141:I141"/>
    <mergeCell ref="A153:H154"/>
    <mergeCell ref="I153:I154"/>
    <mergeCell ref="F155:G155"/>
    <mergeCell ref="H155:I155"/>
    <mergeCell ref="F157:I157"/>
    <mergeCell ref="F160:I160"/>
    <mergeCell ref="A161:B161"/>
    <mergeCell ref="C161:D161"/>
    <mergeCell ref="F163:I163"/>
    <mergeCell ref="A164:B164"/>
    <mergeCell ref="F165:G165"/>
    <mergeCell ref="H165:I165"/>
    <mergeCell ref="A170:B170"/>
    <mergeCell ref="A173:B173"/>
    <mergeCell ref="C173:D173"/>
    <mergeCell ref="C164:D164"/>
    <mergeCell ref="A166:D166"/>
    <mergeCell ref="A168:D168"/>
    <mergeCell ref="F168:G168"/>
    <mergeCell ref="H168:I168"/>
    <mergeCell ref="C170:D170"/>
    <mergeCell ref="F171:I171"/>
    <mergeCell ref="F174:I174"/>
    <mergeCell ref="A178:H179"/>
    <mergeCell ref="I178:I179"/>
    <mergeCell ref="A183:H184"/>
    <mergeCell ref="I183:I184"/>
    <mergeCell ref="A185:D185"/>
    <mergeCell ref="F185:I185"/>
    <mergeCell ref="A187:D187"/>
    <mergeCell ref="F187:I187"/>
    <mergeCell ref="A189:D189"/>
    <mergeCell ref="F189:I189"/>
    <mergeCell ref="A191:D191"/>
    <mergeCell ref="F191:I191"/>
    <mergeCell ref="F193:I193"/>
    <mergeCell ref="A193:D193"/>
    <mergeCell ref="A195:D195"/>
    <mergeCell ref="F195:I195"/>
    <mergeCell ref="A197:D197"/>
    <mergeCell ref="F197:I197"/>
    <mergeCell ref="A199:D199"/>
    <mergeCell ref="F199:I199"/>
    <mergeCell ref="A201:D201"/>
    <mergeCell ref="F201:I201"/>
    <mergeCell ref="A203:D203"/>
    <mergeCell ref="F203:I203"/>
    <mergeCell ref="A205:D205"/>
    <mergeCell ref="F205:I205"/>
    <mergeCell ref="F207:I207"/>
    <mergeCell ref="A207:D207"/>
    <mergeCell ref="A209:D209"/>
    <mergeCell ref="F209:I209"/>
    <mergeCell ref="A211:D211"/>
    <mergeCell ref="F211:I211"/>
    <mergeCell ref="A214:H215"/>
    <mergeCell ref="I214:I215"/>
    <mergeCell ref="A216:D216"/>
    <mergeCell ref="F216:I216"/>
    <mergeCell ref="F217:I217"/>
    <mergeCell ref="A218:D218"/>
    <mergeCell ref="F222:I222"/>
    <mergeCell ref="A223:D223"/>
    <mergeCell ref="F228:I228"/>
    <mergeCell ref="F230:I230"/>
    <mergeCell ref="F233:I233"/>
    <mergeCell ref="A242:H243"/>
    <mergeCell ref="I242:I243"/>
    <mergeCell ref="A244:D244"/>
    <mergeCell ref="F244:I244"/>
    <mergeCell ref="F245:I245"/>
    <mergeCell ref="A257:H258"/>
    <mergeCell ref="I257:I258"/>
    <mergeCell ref="A259:D259"/>
    <mergeCell ref="F259:I259"/>
    <mergeCell ref="F260:I260"/>
    <mergeCell ref="A261:D261"/>
    <mergeCell ref="A264:D264"/>
    <mergeCell ref="A274:H275"/>
    <mergeCell ref="I274:I275"/>
    <mergeCell ref="A276:D276"/>
    <mergeCell ref="F276:I276"/>
    <mergeCell ref="F277:I277"/>
    <mergeCell ref="A278:D278"/>
    <mergeCell ref="F281:I281"/>
    <mergeCell ref="A282:D282"/>
    <mergeCell ref="A300:H301"/>
    <mergeCell ref="I300:I301"/>
    <mergeCell ref="A302:D302"/>
    <mergeCell ref="F302:I302"/>
    <mergeCell ref="F303:I303"/>
    <mergeCell ref="F305:I305"/>
    <mergeCell ref="A304:D304"/>
    <mergeCell ref="A308:D308"/>
    <mergeCell ref="F309:I309"/>
    <mergeCell ref="F312:I312"/>
    <mergeCell ref="F314:I314"/>
    <mergeCell ref="F320:I320"/>
    <mergeCell ref="I329:I330"/>
    <mergeCell ref="A329:H330"/>
    <mergeCell ref="A331:D331"/>
    <mergeCell ref="F331:I331"/>
    <mergeCell ref="A333:D333"/>
    <mergeCell ref="F334:I334"/>
    <mergeCell ref="F335:I335"/>
    <mergeCell ref="F342:I342"/>
    <mergeCell ref="A364:D364"/>
    <mergeCell ref="A367:D367"/>
    <mergeCell ref="F350:I350"/>
    <mergeCell ref="A360:H361"/>
    <mergeCell ref="I360:I361"/>
    <mergeCell ref="A362:D362"/>
    <mergeCell ref="F362:I362"/>
    <mergeCell ref="F363:I363"/>
    <mergeCell ref="F365:I365"/>
    <mergeCell ref="F372:I372"/>
    <mergeCell ref="A386:H387"/>
    <mergeCell ref="I386:I387"/>
    <mergeCell ref="A388:D388"/>
    <mergeCell ref="F388:I388"/>
    <mergeCell ref="F389:I389"/>
    <mergeCell ref="A390:D390"/>
  </mergeCells>
  <conditionalFormatting sqref="A1 A5:A23 A29:A37 F29:F34 F36:F40 A39:A44 A48 F48 A50:A53 F50 F52 F54:F56 A56:A58 F59:F64 F66:F67 F69:F73 A77:A90 F77:F88 F90 A92:A93 F93 A95:A96 A100:A111 A113:A125 F127:F130 A136:A140 F136:F140 A142:A150 F142:F151 A156:A157 F156 F158:F159 A159:A160 F161:F162 A162:A163 F164 A165 F166:F167 A167:A176 F169:F170 F172:F173 F175 A180:A181 F180:F181 A186 F186 A188 F188 A190 F190 A192 F192 A194 F194 A196 F196 A198 F198 A200 F200 A202 F202 A204 F204 A206 F206 A208 F208 A210 F210 A212 A217 F218:F221 A219:A222 F223:F227 A224:A240 F229 F231:F232 F234:F235 A245:A255 F246:F247 A260 F261:F262 A262:A263 A265:A272 A277 F278:F280 A279:A281 F282:F285 A283:A298 A303 F304 A305:A307 F306:F308 A309:A327 F310:F311 F313 F315:F319 F321 A332 F332:F333 A334:A358 F336:F341 F343:F349 F351:F353 A363 F364 A365:A366 F366:F371 A368:A384 F373:F375 A389 F390:F391 A391:A398 A403:A408 F404 A413 F413:F436 A415:A416 A424 D427:D436 A444:A446 F445:F453 A448:A449 A451:A452 A454:A460 F455:F464 A462:A467 A474:A480 F474:F485 A482:A486 F487:F491 A488:A497 F493:F499 F501:F514 A521:A623 F521:F621">
    <cfRule type="cellIs" dxfId="5" priority="1" operator="equal">
      <formula>"*"</formula>
    </cfRule>
  </conditionalFormatting>
  <conditionalFormatting sqref="A1 A5:A23 A29:A37 F29:F34 F36:F40 A39:A44 A48 F48 A50:A53 F50 F52 F54:F56 A56:A58 F59:F64 F66:F67 F69:F73 A77:A90 F77:F88 F90 A92:A93 F93 A95:A96 A100:A111 A113:A125 F127:F130 A136:A140 F136:F140 A142:A150 F142:F151 A156:A157 F156 F158:F159 A159:A160 F161:F162 A162:A163 F164 A165 F166:F167 A167:A176 F169:F170 F172:F173 F175 A180:A181 F180:F181 A186 F186 A188 F188 A190 F190 A192 F192 A194 F194 A196 F196 A198 F198 A200 F200 A202 F202 A204 F204 A206 F206 A208 F208 A210 F210 A212 A217 F218:F221 A219:A222 F223:F227 A224:A240 F229 F231:F232 F234:F235 A245:A255 F246:F247 A260 F261:F262 A262:A263 A265:A272 A277 F278:F280 A279:A281 F282:F285 A283:A298 A303 F304 A305:A307 F306:F308 A309:A327 F310:F311 F313 F315:F319 F321 A332 F332:F333 A334:A358 F336:F341 F343:F349 F351:F353 A363 F364 A365:A366 F366:F371 A368:A384 F373:F375 A389 F390:F391 A391:A398 A403:A408 F404 A413 F413:F436 A415:A416 A424 D427:D436 A444:A446 F445:F453 A448:A449 A451:A452 A454:A460 F455:F464 A462:A467 A474:A480 F474:F485 A482:A486 F487:F491 A488:A497 F493:F499 F501:F514 A521:A623 F521:F621">
    <cfRule type="cellIs" dxfId="6" priority="2" operator="equal">
      <formula>"N"</formula>
    </cfRule>
  </conditionalFormatting>
  <conditionalFormatting sqref="A1 A5:A23 A29:A37 F29:F34 F36:F40 A39:A44 A48 F48 A50:A53 F50 F52 F54:F56 A56:A58 F59:F64 F66:F67 F69:F73 A77:A90 F77:F88 F90 A92:A93 F93 A95:A96 A100:A111 A113:A125 F127:F130 A136:A140 F136:F140 A142:A150 F142:F151 A156:A157 F156 F158:F159 A159:A160 F161:F162 A162:A163 F164 A165 F166:F167 A167:A176 F169:F170 F172:F173 F175 A180:A181 F180:F181 A186 F186 A188 F188 A190 F190 A192 F192 A194 F194 A196 F196 A198 F198 A200 F200 A202 F202 A204 F204 A206 F206 A208 F208 A210 F210 A212 A217 F218:F221 A219:A222 F223:F227 A224:A240 F229 F231:F232 F234:F235 A245:A255 F246:F247 A260 F261:F262 A262:A263 A265:A272 A277 F278:F280 A279:A281 F282:F285 A283:A298 A303 F304 A305:A307 F306:F308 A309:A327 F310:F311 F313 F315:F319 F321 A332 F332:F333 A334:A358 F336:F341 F343:F349 F351:F353 A363 F364 A365:A366 F366:F371 A368:A384 F373:F375 A389 F390:F391 A391:A398 A403:A408 F404 A413 F413:F436 A415:A416 A424 D427:D436 A444:A446 F445:F453 A448:A449 A451:A452 A454:A460 F455:F464 A462:A467 A474:A480 F474:F485 A482:A486 F487:F491 A488:A497 F493:F499 F501:F514 A521:A623 F521:F621">
    <cfRule type="cellIs" dxfId="7" priority="3" operator="equal">
      <formula>"Y"</formula>
    </cfRule>
  </conditionalFormatting>
  <conditionalFormatting sqref="A1 A5:A23 A29:A37 F29:F34 F36:F40 A39:A44 A48 F48 A50:A53 F50 F52 F54:F56 A56:A58 F59:F64 F66:F67 F69:F73 A77:A90 F77:F88 F90 A92:A93 F93 A95:A96 A100:A111 A113:A125 F127:F130 A136:A140 F136:F140 A142:A150 F142:F151 A156:A157 F156 F158:F159 A159:A160 F161:F162 A162:A163 F164 A165 F166:F167 A167:A176 F169:F170 F172:F173 F175 A180:A181 F180:F181 A186 F186 A188 F188 A190 F190 A192 F192 A194 F194 A196 F196 A198 F198 A200 F200 A202 F202 A204 F204 A206 F206 A208 F208 A210 F210 A212 A217 F218:F221 A219:A222 F223:F227 A224:A240 F229 F231:F232 F234:F235 A245:A255 F246:F247 A260 F261:F262 A262:A263 A265:A272 A277 F278:F280 A279:A281 F282:F285 A283:A298 A303 F304 A305:A307 F306:F308 A309:A327 F310:F311 F313 F315:F319 F321 A332 F332:F333 A334:A358 F336:F341 F343:F349 F351:F353 A363 F364 A365:A366 F366:F371 A368:A384 F373:F375 A389 F390:F391 A391:A398 A403:A408 F404 A413 F413:F436 A415:A416 A424 D427:D436 A444:A446 F445:F453 A448:A449 A451:A452 A454:A460 F455:F464 A462:A467 A474:A480 F474:F485 A482:A486 F487:F491 A488:A497 F493:F499 F501:F514 A521:A623 F521:F621">
    <cfRule type="cellIs" dxfId="4" priority="4" operator="equal">
      <formula>"N"</formula>
    </cfRule>
  </conditionalFormatting>
  <conditionalFormatting sqref="A1 A5:A23 A29:A37 F29:F34 F36:F40 A39:A44 A48 F48 A50:A53 F50 F52 F54:F56 A56:A58 F59:F64 F66:F67 F69:F73 A77:A90 F77:F88 F90 A92:A93 F93 A95:A96 A100:A111 A113:A125 F127:F130 A136:A140 F136:F140 A142:A150 F142:F151 A156:A157 F156 F158:F159 A159:A160 F161:F162 A162:A163 F164 A165 F166:F167 A167:A176 F169:F170 F172:F173 F175 A180:A181 F180:F181 A186 F186 A188 F188 A190 F190 A192 F192 A194 F194 A196 F196 A198 F198 A200 F200 A202 F202 A204 F204 A206 F206 A208 F208 A210 F210 A212 A217 F218:F221 A219:A222 F223:F227 A224:A240 F229 F231:F232 F234:F235 A245:A255 F246:F247 A260 F261:F262 A262:A263 A265:A272 A277 F278:F280 A279:A281 F282:F285 A283:A298 A303 F304 A305:A307 F306:F308 A309:A327 F310:F311 F313 F315:F319 F321 A332 F332:F333 A334:A358 F336:F341 F343:F349 F351:F353 A363 F364 A365:A366 F366:F371 A368:A384 F373:F375 A389 F390:F391 A391:A398 A403:A408 F404 A413 F413:F436 A415:A416 A424 D427:D436 A444:A446 F445:F453 A448:A449 A451:A452 A454:A460 F455:F464 A462:A467 A474:A480 F474:F485 A482:A486 F487:F491 A488:A497 F493:F499 F501:F514 A521:A623 F521:F621">
    <cfRule type="cellIs" dxfId="1" priority="5" operator="equal">
      <formula>"Y"</formula>
    </cfRule>
  </conditionalFormatting>
  <conditionalFormatting sqref="A1 A5:A623 F29:F404 F406:F623 D427:D436 B499:D502">
    <cfRule type="cellIs" dxfId="1" priority="6" operator="equal">
      <formula>"Yes"</formula>
    </cfRule>
  </conditionalFormatting>
  <conditionalFormatting sqref="A1 A5:A623 F29:F404 F406:F623 D427:D436 B499:D502">
    <cfRule type="cellIs" dxfId="4" priority="7" operator="equal">
      <formula>"No"</formula>
    </cfRule>
  </conditionalFormatting>
  <conditionalFormatting sqref="F121:G124">
    <cfRule type="cellIs" dxfId="1" priority="8" operator="greaterThanOrEqual">
      <formula>5</formula>
    </cfRule>
  </conditionalFormatting>
  <conditionalFormatting sqref="F121:G124">
    <cfRule type="cellIs" dxfId="3" priority="9" operator="between">
      <formula>0</formula>
      <formula>5</formula>
    </cfRule>
  </conditionalFormatting>
  <conditionalFormatting sqref="F109:G109 F111:G113 F115:G118 F125:G125">
    <cfRule type="expression" dxfId="1" priority="10">
      <formula>$F$109&gt;=125</formula>
    </cfRule>
  </conditionalFormatting>
  <conditionalFormatting sqref="F109:G109 F111:G113 F115:G118 F125:G125">
    <cfRule type="expression" dxfId="3" priority="11">
      <formula>F9&lt;125</formula>
    </cfRule>
  </conditionalFormatting>
  <hyperlinks>
    <hyperlink r:id="rId1" ref="G48"/>
    <hyperlink r:id="rId2" ref="B92"/>
    <hyperlink r:id="rId3" ref="B93"/>
    <hyperlink r:id="rId4" ref="B95"/>
    <hyperlink r:id="rId5" ref="B96"/>
    <hyperlink r:id="rId6" ref="B186"/>
    <hyperlink r:id="rId7" ref="G186"/>
    <hyperlink r:id="rId8" ref="B188"/>
    <hyperlink r:id="rId9" ref="G188"/>
    <hyperlink r:id="rId10" ref="B190"/>
    <hyperlink r:id="rId11" ref="G190"/>
    <hyperlink r:id="rId12" ref="B192"/>
    <hyperlink r:id="rId13" ref="G192"/>
    <hyperlink r:id="rId14" ref="F193"/>
    <hyperlink r:id="rId15" ref="B194"/>
    <hyperlink r:id="rId16" ref="G194"/>
    <hyperlink r:id="rId17" ref="B196"/>
    <hyperlink r:id="rId18" ref="G196"/>
    <hyperlink r:id="rId19" ref="B198"/>
    <hyperlink r:id="rId20" ref="G198"/>
    <hyperlink r:id="rId21" ref="B200"/>
    <hyperlink r:id="rId22" ref="G200"/>
    <hyperlink r:id="rId23" ref="B202"/>
    <hyperlink r:id="rId24" ref="G202"/>
    <hyperlink r:id="rId25" ref="B204"/>
    <hyperlink r:id="rId26" ref="G204"/>
    <hyperlink r:id="rId27" ref="B206"/>
    <hyperlink r:id="rId28" ref="G206"/>
    <hyperlink r:id="rId29" ref="B208"/>
    <hyperlink r:id="rId30" ref="G208"/>
    <hyperlink r:id="rId31" ref="B210"/>
    <hyperlink r:id="rId32" ref="G210"/>
    <hyperlink r:id="rId33" ref="B212"/>
    <hyperlink r:id="rId34" ref="I219"/>
    <hyperlink r:id="rId35" ref="B226"/>
    <hyperlink r:id="rId36" ref="B227"/>
    <hyperlink r:id="rId37" ref="B228"/>
    <hyperlink r:id="rId38" ref="B250"/>
    <hyperlink r:id="rId39" ref="B285"/>
    <hyperlink r:id="rId40" ref="B315"/>
    <hyperlink r:id="rId41" ref="B374"/>
    <hyperlink r:id="rId42" ref="B391"/>
    <hyperlink r:id="rId43" ref="B405"/>
    <hyperlink r:id="rId44" ref="B413"/>
    <hyperlink r:id="rId45" ref="B491"/>
    <hyperlink r:id="rId46" ref="A521"/>
    <hyperlink r:id="rId47" ref="F521"/>
    <hyperlink r:id="rId48" ref="G522"/>
    <hyperlink r:id="rId49" ref="A523"/>
    <hyperlink r:id="rId50" ref="F523"/>
    <hyperlink r:id="rId51" ref="B524"/>
    <hyperlink r:id="rId52" ref="G524"/>
    <hyperlink r:id="rId53" ref="A525"/>
    <hyperlink r:id="rId54" ref="F525"/>
    <hyperlink r:id="rId55" ref="B526"/>
    <hyperlink r:id="rId56" ref="G526"/>
    <hyperlink r:id="rId57" ref="B527"/>
    <hyperlink r:id="rId58" ref="F527"/>
    <hyperlink r:id="rId59" ref="A528"/>
    <hyperlink r:id="rId60" ref="G528"/>
    <hyperlink r:id="rId61" ref="B529"/>
    <hyperlink r:id="rId62" ref="F529"/>
    <hyperlink r:id="rId63" ref="A530"/>
    <hyperlink r:id="rId64" ref="G530"/>
    <hyperlink r:id="rId65" ref="B531"/>
    <hyperlink r:id="rId66" ref="F531"/>
    <hyperlink r:id="rId67" ref="B532"/>
    <hyperlink r:id="rId68" ref="G532"/>
    <hyperlink r:id="rId69" ref="A533"/>
    <hyperlink r:id="rId70" ref="F533"/>
    <hyperlink r:id="rId71" ref="B534"/>
    <hyperlink r:id="rId72" ref="G534"/>
    <hyperlink r:id="rId73" ref="A535"/>
    <hyperlink r:id="rId74" ref="F535"/>
    <hyperlink r:id="rId75" ref="B536"/>
    <hyperlink r:id="rId76" ref="G536"/>
    <hyperlink r:id="rId77" ref="A537"/>
    <hyperlink r:id="rId78" ref="F537"/>
    <hyperlink r:id="rId79" ref="B538"/>
    <hyperlink r:id="rId80" ref="G538"/>
    <hyperlink r:id="rId81" ref="A539"/>
    <hyperlink r:id="rId82" ref="G539"/>
    <hyperlink r:id="rId83" ref="B540"/>
    <hyperlink r:id="rId84" ref="G540"/>
    <hyperlink r:id="rId85" ref="A541"/>
    <hyperlink r:id="rId86" ref="F541"/>
    <hyperlink r:id="rId87" ref="B542"/>
    <hyperlink r:id="rId88" ref="G542"/>
    <hyperlink r:id="rId89" ref="A543"/>
    <hyperlink r:id="rId90" ref="F543"/>
    <hyperlink r:id="rId91" ref="B544"/>
    <hyperlink r:id="rId92" ref="G544"/>
    <hyperlink r:id="rId93" ref="A545"/>
    <hyperlink r:id="rId94" ref="F545"/>
    <hyperlink r:id="rId95" ref="G546"/>
    <hyperlink r:id="rId96" ref="A547"/>
    <hyperlink r:id="rId97" ref="G547"/>
    <hyperlink r:id="rId98" ref="F548"/>
    <hyperlink r:id="rId99" ref="A549"/>
    <hyperlink r:id="rId100" ref="B550"/>
    <hyperlink r:id="rId101" ref="F550"/>
    <hyperlink r:id="rId102" ref="A551"/>
    <hyperlink r:id="rId103" ref="G551"/>
    <hyperlink r:id="rId104" ref="B552"/>
    <hyperlink r:id="rId105" ref="F552"/>
    <hyperlink r:id="rId106" ref="A553"/>
    <hyperlink r:id="rId107" ref="G553"/>
    <hyperlink r:id="rId108" ref="G554"/>
    <hyperlink r:id="rId109" ref="A555"/>
    <hyperlink r:id="rId110" ref="G555"/>
    <hyperlink r:id="rId111" ref="B556"/>
    <hyperlink r:id="rId112" ref="G556"/>
    <hyperlink r:id="rId113" ref="A557"/>
    <hyperlink r:id="rId114" ref="G557"/>
    <hyperlink r:id="rId115" ref="B558"/>
    <hyperlink r:id="rId116" ref="G558"/>
    <hyperlink r:id="rId117" ref="A559"/>
    <hyperlink r:id="rId118" ref="F559"/>
    <hyperlink r:id="rId119" ref="B560"/>
    <hyperlink r:id="rId120" ref="G560"/>
    <hyperlink r:id="rId121" ref="A561"/>
    <hyperlink r:id="rId122" ref="F561"/>
    <hyperlink r:id="rId123" ref="G562"/>
    <hyperlink r:id="rId124" ref="A563"/>
    <hyperlink r:id="rId125" ref="F563"/>
    <hyperlink r:id="rId126" ref="B564"/>
    <hyperlink r:id="rId127" ref="A565"/>
    <hyperlink r:id="rId128" ref="F565"/>
    <hyperlink r:id="rId129" ref="B566"/>
    <hyperlink r:id="rId130" ref="A567"/>
    <hyperlink r:id="rId131" ref="F567"/>
    <hyperlink r:id="rId132" ref="B568"/>
    <hyperlink r:id="rId133" ref="G568"/>
    <hyperlink r:id="rId134" ref="B569"/>
    <hyperlink r:id="rId135" ref="F569"/>
    <hyperlink r:id="rId136" ref="A570"/>
    <hyperlink r:id="rId137" ref="B571"/>
    <hyperlink r:id="rId138" ref="F571"/>
    <hyperlink r:id="rId139" ref="A572"/>
    <hyperlink r:id="rId140" ref="G572"/>
    <hyperlink r:id="rId141" ref="B573"/>
    <hyperlink r:id="rId142" ref="F573"/>
    <hyperlink r:id="rId143" ref="A574"/>
    <hyperlink r:id="rId144" ref="B575"/>
    <hyperlink r:id="rId145" ref="F575"/>
    <hyperlink r:id="rId146" ref="B576"/>
    <hyperlink r:id="rId147" ref="G576"/>
    <hyperlink r:id="rId148" ref="B577"/>
    <hyperlink r:id="rId149" ref="G577"/>
    <hyperlink r:id="rId150" ref="A578"/>
    <hyperlink r:id="rId151" ref="F578"/>
    <hyperlink r:id="rId152" ref="B579"/>
    <hyperlink r:id="rId153" ref="A580"/>
    <hyperlink r:id="rId154" ref="F580"/>
    <hyperlink r:id="rId155" ref="B581"/>
    <hyperlink r:id="rId156" ref="G581"/>
    <hyperlink r:id="rId157" ref="A582"/>
    <hyperlink r:id="rId158" ref="B583"/>
    <hyperlink r:id="rId159" ref="G583"/>
    <hyperlink r:id="rId160" ref="A584"/>
    <hyperlink r:id="rId161" ref="G584"/>
    <hyperlink r:id="rId162" ref="B585"/>
    <hyperlink r:id="rId163" ref="G585"/>
    <hyperlink r:id="rId164" ref="A586"/>
    <hyperlink r:id="rId165" ref="G586"/>
    <hyperlink r:id="rId166" ref="B587"/>
    <hyperlink r:id="rId167" ref="G587"/>
    <hyperlink r:id="rId168" ref="A588"/>
    <hyperlink r:id="rId169" ref="G588"/>
    <hyperlink r:id="rId170" ref="B589"/>
    <hyperlink r:id="rId171" ref="G589"/>
    <hyperlink r:id="rId172" ref="A590"/>
    <hyperlink r:id="rId173" ref="B591"/>
    <hyperlink r:id="rId174" ref="G591"/>
    <hyperlink r:id="rId175" ref="A592"/>
    <hyperlink r:id="rId176" ref="G592"/>
    <hyperlink r:id="rId177" ref="B593"/>
    <hyperlink r:id="rId178" ref="G593"/>
    <hyperlink r:id="rId179" ref="A594"/>
    <hyperlink r:id="rId180" ref="G594"/>
    <hyperlink r:id="rId181" ref="B595"/>
    <hyperlink r:id="rId182" ref="G595"/>
    <hyperlink r:id="rId183" ref="A596"/>
    <hyperlink r:id="rId184" ref="G596"/>
    <hyperlink r:id="rId185" ref="B597"/>
    <hyperlink r:id="rId186" ref="G597"/>
    <hyperlink r:id="rId187" ref="B598"/>
    <hyperlink r:id="rId188" ref="G598"/>
    <hyperlink r:id="rId189" ref="A599"/>
    <hyperlink r:id="rId190" ref="G599"/>
    <hyperlink r:id="rId191" ref="G600"/>
    <hyperlink r:id="rId192" ref="A601"/>
    <hyperlink r:id="rId193" ref="G601"/>
    <hyperlink r:id="rId194" ref="B602"/>
    <hyperlink r:id="rId195" ref="G602"/>
    <hyperlink r:id="rId196" ref="A603"/>
    <hyperlink r:id="rId197" ref="B604"/>
    <hyperlink r:id="rId198" ref="G604"/>
    <hyperlink r:id="rId199" ref="A605"/>
    <hyperlink r:id="rId200" ref="B606"/>
    <hyperlink r:id="rId201" ref="A607"/>
    <hyperlink r:id="rId202" ref="B608"/>
    <hyperlink r:id="rId203" ref="A609"/>
    <hyperlink r:id="rId204" ref="B610"/>
    <hyperlink r:id="rId205" ref="A611"/>
    <hyperlink r:id="rId206" ref="B612"/>
    <hyperlink r:id="rId207" ref="A613"/>
    <hyperlink r:id="rId208" ref="B614"/>
    <hyperlink r:id="rId209" ref="A615"/>
    <hyperlink r:id="rId210" ref="B616"/>
    <hyperlink r:id="rId211" ref="A617"/>
    <hyperlink r:id="rId212" ref="B618"/>
    <hyperlink r:id="rId213" ref="B619"/>
    <hyperlink r:id="rId214" ref="A620"/>
    <hyperlink r:id="rId215" ref="B621"/>
    <hyperlink r:id="rId216" ref="A622"/>
    <hyperlink r:id="rId217" ref="B623"/>
  </hyperlinks>
  <printOptions horizontalCentered="1"/>
  <pageMargins bottom="0.75" footer="0.0" header="0.0" left="0.25" right="0.25" top="0.75"/>
  <pageSetup orientation="portrait"/>
  <headerFooter>
    <oddFooter>&amp;CS K Y R I M    Q U E S T    C H E C K L I S T&amp;Rpage &amp;P of </oddFooter>
  </headerFooter>
  <drawing r:id="rId2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57"/>
    <col customWidth="1" min="2" max="2" width="15.0"/>
    <col customWidth="1" min="3" max="3" width="14.0"/>
    <col customWidth="1" min="4" max="4" width="11.0"/>
    <col customWidth="1" min="5" max="5" width="10.29"/>
    <col customWidth="1" min="6" max="6" width="11.29"/>
    <col customWidth="1" min="7" max="8" width="12.0"/>
    <col customWidth="1" min="9" max="9" width="9.29"/>
    <col customWidth="1" min="10" max="10" width="11.86"/>
    <col customWidth="1" min="11" max="11" width="11.57"/>
    <col customWidth="1" min="12" max="12" width="37.29"/>
    <col customWidth="1" min="13" max="13" width="13.14"/>
    <col customWidth="1" min="14" max="14" width="61.86"/>
  </cols>
  <sheetData>
    <row r="1">
      <c r="A1" s="312" t="s">
        <v>1510</v>
      </c>
      <c r="B1" s="312" t="s">
        <v>1511</v>
      </c>
      <c r="C1" s="312" t="s">
        <v>1512</v>
      </c>
      <c r="D1" s="312" t="s">
        <v>1513</v>
      </c>
      <c r="E1" s="312" t="s">
        <v>1514</v>
      </c>
      <c r="F1" s="312" t="s">
        <v>1515</v>
      </c>
      <c r="G1" s="312" t="s">
        <v>1516</v>
      </c>
      <c r="H1" s="312" t="s">
        <v>1517</v>
      </c>
      <c r="I1" s="312" t="s">
        <v>1518</v>
      </c>
      <c r="J1" s="312" t="s">
        <v>1519</v>
      </c>
      <c r="K1" s="312" t="s">
        <v>1520</v>
      </c>
      <c r="L1" s="312" t="s">
        <v>1521</v>
      </c>
      <c r="M1" s="312" t="s">
        <v>1522</v>
      </c>
      <c r="N1" s="312" t="s">
        <v>1523</v>
      </c>
    </row>
    <row r="2">
      <c r="A2" s="46" t="s">
        <v>1524</v>
      </c>
      <c r="B2" s="313">
        <f>(countif(B3:B60,"*Y*")/COUNTA(B3:B60))</f>
        <v>0</v>
      </c>
      <c r="C2" s="314" t="s">
        <v>1524</v>
      </c>
      <c r="D2" s="314" t="s">
        <v>1524</v>
      </c>
      <c r="E2" s="314" t="s">
        <v>1524</v>
      </c>
      <c r="F2" s="314" t="s">
        <v>1524</v>
      </c>
      <c r="G2" s="314" t="s">
        <v>1524</v>
      </c>
      <c r="H2" s="314" t="s">
        <v>1524</v>
      </c>
      <c r="I2" s="314" t="s">
        <v>1524</v>
      </c>
      <c r="J2" s="314" t="s">
        <v>1524</v>
      </c>
      <c r="K2" s="46" t="s">
        <v>1524</v>
      </c>
      <c r="L2" s="46" t="s">
        <v>1524</v>
      </c>
      <c r="M2" s="46" t="s">
        <v>1524</v>
      </c>
      <c r="N2" s="46" t="s">
        <v>1524</v>
      </c>
    </row>
    <row r="3">
      <c r="A3" s="315" t="str">
        <f>HYPERLINK("https://en.uesp.net/wiki/Skyrim:Fortify_Alchemy","Fortify Alchemy")</f>
        <v>Fortify Alchemy</v>
      </c>
      <c r="B3" s="63" t="s">
        <v>132</v>
      </c>
      <c r="C3" s="316" t="s">
        <v>1524</v>
      </c>
      <c r="D3" s="316" t="s">
        <v>1525</v>
      </c>
      <c r="E3" s="316" t="s">
        <v>1525</v>
      </c>
      <c r="F3" s="316" t="s">
        <v>1524</v>
      </c>
      <c r="G3" s="316" t="s">
        <v>1525</v>
      </c>
      <c r="H3" s="316" t="s">
        <v>1525</v>
      </c>
      <c r="I3" s="316" t="s">
        <v>1524</v>
      </c>
      <c r="J3" s="316" t="s">
        <v>1524</v>
      </c>
      <c r="K3" s="316" t="s">
        <v>1524</v>
      </c>
      <c r="L3" s="317" t="s">
        <v>1526</v>
      </c>
      <c r="M3" s="316">
        <v>167.0</v>
      </c>
      <c r="N3" s="316" t="s">
        <v>1527</v>
      </c>
    </row>
    <row r="4">
      <c r="A4" s="315" t="str">
        <f>HYPERLINK("https://en.uesp.net/wiki/Skyrim:Fortify_Alteration","Fortify Alteration")</f>
        <v>Fortify Alteration</v>
      </c>
      <c r="B4" s="63" t="s">
        <v>132</v>
      </c>
      <c r="C4" s="316" t="s">
        <v>1524</v>
      </c>
      <c r="D4" s="316" t="s">
        <v>1525</v>
      </c>
      <c r="E4" s="316" t="s">
        <v>1525</v>
      </c>
      <c r="F4" s="316" t="s">
        <v>1525</v>
      </c>
      <c r="G4" s="316" t="s">
        <v>1524</v>
      </c>
      <c r="H4" s="316" t="s">
        <v>1525</v>
      </c>
      <c r="I4" s="316" t="s">
        <v>1524</v>
      </c>
      <c r="J4" s="316" t="s">
        <v>1524</v>
      </c>
      <c r="K4" s="316" t="s">
        <v>1524</v>
      </c>
      <c r="L4" s="316" t="s">
        <v>1528</v>
      </c>
      <c r="M4" s="316">
        <v>206.0</v>
      </c>
      <c r="N4" s="316" t="s">
        <v>1529</v>
      </c>
    </row>
    <row r="5">
      <c r="A5" s="315" t="str">
        <f>HYPERLINK("https://en.uesp.net/wiki/Skyrim:Enchanting_Effects","Fortify Alteration &amp; Magicka Regen")</f>
        <v>Fortify Alteration &amp; Magicka Regen</v>
      </c>
      <c r="B5" s="63" t="s">
        <v>132</v>
      </c>
      <c r="C5" s="316" t="s">
        <v>1524</v>
      </c>
      <c r="D5" s="316" t="s">
        <v>1524</v>
      </c>
      <c r="E5" s="316" t="s">
        <v>1524</v>
      </c>
      <c r="F5" s="316" t="s">
        <v>1525</v>
      </c>
      <c r="G5" s="316" t="s">
        <v>1524</v>
      </c>
      <c r="H5" s="316" t="s">
        <v>1524</v>
      </c>
      <c r="I5" s="316" t="s">
        <v>1524</v>
      </c>
      <c r="J5" s="316" t="s">
        <v>1524</v>
      </c>
      <c r="K5" s="316" t="s">
        <v>1524</v>
      </c>
      <c r="L5" s="316" t="s">
        <v>1530</v>
      </c>
      <c r="M5" s="316">
        <v>176.0</v>
      </c>
      <c r="N5" s="316" t="s">
        <v>1531</v>
      </c>
    </row>
    <row r="6">
      <c r="A6" s="315" t="str">
        <f>HYPERLINK("https://en.uesp.net/wiki/Skyrim:Fortify_Archery","Fortify Archery")</f>
        <v>Fortify Archery</v>
      </c>
      <c r="B6" s="63" t="s">
        <v>132</v>
      </c>
      <c r="C6" s="316" t="s">
        <v>1524</v>
      </c>
      <c r="D6" s="316" t="s">
        <v>1525</v>
      </c>
      <c r="E6" s="316" t="s">
        <v>1525</v>
      </c>
      <c r="F6" s="316" t="s">
        <v>1524</v>
      </c>
      <c r="G6" s="316" t="s">
        <v>1525</v>
      </c>
      <c r="H6" s="316" t="s">
        <v>1525</v>
      </c>
      <c r="I6" s="316" t="s">
        <v>1524</v>
      </c>
      <c r="J6" s="316" t="s">
        <v>1524</v>
      </c>
      <c r="K6" s="316" t="s">
        <v>1524</v>
      </c>
      <c r="L6" s="316" t="s">
        <v>1532</v>
      </c>
      <c r="M6" s="316">
        <v>352.0</v>
      </c>
      <c r="N6" s="316" t="s">
        <v>1533</v>
      </c>
    </row>
    <row r="7">
      <c r="A7" s="315" t="str">
        <f>HYPERLINK("https://en.uesp.net/wiki/Skyrim:Fortify_Barter","Fortify Barter")</f>
        <v>Fortify Barter</v>
      </c>
      <c r="B7" s="63" t="s">
        <v>132</v>
      </c>
      <c r="C7" s="316" t="s">
        <v>1524</v>
      </c>
      <c r="D7" s="316" t="s">
        <v>1524</v>
      </c>
      <c r="E7" s="316" t="s">
        <v>1525</v>
      </c>
      <c r="F7" s="316" t="s">
        <v>1524</v>
      </c>
      <c r="G7" s="316" t="s">
        <v>1524</v>
      </c>
      <c r="H7" s="316" t="s">
        <v>1524</v>
      </c>
      <c r="I7" s="316" t="s">
        <v>1524</v>
      </c>
      <c r="J7" s="316" t="s">
        <v>1524</v>
      </c>
      <c r="K7" s="316" t="s">
        <v>1524</v>
      </c>
      <c r="L7" s="316" t="s">
        <v>1534</v>
      </c>
      <c r="M7" s="316">
        <v>206.0</v>
      </c>
      <c r="N7" s="316" t="s">
        <v>1535</v>
      </c>
    </row>
    <row r="8">
      <c r="A8" s="315" t="str">
        <f>HYPERLINK("https://en.uesp.net/wiki/Skyrim:Fortify_Block","Fortify Block")</f>
        <v>Fortify Block</v>
      </c>
      <c r="B8" s="63" t="s">
        <v>132</v>
      </c>
      <c r="C8" s="316" t="s">
        <v>1524</v>
      </c>
      <c r="D8" s="316" t="s">
        <v>1524</v>
      </c>
      <c r="E8" s="316" t="s">
        <v>1525</v>
      </c>
      <c r="F8" s="316" t="s">
        <v>1524</v>
      </c>
      <c r="G8" s="316" t="s">
        <v>1525</v>
      </c>
      <c r="H8" s="316" t="s">
        <v>1525</v>
      </c>
      <c r="I8" s="316" t="s">
        <v>1524</v>
      </c>
      <c r="J8" s="316" t="s">
        <v>1525</v>
      </c>
      <c r="K8" s="316" t="s">
        <v>1524</v>
      </c>
      <c r="L8" s="316" t="s">
        <v>1536</v>
      </c>
      <c r="M8" s="316">
        <v>235.0</v>
      </c>
      <c r="N8" s="316" t="s">
        <v>1537</v>
      </c>
    </row>
    <row r="9">
      <c r="A9" s="315" t="str">
        <f>HYPERLINK("https://en.uesp.net/wiki/Skyrim:Fortify_Carry_Weight","Fortify Carry Weight")</f>
        <v>Fortify Carry Weight</v>
      </c>
      <c r="B9" s="63" t="s">
        <v>132</v>
      </c>
      <c r="C9" s="316" t="s">
        <v>1524</v>
      </c>
      <c r="D9" s="316" t="s">
        <v>1524</v>
      </c>
      <c r="E9" s="316" t="s">
        <v>1525</v>
      </c>
      <c r="F9" s="316" t="s">
        <v>1524</v>
      </c>
      <c r="G9" s="316" t="s">
        <v>1525</v>
      </c>
      <c r="H9" s="316" t="s">
        <v>1538</v>
      </c>
      <c r="I9" s="316" t="s">
        <v>1525</v>
      </c>
      <c r="J9" s="316" t="s">
        <v>1524</v>
      </c>
      <c r="K9" s="316" t="s">
        <v>1524</v>
      </c>
      <c r="L9" s="316" t="s">
        <v>1539</v>
      </c>
      <c r="M9" s="316">
        <v>393.0</v>
      </c>
      <c r="N9" s="316" t="s">
        <v>1540</v>
      </c>
    </row>
    <row r="10">
      <c r="A10" s="315" t="str">
        <f>HYPERLINK("https://en.uesp.net/wiki/Skyrim:Fortify_Conjuration","Fortify Conjuration")</f>
        <v>Fortify Conjuration</v>
      </c>
      <c r="B10" s="63" t="s">
        <v>132</v>
      </c>
      <c r="C10" s="316" t="s">
        <v>1524</v>
      </c>
      <c r="D10" s="316" t="s">
        <v>1525</v>
      </c>
      <c r="E10" s="316" t="s">
        <v>1525</v>
      </c>
      <c r="F10" s="316" t="s">
        <v>1525</v>
      </c>
      <c r="G10" s="316" t="s">
        <v>1524</v>
      </c>
      <c r="H10" s="316" t="s">
        <v>1525</v>
      </c>
      <c r="I10" s="316" t="s">
        <v>1524</v>
      </c>
      <c r="J10" s="316" t="s">
        <v>1524</v>
      </c>
      <c r="K10" s="316" t="s">
        <v>1524</v>
      </c>
      <c r="L10" s="316" t="s">
        <v>1528</v>
      </c>
      <c r="M10" s="316">
        <v>248.0</v>
      </c>
      <c r="N10" s="316" t="s">
        <v>1541</v>
      </c>
    </row>
    <row r="11">
      <c r="A11" s="315" t="str">
        <f>HYPERLINK("https://en.uesp.net/wiki/Skyrim:Enchanting_Effects","Fortify Conjuration &amp; Magicka Regen")</f>
        <v>Fortify Conjuration &amp; Magicka Regen</v>
      </c>
      <c r="B11" s="63" t="s">
        <v>132</v>
      </c>
      <c r="C11" s="316" t="s">
        <v>1524</v>
      </c>
      <c r="D11" s="316" t="s">
        <v>1524</v>
      </c>
      <c r="E11" s="316" t="s">
        <v>1524</v>
      </c>
      <c r="F11" s="316" t="s">
        <v>1525</v>
      </c>
      <c r="G11" s="316" t="s">
        <v>1524</v>
      </c>
      <c r="H11" s="316" t="s">
        <v>1524</v>
      </c>
      <c r="I11" s="316" t="s">
        <v>1524</v>
      </c>
      <c r="J11" s="316" t="s">
        <v>1524</v>
      </c>
      <c r="K11" s="316" t="s">
        <v>1524</v>
      </c>
      <c r="L11" s="316" t="s">
        <v>1530</v>
      </c>
      <c r="M11" s="316">
        <v>199.0</v>
      </c>
      <c r="N11" s="316" t="s">
        <v>1542</v>
      </c>
    </row>
    <row r="12">
      <c r="A12" s="315" t="str">
        <f>HYPERLINK("https://en.uesp.net/wiki/Skyrim:Fortify_Destruction","Fortify Destruction")</f>
        <v>Fortify Destruction</v>
      </c>
      <c r="B12" s="63" t="s">
        <v>132</v>
      </c>
      <c r="C12" s="316" t="s">
        <v>1524</v>
      </c>
      <c r="D12" s="316" t="s">
        <v>1525</v>
      </c>
      <c r="E12" s="316" t="s">
        <v>1525</v>
      </c>
      <c r="F12" s="316" t="s">
        <v>1525</v>
      </c>
      <c r="G12" s="316" t="s">
        <v>1524</v>
      </c>
      <c r="H12" s="316" t="s">
        <v>1525</v>
      </c>
      <c r="I12" s="316" t="s">
        <v>1524</v>
      </c>
      <c r="J12" s="316" t="s">
        <v>1524</v>
      </c>
      <c r="K12" s="316" t="s">
        <v>1524</v>
      </c>
      <c r="L12" s="316" t="s">
        <v>1528</v>
      </c>
      <c r="M12" s="316">
        <v>256.0</v>
      </c>
      <c r="N12" s="316" t="s">
        <v>1543</v>
      </c>
    </row>
    <row r="13">
      <c r="A13" s="315" t="str">
        <f>HYPERLINK("https://en.uesp.net/wiki/Skyrim:Enchanting_Effects","Fortify Destruction &amp; Magicka Regen")</f>
        <v>Fortify Destruction &amp; Magicka Regen</v>
      </c>
      <c r="B13" s="63" t="s">
        <v>132</v>
      </c>
      <c r="C13" s="316" t="s">
        <v>1524</v>
      </c>
      <c r="D13" s="316" t="s">
        <v>1524</v>
      </c>
      <c r="E13" s="316" t="s">
        <v>1524</v>
      </c>
      <c r="F13" s="316" t="s">
        <v>1525</v>
      </c>
      <c r="G13" s="316" t="s">
        <v>1524</v>
      </c>
      <c r="H13" s="316" t="s">
        <v>1524</v>
      </c>
      <c r="I13" s="316" t="s">
        <v>1524</v>
      </c>
      <c r="J13" s="316" t="s">
        <v>1524</v>
      </c>
      <c r="K13" s="316" t="s">
        <v>1524</v>
      </c>
      <c r="L13" s="316" t="s">
        <v>1530</v>
      </c>
      <c r="M13" s="316">
        <v>205.0</v>
      </c>
      <c r="N13" s="316" t="s">
        <v>1544</v>
      </c>
    </row>
    <row r="14">
      <c r="A14" s="315" t="str">
        <f>HYPERLINK("https://en.uesp.net/wiki/Skyrim:Regenerate_Health","Fortify Healing Rate")</f>
        <v>Fortify Healing Rate</v>
      </c>
      <c r="B14" s="63" t="s">
        <v>132</v>
      </c>
      <c r="C14" s="316" t="s">
        <v>1524</v>
      </c>
      <c r="D14" s="316" t="s">
        <v>1524</v>
      </c>
      <c r="E14" s="316" t="s">
        <v>1525</v>
      </c>
      <c r="F14" s="316" t="s">
        <v>1525</v>
      </c>
      <c r="G14" s="316" t="s">
        <v>1524</v>
      </c>
      <c r="H14" s="316" t="s">
        <v>1525</v>
      </c>
      <c r="I14" s="316" t="s">
        <v>1524</v>
      </c>
      <c r="J14" s="316" t="s">
        <v>1524</v>
      </c>
      <c r="K14" s="316" t="s">
        <v>1524</v>
      </c>
      <c r="L14" s="316" t="s">
        <v>1545</v>
      </c>
      <c r="M14" s="316">
        <v>251.0</v>
      </c>
      <c r="N14" s="316" t="s">
        <v>1546</v>
      </c>
    </row>
    <row r="15">
      <c r="A15" s="315" t="str">
        <f>HYPERLINK("https://en.uesp.net/wiki/Skyrim:Fortify_Health","Fortify Health")</f>
        <v>Fortify Health</v>
      </c>
      <c r="B15" s="63" t="s">
        <v>132</v>
      </c>
      <c r="C15" s="316" t="s">
        <v>1524</v>
      </c>
      <c r="D15" s="316" t="s">
        <v>1524</v>
      </c>
      <c r="E15" s="316" t="s">
        <v>1525</v>
      </c>
      <c r="F15" s="316" t="s">
        <v>1525</v>
      </c>
      <c r="G15" s="316" t="s">
        <v>1524</v>
      </c>
      <c r="H15" s="316" t="s">
        <v>1525</v>
      </c>
      <c r="I15" s="316" t="s">
        <v>1524</v>
      </c>
      <c r="J15" s="316" t="s">
        <v>1525</v>
      </c>
      <c r="K15" s="316" t="s">
        <v>1524</v>
      </c>
      <c r="L15" s="316" t="s">
        <v>1547</v>
      </c>
      <c r="M15" s="316">
        <v>202.0</v>
      </c>
      <c r="N15" s="316" t="s">
        <v>1548</v>
      </c>
    </row>
    <row r="16">
      <c r="A16" s="315" t="str">
        <f>HYPERLINK("https://en.uesp.net/wiki/Skyrim:Fortify_Heavy_Armor","Fortify Heavy Armor")</f>
        <v>Fortify Heavy Armor</v>
      </c>
      <c r="B16" s="63" t="s">
        <v>132</v>
      </c>
      <c r="C16" s="316" t="s">
        <v>1524</v>
      </c>
      <c r="D16" s="316" t="s">
        <v>1524</v>
      </c>
      <c r="E16" s="316" t="s">
        <v>1525</v>
      </c>
      <c r="F16" s="316" t="s">
        <v>1525</v>
      </c>
      <c r="G16" s="316" t="s">
        <v>1525</v>
      </c>
      <c r="H16" s="316" t="s">
        <v>1525</v>
      </c>
      <c r="I16" s="316" t="s">
        <v>1524</v>
      </c>
      <c r="J16" s="316" t="s">
        <v>1524</v>
      </c>
      <c r="K16" s="316" t="s">
        <v>1524</v>
      </c>
      <c r="L16" s="316" t="s">
        <v>1549</v>
      </c>
      <c r="M16" s="316">
        <v>157.0</v>
      </c>
      <c r="N16" s="316" t="s">
        <v>1550</v>
      </c>
    </row>
    <row r="17">
      <c r="A17" s="315" t="str">
        <f>HYPERLINK("https://en.uesp.net/wiki/Skyrim:Fortify_Illusion","Fortify Illusion")</f>
        <v>Fortify Illusion</v>
      </c>
      <c r="B17" s="63" t="s">
        <v>132</v>
      </c>
      <c r="C17" s="316" t="s">
        <v>1524</v>
      </c>
      <c r="D17" s="316" t="s">
        <v>1525</v>
      </c>
      <c r="E17" s="316" t="s">
        <v>1525</v>
      </c>
      <c r="F17" s="316" t="s">
        <v>1525</v>
      </c>
      <c r="G17" s="316" t="s">
        <v>1524</v>
      </c>
      <c r="H17" s="316" t="s">
        <v>1525</v>
      </c>
      <c r="I17" s="316" t="s">
        <v>1524</v>
      </c>
      <c r="J17" s="316" t="s">
        <v>1524</v>
      </c>
      <c r="K17" s="316" t="s">
        <v>1524</v>
      </c>
      <c r="L17" s="316" t="s">
        <v>1528</v>
      </c>
      <c r="M17" s="316">
        <v>226.0</v>
      </c>
      <c r="N17" s="316" t="s">
        <v>1551</v>
      </c>
    </row>
    <row r="18">
      <c r="A18" s="315" t="str">
        <f>HYPERLINK("https://en.uesp.net/wiki/Skyrim:Enchanting_Effects","Fortify Illusion &amp; Magicka Regen")</f>
        <v>Fortify Illusion &amp; Magicka Regen</v>
      </c>
      <c r="B18" s="63" t="s">
        <v>132</v>
      </c>
      <c r="C18" s="316" t="s">
        <v>1524</v>
      </c>
      <c r="D18" s="316" t="s">
        <v>1524</v>
      </c>
      <c r="E18" s="316" t="s">
        <v>1524</v>
      </c>
      <c r="F18" s="316" t="s">
        <v>1525</v>
      </c>
      <c r="G18" s="316" t="s">
        <v>1524</v>
      </c>
      <c r="H18" s="316" t="s">
        <v>1524</v>
      </c>
      <c r="I18" s="316" t="s">
        <v>1524</v>
      </c>
      <c r="J18" s="316" t="s">
        <v>1524</v>
      </c>
      <c r="K18" s="316" t="s">
        <v>1524</v>
      </c>
      <c r="L18" s="316" t="s">
        <v>1530</v>
      </c>
      <c r="M18" s="316">
        <v>182.0</v>
      </c>
      <c r="N18" s="316" t="s">
        <v>1552</v>
      </c>
    </row>
    <row r="19">
      <c r="A19" s="315" t="str">
        <f>HYPERLINK("https://en.uesp.net/wiki/Skyrim:Fortify_Light_Armor","Fortify Light Armor")</f>
        <v>Fortify Light Armor</v>
      </c>
      <c r="B19" s="63" t="s">
        <v>132</v>
      </c>
      <c r="C19" s="316" t="s">
        <v>1524</v>
      </c>
      <c r="D19" s="316" t="s">
        <v>1524</v>
      </c>
      <c r="E19" s="316" t="s">
        <v>1525</v>
      </c>
      <c r="F19" s="316" t="s">
        <v>1525</v>
      </c>
      <c r="G19" s="316" t="s">
        <v>1525</v>
      </c>
      <c r="H19" s="316" t="s">
        <v>1525</v>
      </c>
      <c r="I19" s="316" t="s">
        <v>1524</v>
      </c>
      <c r="J19" s="316" t="s">
        <v>1524</v>
      </c>
      <c r="K19" s="316" t="s">
        <v>1524</v>
      </c>
      <c r="L19" s="316" t="s">
        <v>1549</v>
      </c>
      <c r="M19" s="316">
        <v>137.0</v>
      </c>
      <c r="N19" s="316" t="s">
        <v>1553</v>
      </c>
    </row>
    <row r="20">
      <c r="A20" s="315" t="str">
        <f>HYPERLINK("https://en.uesp.net/wiki/Skyrim:Fortify_Lockpicking","Fortify Lockpicking")</f>
        <v>Fortify Lockpicking</v>
      </c>
      <c r="B20" s="63" t="s">
        <v>132</v>
      </c>
      <c r="C20" s="316" t="s">
        <v>1524</v>
      </c>
      <c r="D20" s="316" t="s">
        <v>1525</v>
      </c>
      <c r="E20" s="316" t="s">
        <v>1525</v>
      </c>
      <c r="F20" s="316" t="s">
        <v>1524</v>
      </c>
      <c r="G20" s="316" t="s">
        <v>1525</v>
      </c>
      <c r="H20" s="316" t="s">
        <v>1525</v>
      </c>
      <c r="I20" s="316" t="s">
        <v>1524</v>
      </c>
      <c r="J20" s="316" t="s">
        <v>1524</v>
      </c>
      <c r="K20" s="316" t="s">
        <v>1524</v>
      </c>
      <c r="L20" s="316" t="s">
        <v>1554</v>
      </c>
      <c r="M20" s="316">
        <v>168.0</v>
      </c>
      <c r="N20" s="316" t="s">
        <v>1555</v>
      </c>
    </row>
    <row r="21">
      <c r="A21" s="315" t="str">
        <f>HYPERLINK("https://en.uesp.net/wiki/Skyrim:Fortify_Magicka","Fortify Magicka")</f>
        <v>Fortify Magicka</v>
      </c>
      <c r="B21" s="63" t="s">
        <v>132</v>
      </c>
      <c r="C21" s="316" t="s">
        <v>1524</v>
      </c>
      <c r="D21" s="316" t="s">
        <v>1525</v>
      </c>
      <c r="E21" s="316" t="s">
        <v>1525</v>
      </c>
      <c r="F21" s="316" t="s">
        <v>1524</v>
      </c>
      <c r="G21" s="316" t="s">
        <v>1525</v>
      </c>
      <c r="H21" s="316" t="s">
        <v>1525</v>
      </c>
      <c r="I21" s="316" t="s">
        <v>1524</v>
      </c>
      <c r="J21" s="316" t="s">
        <v>1524</v>
      </c>
      <c r="K21" s="316" t="s">
        <v>1524</v>
      </c>
      <c r="L21" s="316" t="s">
        <v>1547</v>
      </c>
      <c r="M21" s="316">
        <v>188.0</v>
      </c>
      <c r="N21" s="316" t="s">
        <v>1556</v>
      </c>
    </row>
    <row r="22">
      <c r="A22" s="315" t="str">
        <f>HYPERLINK("https://en.uesp.net/wiki/Skyrim:Regenerate_Magicka","Fortify Magicka Regen")</f>
        <v>Fortify Magicka Regen</v>
      </c>
      <c r="B22" s="63" t="s">
        <v>132</v>
      </c>
      <c r="C22" s="316" t="s">
        <v>1524</v>
      </c>
      <c r="D22" s="316" t="s">
        <v>1525</v>
      </c>
      <c r="E22" s="316" t="s">
        <v>1524</v>
      </c>
      <c r="F22" s="316" t="s">
        <v>1525</v>
      </c>
      <c r="G22" s="316" t="s">
        <v>1524</v>
      </c>
      <c r="H22" s="316" t="s">
        <v>1525</v>
      </c>
      <c r="I22" s="316" t="s">
        <v>1524</v>
      </c>
      <c r="J22" s="316" t="s">
        <v>1524</v>
      </c>
      <c r="K22" s="316" t="s">
        <v>1524</v>
      </c>
      <c r="L22" s="316" t="s">
        <v>1557</v>
      </c>
      <c r="M22" s="316">
        <v>53.0</v>
      </c>
      <c r="N22" s="316" t="s">
        <v>1558</v>
      </c>
    </row>
    <row r="23">
      <c r="A23" s="315" t="str">
        <f>HYPERLINK("https://en.uesp.net/wiki/Skyrim:Fortify_One-handed","Fortify One-Handed")</f>
        <v>Fortify One-Handed</v>
      </c>
      <c r="B23" s="63" t="s">
        <v>132</v>
      </c>
      <c r="C23" s="316" t="s">
        <v>1524</v>
      </c>
      <c r="D23" s="316" t="s">
        <v>1524</v>
      </c>
      <c r="E23" s="316" t="s">
        <v>1525</v>
      </c>
      <c r="F23" s="316" t="s">
        <v>1524</v>
      </c>
      <c r="G23" s="316" t="s">
        <v>1525</v>
      </c>
      <c r="H23" s="316" t="s">
        <v>1525</v>
      </c>
      <c r="I23" s="316" t="s">
        <v>1525</v>
      </c>
      <c r="J23" s="316" t="s">
        <v>1524</v>
      </c>
      <c r="K23" s="316" t="s">
        <v>1524</v>
      </c>
      <c r="L23" s="316" t="s">
        <v>1532</v>
      </c>
      <c r="M23" s="316">
        <v>369.0</v>
      </c>
      <c r="N23" s="316" t="s">
        <v>1559</v>
      </c>
    </row>
    <row r="24">
      <c r="A24" s="315" t="str">
        <f>HYPERLINK("https://en.uesp.net/wiki/Skyrim:Fortify_Pickpocket","Fortify Pickpocket")</f>
        <v>Fortify Pickpocket</v>
      </c>
      <c r="B24" s="63" t="s">
        <v>132</v>
      </c>
      <c r="C24" s="316" t="s">
        <v>1524</v>
      </c>
      <c r="D24" s="316" t="s">
        <v>1524</v>
      </c>
      <c r="E24" s="316" t="s">
        <v>1525</v>
      </c>
      <c r="F24" s="316" t="s">
        <v>1524</v>
      </c>
      <c r="G24" s="316" t="s">
        <v>1525</v>
      </c>
      <c r="H24" s="316" t="s">
        <v>1525</v>
      </c>
      <c r="I24" s="316" t="s">
        <v>1525</v>
      </c>
      <c r="J24" s="316" t="s">
        <v>1524</v>
      </c>
      <c r="K24" s="316" t="s">
        <v>1524</v>
      </c>
      <c r="L24" s="316" t="s">
        <v>1560</v>
      </c>
      <c r="M24" s="316">
        <v>184.0</v>
      </c>
      <c r="N24" s="316" t="s">
        <v>1561</v>
      </c>
    </row>
    <row r="25">
      <c r="A25" s="315" t="str">
        <f>HYPERLINK("https://en.uesp.net/wiki/Skyrim:Fortify_Restoration","Fortify Restoration")</f>
        <v>Fortify Restoration</v>
      </c>
      <c r="B25" s="63" t="s">
        <v>132</v>
      </c>
      <c r="C25" s="316" t="s">
        <v>1524</v>
      </c>
      <c r="D25" s="316" t="s">
        <v>1525</v>
      </c>
      <c r="E25" s="316" t="s">
        <v>1525</v>
      </c>
      <c r="F25" s="316" t="s">
        <v>1525</v>
      </c>
      <c r="G25" s="316" t="s">
        <v>1524</v>
      </c>
      <c r="H25" s="316" t="s">
        <v>1525</v>
      </c>
      <c r="I25" s="316" t="s">
        <v>1524</v>
      </c>
      <c r="J25" s="316" t="s">
        <v>1524</v>
      </c>
      <c r="K25" s="316" t="s">
        <v>1524</v>
      </c>
      <c r="L25" s="316" t="s">
        <v>1528</v>
      </c>
      <c r="M25" s="316">
        <v>231.0</v>
      </c>
      <c r="N25" s="316" t="s">
        <v>1562</v>
      </c>
    </row>
    <row r="26">
      <c r="A26" s="315" t="str">
        <f>HYPERLINK("https://en.uesp.net/wiki/Skyrim:Enchanting_Effects","Fortify Restoration &amp; Magicka Regen")</f>
        <v>Fortify Restoration &amp; Magicka Regen</v>
      </c>
      <c r="B26" s="63" t="s">
        <v>132</v>
      </c>
      <c r="C26" s="316" t="s">
        <v>1524</v>
      </c>
      <c r="D26" s="316" t="s">
        <v>1524</v>
      </c>
      <c r="E26" s="316" t="s">
        <v>1524</v>
      </c>
      <c r="F26" s="316" t="s">
        <v>1525</v>
      </c>
      <c r="G26" s="316" t="s">
        <v>1524</v>
      </c>
      <c r="H26" s="316" t="s">
        <v>1524</v>
      </c>
      <c r="I26" s="316" t="s">
        <v>1524</v>
      </c>
      <c r="J26" s="316" t="s">
        <v>1524</v>
      </c>
      <c r="K26" s="316" t="s">
        <v>1524</v>
      </c>
      <c r="L26" s="316" t="s">
        <v>1530</v>
      </c>
      <c r="M26" s="316">
        <v>193.0</v>
      </c>
      <c r="N26" s="316" t="s">
        <v>1563</v>
      </c>
    </row>
    <row r="27">
      <c r="A27" s="315" t="str">
        <f>HYPERLINK("https://en.uesp.net/wiki/Skyrim:Fortify_Smithing","Fortify Smithing")</f>
        <v>Fortify Smithing</v>
      </c>
      <c r="B27" s="63" t="s">
        <v>132</v>
      </c>
      <c r="C27" s="316" t="s">
        <v>1524</v>
      </c>
      <c r="D27" s="316" t="s">
        <v>1524</v>
      </c>
      <c r="E27" s="316" t="s">
        <v>1525</v>
      </c>
      <c r="F27" s="316" t="s">
        <v>1525</v>
      </c>
      <c r="G27" s="316" t="s">
        <v>1525</v>
      </c>
      <c r="H27" s="316" t="s">
        <v>1525</v>
      </c>
      <c r="I27" s="316" t="s">
        <v>1524</v>
      </c>
      <c r="J27" s="316" t="s">
        <v>1524</v>
      </c>
      <c r="K27" s="316" t="s">
        <v>1524</v>
      </c>
      <c r="L27" s="316" t="s">
        <v>1564</v>
      </c>
      <c r="M27" s="316">
        <v>236.0</v>
      </c>
      <c r="N27" s="316" t="s">
        <v>1565</v>
      </c>
    </row>
    <row r="28">
      <c r="A28" s="315" t="str">
        <f>HYPERLINK("https://en.uesp.net/wiki/Skyrim:Fortify_Sneak","Fortify Sneak")</f>
        <v>Fortify Sneak</v>
      </c>
      <c r="B28" s="63" t="s">
        <v>132</v>
      </c>
      <c r="C28" s="316" t="s">
        <v>1524</v>
      </c>
      <c r="D28" s="316" t="s">
        <v>1524</v>
      </c>
      <c r="E28" s="316" t="s">
        <v>1525</v>
      </c>
      <c r="F28" s="316" t="s">
        <v>1524</v>
      </c>
      <c r="G28" s="316" t="s">
        <v>1525</v>
      </c>
      <c r="H28" s="316" t="s">
        <v>1525</v>
      </c>
      <c r="I28" s="316" t="s">
        <v>1525</v>
      </c>
      <c r="J28" s="316" t="s">
        <v>1524</v>
      </c>
      <c r="K28" s="316" t="s">
        <v>1524</v>
      </c>
      <c r="L28" s="316" t="s">
        <v>1554</v>
      </c>
      <c r="M28" s="316">
        <v>672.0</v>
      </c>
      <c r="N28" s="316" t="s">
        <v>1566</v>
      </c>
    </row>
    <row r="29">
      <c r="A29" s="315" t="str">
        <f>HYPERLINK("https://en.uesp.net/wiki/Skyrim:Fortify_Stamina","Fortify Stamina")</f>
        <v>Fortify Stamina</v>
      </c>
      <c r="B29" s="63" t="s">
        <v>132</v>
      </c>
      <c r="C29" s="316" t="s">
        <v>1524</v>
      </c>
      <c r="D29" s="316" t="s">
        <v>1524</v>
      </c>
      <c r="E29" s="316" t="s">
        <v>1525</v>
      </c>
      <c r="F29" s="316" t="s">
        <v>1525</v>
      </c>
      <c r="G29" s="316" t="s">
        <v>1524</v>
      </c>
      <c r="H29" s="316" t="s">
        <v>1525</v>
      </c>
      <c r="I29" s="316" t="s">
        <v>1525</v>
      </c>
      <c r="J29" s="316" t="s">
        <v>1524</v>
      </c>
      <c r="K29" s="316" t="s">
        <v>1524</v>
      </c>
      <c r="L29" s="316" t="s">
        <v>1547</v>
      </c>
      <c r="M29" s="316">
        <v>161.0</v>
      </c>
      <c r="N29" s="316" t="s">
        <v>1567</v>
      </c>
    </row>
    <row r="30">
      <c r="A30" s="315" t="str">
        <f>HYPERLINK("https://en.uesp.net/wiki/Skyrim:Regenerate_Stamina","Fortify Stamina Regen")</f>
        <v>Fortify Stamina Regen</v>
      </c>
      <c r="B30" s="63" t="s">
        <v>132</v>
      </c>
      <c r="C30" s="316" t="s">
        <v>1524</v>
      </c>
      <c r="D30" s="316" t="s">
        <v>1524</v>
      </c>
      <c r="E30" s="316" t="s">
        <v>1525</v>
      </c>
      <c r="F30" s="316" t="s">
        <v>1525</v>
      </c>
      <c r="G30" s="316" t="s">
        <v>1524</v>
      </c>
      <c r="H30" s="316" t="s">
        <v>1525</v>
      </c>
      <c r="I30" s="316" t="s">
        <v>1525</v>
      </c>
      <c r="J30" s="316" t="s">
        <v>1524</v>
      </c>
      <c r="K30" s="316" t="s">
        <v>1524</v>
      </c>
      <c r="L30" s="316" t="s">
        <v>1545</v>
      </c>
      <c r="M30" s="316">
        <v>125.0</v>
      </c>
      <c r="N30" s="316" t="s">
        <v>1568</v>
      </c>
    </row>
    <row r="31">
      <c r="A31" s="315" t="str">
        <f>HYPERLINK("https://en.uesp.net/wiki/Skyrim:Fortify_Two-handed","Fortify Two-Handed")</f>
        <v>Fortify Two-Handed</v>
      </c>
      <c r="B31" s="63" t="s">
        <v>132</v>
      </c>
      <c r="C31" s="316" t="s">
        <v>1524</v>
      </c>
      <c r="D31" s="316" t="s">
        <v>1524</v>
      </c>
      <c r="E31" s="316" t="s">
        <v>1525</v>
      </c>
      <c r="F31" s="316" t="s">
        <v>1524</v>
      </c>
      <c r="G31" s="316" t="s">
        <v>1525</v>
      </c>
      <c r="H31" s="316" t="s">
        <v>1525</v>
      </c>
      <c r="I31" s="316" t="s">
        <v>1525</v>
      </c>
      <c r="J31" s="316" t="s">
        <v>1524</v>
      </c>
      <c r="K31" s="316" t="s">
        <v>1524</v>
      </c>
      <c r="L31" s="316" t="s">
        <v>1532</v>
      </c>
      <c r="M31" s="316">
        <v>369.0</v>
      </c>
      <c r="N31" s="316" t="s">
        <v>1569</v>
      </c>
    </row>
    <row r="32">
      <c r="A32" s="315" t="str">
        <f>HYPERLINK("https://en.uesp.net/wiki/Skyrim:Fortify_Unarmed_Damage","Fortify Unarmed")</f>
        <v>Fortify Unarmed</v>
      </c>
      <c r="B32" s="63" t="s">
        <v>132</v>
      </c>
      <c r="C32" s="316" t="s">
        <v>1524</v>
      </c>
      <c r="D32" s="316" t="s">
        <v>1524</v>
      </c>
      <c r="E32" s="316" t="s">
        <v>1524</v>
      </c>
      <c r="F32" s="316" t="s">
        <v>1524</v>
      </c>
      <c r="G32" s="316" t="s">
        <v>1525</v>
      </c>
      <c r="H32" s="316" t="s">
        <v>1525</v>
      </c>
      <c r="I32" s="316" t="s">
        <v>1524</v>
      </c>
      <c r="J32" s="316" t="s">
        <v>1524</v>
      </c>
      <c r="K32" s="316" t="s">
        <v>1524</v>
      </c>
      <c r="L32" s="316" t="s">
        <v>1570</v>
      </c>
      <c r="M32" s="316">
        <v>88.0</v>
      </c>
      <c r="N32" s="316" t="s">
        <v>1571</v>
      </c>
    </row>
    <row r="33">
      <c r="A33" s="315" t="str">
        <f>HYPERLINK("https://en.uesp.net/wiki/Skyrim:Muffle_(effect)","Muffle")</f>
        <v>Muffle</v>
      </c>
      <c r="B33" s="63" t="s">
        <v>132</v>
      </c>
      <c r="C33" s="316" t="s">
        <v>1524</v>
      </c>
      <c r="D33" s="316" t="s">
        <v>1524</v>
      </c>
      <c r="E33" s="316" t="s">
        <v>1524</v>
      </c>
      <c r="F33" s="316" t="s">
        <v>1524</v>
      </c>
      <c r="G33" s="316" t="s">
        <v>1524</v>
      </c>
      <c r="H33" s="316" t="s">
        <v>1524</v>
      </c>
      <c r="I33" s="316" t="s">
        <v>1525</v>
      </c>
      <c r="J33" s="316" t="s">
        <v>1524</v>
      </c>
      <c r="K33" s="316" t="s">
        <v>1524</v>
      </c>
      <c r="L33" s="316" t="s">
        <v>134</v>
      </c>
      <c r="M33" s="316">
        <v>105.0</v>
      </c>
      <c r="N33" s="316" t="s">
        <v>1572</v>
      </c>
    </row>
    <row r="34">
      <c r="A34" s="315" t="str">
        <f>HYPERLINK("https://en.uesp.net/wiki/Skyrim:Resist_Disease","Resist Disease")</f>
        <v>Resist Disease</v>
      </c>
      <c r="B34" s="63" t="s">
        <v>132</v>
      </c>
      <c r="C34" s="316" t="s">
        <v>1524</v>
      </c>
      <c r="D34" s="316" t="s">
        <v>1524</v>
      </c>
      <c r="E34" s="316" t="s">
        <v>1525</v>
      </c>
      <c r="F34" s="316" t="s">
        <v>1525</v>
      </c>
      <c r="G34" s="316" t="s">
        <v>1524</v>
      </c>
      <c r="H34" s="316" t="s">
        <v>1525</v>
      </c>
      <c r="I34" s="316" t="s">
        <v>1524</v>
      </c>
      <c r="J34" s="316" t="s">
        <v>1525</v>
      </c>
      <c r="K34" s="316" t="s">
        <v>1524</v>
      </c>
      <c r="L34" s="316" t="s">
        <v>1573</v>
      </c>
      <c r="M34" s="316">
        <v>55.0</v>
      </c>
      <c r="N34" s="316" t="s">
        <v>1574</v>
      </c>
    </row>
    <row r="35">
      <c r="A35" s="315" t="str">
        <f>HYPERLINK("https://en.uesp.net/wiki/Skyrim:Resist_Fire","Resist Fire")</f>
        <v>Resist Fire</v>
      </c>
      <c r="B35" s="63" t="s">
        <v>132</v>
      </c>
      <c r="C35" s="316" t="s">
        <v>1524</v>
      </c>
      <c r="D35" s="316" t="s">
        <v>1524</v>
      </c>
      <c r="E35" s="316" t="s">
        <v>1525</v>
      </c>
      <c r="F35" s="316" t="s">
        <v>1524</v>
      </c>
      <c r="G35" s="316" t="s">
        <v>1524</v>
      </c>
      <c r="H35" s="316" t="s">
        <v>1525</v>
      </c>
      <c r="I35" s="316" t="s">
        <v>1525</v>
      </c>
      <c r="J35" s="316" t="s">
        <v>1525</v>
      </c>
      <c r="K35" s="316" t="s">
        <v>1524</v>
      </c>
      <c r="L35" s="316" t="s">
        <v>1575</v>
      </c>
      <c r="M35" s="316">
        <v>176.0</v>
      </c>
      <c r="N35" s="316" t="s">
        <v>1576</v>
      </c>
    </row>
    <row r="36">
      <c r="A36" s="315" t="str">
        <f>HYPERLINK("https://en.uesp.net/wiki/Skyrim:Resist_Frost","Resist Frost")</f>
        <v>Resist Frost</v>
      </c>
      <c r="B36" s="63" t="s">
        <v>132</v>
      </c>
      <c r="C36" s="316" t="s">
        <v>1524</v>
      </c>
      <c r="D36" s="316" t="s">
        <v>1524</v>
      </c>
      <c r="E36" s="316" t="s">
        <v>1525</v>
      </c>
      <c r="F36" s="316" t="s">
        <v>1524</v>
      </c>
      <c r="G36" s="316" t="s">
        <v>1524</v>
      </c>
      <c r="H36" s="316" t="s">
        <v>1525</v>
      </c>
      <c r="I36" s="316" t="s">
        <v>1525</v>
      </c>
      <c r="J36" s="316" t="s">
        <v>1525</v>
      </c>
      <c r="K36" s="316" t="s">
        <v>1524</v>
      </c>
      <c r="L36" s="316" t="s">
        <v>1575</v>
      </c>
      <c r="M36" s="316">
        <v>186.0</v>
      </c>
      <c r="N36" s="316" t="s">
        <v>1577</v>
      </c>
    </row>
    <row r="37">
      <c r="A37" s="315" t="str">
        <f>HYPERLINK("https://en.uesp.net/wiki/Skyrim:Resist_Magic","Resist Magic (Two Versions)")</f>
        <v>Resist Magic (Two Versions)</v>
      </c>
      <c r="B37" s="63" t="s">
        <v>132</v>
      </c>
      <c r="C37" s="316" t="s">
        <v>1524</v>
      </c>
      <c r="D37" s="316" t="s">
        <v>1524</v>
      </c>
      <c r="E37" s="316" t="s">
        <v>1525</v>
      </c>
      <c r="F37" s="316" t="s">
        <v>1524</v>
      </c>
      <c r="G37" s="316" t="s">
        <v>1524</v>
      </c>
      <c r="H37" s="316" t="s">
        <v>1525</v>
      </c>
      <c r="I37" s="316" t="s">
        <v>1524</v>
      </c>
      <c r="J37" s="316" t="s">
        <v>1525</v>
      </c>
      <c r="K37" s="316" t="s">
        <v>1524</v>
      </c>
      <c r="L37" s="316" t="s">
        <v>1578</v>
      </c>
      <c r="M37" s="316">
        <v>187.0</v>
      </c>
      <c r="N37" s="316" t="s">
        <v>1579</v>
      </c>
    </row>
    <row r="38">
      <c r="A38" s="315" t="str">
        <f>HYPERLINK("https://en.uesp.net/wiki/Skyrim:Resist_Poison","Resist Poison")</f>
        <v>Resist Poison</v>
      </c>
      <c r="B38" s="63" t="s">
        <v>132</v>
      </c>
      <c r="C38" s="316" t="s">
        <v>1524</v>
      </c>
      <c r="D38" s="316" t="s">
        <v>1524</v>
      </c>
      <c r="E38" s="316" t="s">
        <v>1525</v>
      </c>
      <c r="F38" s="316" t="s">
        <v>1525</v>
      </c>
      <c r="G38" s="316" t="s">
        <v>1524</v>
      </c>
      <c r="H38" s="316" t="s">
        <v>1525</v>
      </c>
      <c r="I38" s="316" t="s">
        <v>1524</v>
      </c>
      <c r="J38" s="316" t="s">
        <v>1525</v>
      </c>
      <c r="K38" s="316" t="s">
        <v>1524</v>
      </c>
      <c r="L38" s="316" t="s">
        <v>1575</v>
      </c>
      <c r="M38" s="316">
        <v>39.0</v>
      </c>
      <c r="N38" s="316" t="s">
        <v>1580</v>
      </c>
    </row>
    <row r="39">
      <c r="A39" s="315" t="str">
        <f>HYPERLINK("https://en.uesp.net/wiki/Skyrim:Resist_Shock","Resist Shock")</f>
        <v>Resist Shock</v>
      </c>
      <c r="B39" s="63" t="s">
        <v>132</v>
      </c>
      <c r="C39" s="316" t="s">
        <v>1524</v>
      </c>
      <c r="D39" s="316" t="s">
        <v>1524</v>
      </c>
      <c r="E39" s="316" t="s">
        <v>1525</v>
      </c>
      <c r="F39" s="316" t="s">
        <v>1524</v>
      </c>
      <c r="G39" s="316" t="s">
        <v>1524</v>
      </c>
      <c r="H39" s="316" t="s">
        <v>1525</v>
      </c>
      <c r="I39" s="316" t="s">
        <v>1525</v>
      </c>
      <c r="J39" s="316" t="s">
        <v>1525</v>
      </c>
      <c r="K39" s="316" t="s">
        <v>1524</v>
      </c>
      <c r="L39" s="316" t="s">
        <v>1575</v>
      </c>
      <c r="M39" s="316">
        <v>196.0</v>
      </c>
      <c r="N39" s="316" t="s">
        <v>1581</v>
      </c>
    </row>
    <row r="40">
      <c r="A40" s="315" t="str">
        <f>HYPERLINK("https://en.uesp.net/wiki/Skyrim:Waterbreathing_(effect)","Waterbreathing")</f>
        <v>Waterbreathing</v>
      </c>
      <c r="B40" s="63" t="s">
        <v>132</v>
      </c>
      <c r="C40" s="316" t="s">
        <v>1524</v>
      </c>
      <c r="D40" s="316" t="s">
        <v>1525</v>
      </c>
      <c r="E40" s="316" t="s">
        <v>1525</v>
      </c>
      <c r="F40" s="316" t="s">
        <v>1524</v>
      </c>
      <c r="G40" s="316" t="s">
        <v>1524</v>
      </c>
      <c r="H40" s="316" t="s">
        <v>1525</v>
      </c>
      <c r="I40" s="316" t="s">
        <v>1524</v>
      </c>
      <c r="J40" s="316" t="s">
        <v>1524</v>
      </c>
      <c r="K40" s="316" t="s">
        <v>1524</v>
      </c>
      <c r="L40" s="316" t="s">
        <v>134</v>
      </c>
      <c r="M40" s="316">
        <v>100.0</v>
      </c>
      <c r="N40" s="316" t="s">
        <v>1582</v>
      </c>
    </row>
    <row r="41">
      <c r="A41" s="315" t="str">
        <f>HYPERLINK("https://en.uesp.net/wiki/Skyrim:Absorb_Health","Absorb Health")</f>
        <v>Absorb Health</v>
      </c>
      <c r="B41" s="63" t="s">
        <v>132</v>
      </c>
      <c r="C41" s="316" t="s">
        <v>1525</v>
      </c>
      <c r="D41" s="316" t="s">
        <v>1524</v>
      </c>
      <c r="E41" s="316" t="s">
        <v>1524</v>
      </c>
      <c r="F41" s="316" t="s">
        <v>1524</v>
      </c>
      <c r="G41" s="316" t="s">
        <v>1524</v>
      </c>
      <c r="H41" s="316" t="s">
        <v>1524</v>
      </c>
      <c r="I41" s="316" t="s">
        <v>1524</v>
      </c>
      <c r="J41" s="316" t="s">
        <v>1524</v>
      </c>
      <c r="K41" s="316" t="s">
        <v>1583</v>
      </c>
      <c r="L41" s="317" t="s">
        <v>1584</v>
      </c>
      <c r="M41" s="316">
        <v>31.0</v>
      </c>
      <c r="N41" s="316" t="s">
        <v>1585</v>
      </c>
    </row>
    <row r="42">
      <c r="A42" s="315" t="str">
        <f>HYPERLINK("https://en.uesp.net/wiki/Skyrim:Absorb_Magicka","Absorb Magicka")</f>
        <v>Absorb Magicka</v>
      </c>
      <c r="B42" s="63" t="s">
        <v>132</v>
      </c>
      <c r="C42" s="316" t="s">
        <v>1525</v>
      </c>
      <c r="D42" s="316" t="s">
        <v>1524</v>
      </c>
      <c r="E42" s="316" t="s">
        <v>1524</v>
      </c>
      <c r="F42" s="316" t="s">
        <v>1524</v>
      </c>
      <c r="G42" s="316" t="s">
        <v>1524</v>
      </c>
      <c r="H42" s="316" t="s">
        <v>1524</v>
      </c>
      <c r="I42" s="316" t="s">
        <v>1524</v>
      </c>
      <c r="J42" s="316" t="s">
        <v>1524</v>
      </c>
      <c r="K42" s="316" t="s">
        <v>1583</v>
      </c>
      <c r="L42" s="316">
        <v>10.0</v>
      </c>
      <c r="M42" s="316">
        <v>21.0</v>
      </c>
      <c r="N42" s="316" t="s">
        <v>1586</v>
      </c>
    </row>
    <row r="43">
      <c r="A43" s="315" t="str">
        <f>HYPERLINK("https://en.uesp.net/wiki/Skyrim:Absorb_Stamina","Absorb Stamina")</f>
        <v>Absorb Stamina</v>
      </c>
      <c r="B43" s="63" t="s">
        <v>132</v>
      </c>
      <c r="C43" s="316" t="s">
        <v>1525</v>
      </c>
      <c r="D43" s="316" t="s">
        <v>1524</v>
      </c>
      <c r="E43" s="316" t="s">
        <v>1524</v>
      </c>
      <c r="F43" s="316" t="s">
        <v>1524</v>
      </c>
      <c r="G43" s="316" t="s">
        <v>1524</v>
      </c>
      <c r="H43" s="316" t="s">
        <v>1524</v>
      </c>
      <c r="I43" s="316" t="s">
        <v>1524</v>
      </c>
      <c r="J43" s="316" t="s">
        <v>1524</v>
      </c>
      <c r="K43" s="316" t="s">
        <v>1583</v>
      </c>
      <c r="L43" s="316">
        <v>10.0</v>
      </c>
      <c r="M43" s="316">
        <v>22.0</v>
      </c>
      <c r="N43" s="316" t="s">
        <v>1587</v>
      </c>
    </row>
    <row r="44">
      <c r="A44" s="315" t="str">
        <f>HYPERLINK("https://en.uesp.net/wiki/Skyrim:Banish","Banish")</f>
        <v>Banish</v>
      </c>
      <c r="B44" s="63" t="s">
        <v>132</v>
      </c>
      <c r="C44" s="316" t="s">
        <v>1525</v>
      </c>
      <c r="D44" s="316" t="s">
        <v>1524</v>
      </c>
      <c r="E44" s="316" t="s">
        <v>1524</v>
      </c>
      <c r="F44" s="316" t="s">
        <v>1524</v>
      </c>
      <c r="G44" s="316" t="s">
        <v>1524</v>
      </c>
      <c r="H44" s="316" t="s">
        <v>1524</v>
      </c>
      <c r="I44" s="316" t="s">
        <v>1524</v>
      </c>
      <c r="J44" s="316" t="s">
        <v>1524</v>
      </c>
      <c r="K44" s="316" t="s">
        <v>1588</v>
      </c>
      <c r="L44" s="316" t="s">
        <v>1589</v>
      </c>
      <c r="M44" s="316">
        <v>113.0</v>
      </c>
      <c r="N44" s="316" t="s">
        <v>1590</v>
      </c>
    </row>
    <row r="45">
      <c r="A45" s="315" t="str">
        <f>HYPERLINK("https://en.uesp.net/wiki/Dragonborn:Chaos_Damage","Chaos Damage (Dragonborn Only)")</f>
        <v>Chaos Damage (Dragonborn Only)</v>
      </c>
      <c r="B45" s="63" t="s">
        <v>132</v>
      </c>
      <c r="C45" s="316" t="s">
        <v>1525</v>
      </c>
      <c r="D45" s="316" t="s">
        <v>1524</v>
      </c>
      <c r="E45" s="316" t="s">
        <v>1524</v>
      </c>
      <c r="F45" s="316" t="s">
        <v>1524</v>
      </c>
      <c r="G45" s="316" t="s">
        <v>1524</v>
      </c>
      <c r="H45" s="316" t="s">
        <v>1524</v>
      </c>
      <c r="I45" s="316" t="s">
        <v>1524</v>
      </c>
      <c r="J45" s="316" t="s">
        <v>1524</v>
      </c>
      <c r="K45" s="316" t="s">
        <v>1583</v>
      </c>
      <c r="L45" s="316">
        <v>10.0</v>
      </c>
      <c r="M45" s="316">
        <v>19.0</v>
      </c>
      <c r="N45" s="316" t="s">
        <v>1591</v>
      </c>
    </row>
    <row r="46">
      <c r="A46" s="315" t="str">
        <f>HYPERLINK("https://en.uesp.net/wiki/Skyrim:Damage_Stamina","Damage Stamina")</f>
        <v>Damage Stamina</v>
      </c>
      <c r="B46" s="63" t="s">
        <v>132</v>
      </c>
      <c r="C46" s="316" t="s">
        <v>1525</v>
      </c>
      <c r="D46" s="316" t="s">
        <v>1524</v>
      </c>
      <c r="E46" s="316" t="s">
        <v>1524</v>
      </c>
      <c r="F46" s="316" t="s">
        <v>1524</v>
      </c>
      <c r="G46" s="316" t="s">
        <v>1524</v>
      </c>
      <c r="H46" s="316" t="s">
        <v>1524</v>
      </c>
      <c r="I46" s="316" t="s">
        <v>1524</v>
      </c>
      <c r="J46" s="316" t="s">
        <v>1524</v>
      </c>
      <c r="K46" s="316" t="s">
        <v>1583</v>
      </c>
      <c r="L46" s="316">
        <v>15.0</v>
      </c>
      <c r="M46" s="316">
        <v>29.0</v>
      </c>
      <c r="N46" s="316" t="s">
        <v>1592</v>
      </c>
    </row>
    <row r="47">
      <c r="A47" s="315" t="str">
        <f>HYPERLINK("https://en.uesp.net/wiki/Skyrim:Fear_(effect)","Fear")</f>
        <v>Fear</v>
      </c>
      <c r="B47" s="63" t="s">
        <v>132</v>
      </c>
      <c r="C47" s="316" t="s">
        <v>1525</v>
      </c>
      <c r="D47" s="316" t="s">
        <v>1524</v>
      </c>
      <c r="E47" s="316" t="s">
        <v>1524</v>
      </c>
      <c r="F47" s="316" t="s">
        <v>1524</v>
      </c>
      <c r="G47" s="316" t="s">
        <v>1524</v>
      </c>
      <c r="H47" s="316" t="s">
        <v>1524</v>
      </c>
      <c r="I47" s="316" t="s">
        <v>1524</v>
      </c>
      <c r="J47" s="316" t="s">
        <v>1524</v>
      </c>
      <c r="K47" s="316" t="s">
        <v>1593</v>
      </c>
      <c r="L47" s="316" t="s">
        <v>1594</v>
      </c>
      <c r="M47" s="316">
        <v>16.0</v>
      </c>
      <c r="N47" s="316" t="s">
        <v>1595</v>
      </c>
    </row>
    <row r="48">
      <c r="A48" s="315" t="str">
        <f>HYPERLINK("https://en.uesp.net/wiki/Skyrim:Fiery_Soul_Trap","Fiery Soul Trap")</f>
        <v>Fiery Soul Trap</v>
      </c>
      <c r="B48" s="63" t="s">
        <v>132</v>
      </c>
      <c r="C48" s="316" t="s">
        <v>1525</v>
      </c>
      <c r="D48" s="316" t="s">
        <v>1524</v>
      </c>
      <c r="E48" s="316" t="s">
        <v>1524</v>
      </c>
      <c r="F48" s="316" t="s">
        <v>1524</v>
      </c>
      <c r="G48" s="316" t="s">
        <v>1524</v>
      </c>
      <c r="H48" s="316" t="s">
        <v>1524</v>
      </c>
      <c r="I48" s="316" t="s">
        <v>1524</v>
      </c>
      <c r="J48" s="316" t="s">
        <v>1524</v>
      </c>
      <c r="K48" s="316" t="s">
        <v>1588</v>
      </c>
      <c r="L48" s="316" t="s">
        <v>1596</v>
      </c>
      <c r="M48" s="316">
        <v>11.0</v>
      </c>
      <c r="N48" s="316" t="s">
        <v>1597</v>
      </c>
    </row>
    <row r="49">
      <c r="A49" s="315" t="str">
        <f>HYPERLINK("https://en.uesp.net/wiki/Skyrim:Fire_Damage","Fire Damage")</f>
        <v>Fire Damage</v>
      </c>
      <c r="B49" s="63" t="s">
        <v>132</v>
      </c>
      <c r="C49" s="316" t="s">
        <v>1525</v>
      </c>
      <c r="D49" s="316" t="s">
        <v>1524</v>
      </c>
      <c r="E49" s="316" t="s">
        <v>1524</v>
      </c>
      <c r="F49" s="316" t="s">
        <v>1524</v>
      </c>
      <c r="G49" s="316" t="s">
        <v>1524</v>
      </c>
      <c r="H49" s="316" t="s">
        <v>1524</v>
      </c>
      <c r="I49" s="316" t="s">
        <v>1524</v>
      </c>
      <c r="J49" s="316" t="s">
        <v>1524</v>
      </c>
      <c r="K49" s="316" t="s">
        <v>1583</v>
      </c>
      <c r="L49" s="316">
        <v>10.0</v>
      </c>
      <c r="M49" s="316">
        <v>11.0</v>
      </c>
      <c r="N49" s="316" t="s">
        <v>1598</v>
      </c>
    </row>
    <row r="50">
      <c r="A50" s="315" t="str">
        <f>HYPERLINK("https://en.uesp.net/wiki/Skyrim:Frost_Damage","Frost Damage")</f>
        <v>Frost Damage</v>
      </c>
      <c r="B50" s="63" t="s">
        <v>132</v>
      </c>
      <c r="C50" s="316" t="s">
        <v>1525</v>
      </c>
      <c r="D50" s="316" t="s">
        <v>1524</v>
      </c>
      <c r="E50" s="316" t="s">
        <v>1524</v>
      </c>
      <c r="F50" s="316" t="s">
        <v>1524</v>
      </c>
      <c r="G50" s="316" t="s">
        <v>1524</v>
      </c>
      <c r="H50" s="316" t="s">
        <v>1524</v>
      </c>
      <c r="I50" s="316" t="s">
        <v>1524</v>
      </c>
      <c r="J50" s="316" t="s">
        <v>1524</v>
      </c>
      <c r="K50" s="316" t="s">
        <v>1583</v>
      </c>
      <c r="L50" s="316" t="s">
        <v>1599</v>
      </c>
      <c r="M50" s="316">
        <v>13.0</v>
      </c>
      <c r="N50" s="316" t="s">
        <v>1600</v>
      </c>
    </row>
    <row r="51">
      <c r="A51" s="315" t="str">
        <f>HYPERLINK("https://en.uesp.net/wiki/Skyrim:Huntsman%27s_Prowess","Huntsman's Prowess")</f>
        <v>Huntsman's Prowess</v>
      </c>
      <c r="B51" s="63" t="s">
        <v>132</v>
      </c>
      <c r="C51" s="316" t="s">
        <v>1525</v>
      </c>
      <c r="D51" s="316" t="s">
        <v>1524</v>
      </c>
      <c r="E51" s="316" t="s">
        <v>1524</v>
      </c>
      <c r="F51" s="316" t="s">
        <v>1524</v>
      </c>
      <c r="G51" s="316" t="s">
        <v>1524</v>
      </c>
      <c r="H51" s="316" t="s">
        <v>1524</v>
      </c>
      <c r="I51" s="316" t="s">
        <v>1524</v>
      </c>
      <c r="J51" s="316" t="s">
        <v>1524</v>
      </c>
      <c r="K51" s="316" t="s">
        <v>1583</v>
      </c>
      <c r="L51" s="316" t="s">
        <v>1601</v>
      </c>
      <c r="M51" s="316">
        <v>3.0</v>
      </c>
      <c r="N51" s="316" t="s">
        <v>1602</v>
      </c>
    </row>
    <row r="52">
      <c r="A52" s="315" t="str">
        <f>HYPERLINK("https://en.uesp.net/wiki/Skyrim:Damage_Magicka","Magicka Damage")</f>
        <v>Magicka Damage</v>
      </c>
      <c r="B52" s="63" t="s">
        <v>132</v>
      </c>
      <c r="C52" s="316" t="s">
        <v>1525</v>
      </c>
      <c r="D52" s="316" t="s">
        <v>1524</v>
      </c>
      <c r="E52" s="316" t="s">
        <v>1524</v>
      </c>
      <c r="F52" s="316" t="s">
        <v>1524</v>
      </c>
      <c r="G52" s="316" t="s">
        <v>1524</v>
      </c>
      <c r="H52" s="316" t="s">
        <v>1524</v>
      </c>
      <c r="I52" s="316" t="s">
        <v>1524</v>
      </c>
      <c r="J52" s="316" t="s">
        <v>1524</v>
      </c>
      <c r="K52" s="316" t="s">
        <v>1583</v>
      </c>
      <c r="L52" s="316">
        <v>15.0</v>
      </c>
      <c r="M52" s="316">
        <v>15.0</v>
      </c>
      <c r="N52" s="316" t="s">
        <v>1603</v>
      </c>
    </row>
    <row r="53">
      <c r="A53" s="315" t="str">
        <f>HYPERLINK("https://en.uesp.net/wiki/Skyrim:Paralyze_(effect)","Paralyze")</f>
        <v>Paralyze</v>
      </c>
      <c r="B53" s="63" t="s">
        <v>132</v>
      </c>
      <c r="C53" s="316" t="s">
        <v>1525</v>
      </c>
      <c r="D53" s="316" t="s">
        <v>1524</v>
      </c>
      <c r="E53" s="316" t="s">
        <v>1524</v>
      </c>
      <c r="F53" s="316" t="s">
        <v>1524</v>
      </c>
      <c r="G53" s="316" t="s">
        <v>1524</v>
      </c>
      <c r="H53" s="316" t="s">
        <v>1524</v>
      </c>
      <c r="I53" s="316" t="s">
        <v>1524</v>
      </c>
      <c r="J53" s="316" t="s">
        <v>1524</v>
      </c>
      <c r="K53" s="316" t="s">
        <v>1604</v>
      </c>
      <c r="L53" s="316" t="s">
        <v>1605</v>
      </c>
      <c r="M53" s="316">
        <v>34.0</v>
      </c>
      <c r="N53" s="316" t="s">
        <v>1606</v>
      </c>
    </row>
    <row r="54">
      <c r="A54" s="315" t="str">
        <f>HYPERLINK("https://en.uesp.net/wiki/Skyrim:Enchanting_Effects#cite_ref-FixedMagnitude_3-0","Shock Damage")</f>
        <v>Shock Damage</v>
      </c>
      <c r="B54" s="63" t="s">
        <v>132</v>
      </c>
      <c r="C54" s="316" t="s">
        <v>1525</v>
      </c>
      <c r="D54" s="316" t="s">
        <v>1524</v>
      </c>
      <c r="E54" s="316" t="s">
        <v>1524</v>
      </c>
      <c r="F54" s="316" t="s">
        <v>1524</v>
      </c>
      <c r="G54" s="316" t="s">
        <v>1524</v>
      </c>
      <c r="H54" s="316" t="s">
        <v>1524</v>
      </c>
      <c r="I54" s="316" t="s">
        <v>1524</v>
      </c>
      <c r="J54" s="316" t="s">
        <v>1524</v>
      </c>
      <c r="K54" s="316" t="s">
        <v>1583</v>
      </c>
      <c r="L54" s="316">
        <v>10.0</v>
      </c>
      <c r="M54" s="316">
        <v>14.0</v>
      </c>
      <c r="N54" s="316" t="s">
        <v>1607</v>
      </c>
    </row>
    <row r="55">
      <c r="A55" s="315" t="str">
        <f>HYPERLINK("https://en.uesp.net/wiki/Skyrim:Silent_Moons_Enchant","Silent Moons Enchant")</f>
        <v>Silent Moons Enchant</v>
      </c>
      <c r="B55" s="63" t="s">
        <v>132</v>
      </c>
      <c r="C55" s="316" t="s">
        <v>1525</v>
      </c>
      <c r="D55" s="316" t="s">
        <v>1524</v>
      </c>
      <c r="E55" s="316" t="s">
        <v>1524</v>
      </c>
      <c r="F55" s="316" t="s">
        <v>1524</v>
      </c>
      <c r="G55" s="316" t="s">
        <v>1524</v>
      </c>
      <c r="H55" s="316" t="s">
        <v>1524</v>
      </c>
      <c r="I55" s="316" t="s">
        <v>1524</v>
      </c>
      <c r="J55" s="316" t="s">
        <v>1524</v>
      </c>
      <c r="K55" s="316" t="s">
        <v>1583</v>
      </c>
      <c r="L55" s="316" t="s">
        <v>1608</v>
      </c>
      <c r="M55" s="316">
        <v>5.0</v>
      </c>
      <c r="N55" s="316" t="s">
        <v>1609</v>
      </c>
    </row>
    <row r="56">
      <c r="A56" s="315" t="str">
        <f>HYPERLINK("https://en.uesp.net/wiki/Skyrim:Smithing_Expertise","Smithing Expertise")</f>
        <v>Smithing Expertise</v>
      </c>
      <c r="B56" s="63" t="s">
        <v>132</v>
      </c>
      <c r="C56" s="316" t="s">
        <v>1525</v>
      </c>
      <c r="D56" s="316" t="s">
        <v>1524</v>
      </c>
      <c r="E56" s="316" t="s">
        <v>1524</v>
      </c>
      <c r="F56" s="316" t="s">
        <v>1524</v>
      </c>
      <c r="G56" s="316" t="s">
        <v>1524</v>
      </c>
      <c r="H56" s="316" t="s">
        <v>1524</v>
      </c>
      <c r="I56" s="316" t="s">
        <v>1524</v>
      </c>
      <c r="J56" s="316" t="s">
        <v>1524</v>
      </c>
      <c r="K56" s="316" t="s">
        <v>1583</v>
      </c>
      <c r="L56" s="316" t="s">
        <v>1610</v>
      </c>
      <c r="M56" s="316">
        <v>11.0</v>
      </c>
      <c r="N56" s="316" t="s">
        <v>1611</v>
      </c>
    </row>
    <row r="57">
      <c r="A57" s="315" t="str">
        <f>HYPERLINK("https://en.uesp.net/wiki/Skyrim:Soul_Trap_(effect)","Soul Trap")</f>
        <v>Soul Trap</v>
      </c>
      <c r="B57" s="63" t="s">
        <v>132</v>
      </c>
      <c r="C57" s="316" t="s">
        <v>1525</v>
      </c>
      <c r="D57" s="316" t="s">
        <v>1524</v>
      </c>
      <c r="E57" s="316" t="s">
        <v>1524</v>
      </c>
      <c r="F57" s="316" t="s">
        <v>1524</v>
      </c>
      <c r="G57" s="316" t="s">
        <v>1524</v>
      </c>
      <c r="H57" s="316" t="s">
        <v>1524</v>
      </c>
      <c r="I57" s="316" t="s">
        <v>1524</v>
      </c>
      <c r="J57" s="316" t="s">
        <v>1524</v>
      </c>
      <c r="K57" s="316" t="s">
        <v>1588</v>
      </c>
      <c r="L57" s="316" t="s">
        <v>1612</v>
      </c>
      <c r="M57" s="316">
        <v>9.0</v>
      </c>
      <c r="N57" s="316" t="s">
        <v>1613</v>
      </c>
    </row>
    <row r="58">
      <c r="A58" s="315" t="str">
        <f>HYPERLINK("https://en.uesp.net/wiki/Skyrim:Turn_Undead_(effect)","Turn Undead")</f>
        <v>Turn Undead</v>
      </c>
      <c r="B58" s="63" t="s">
        <v>132</v>
      </c>
      <c r="C58" s="316" t="s">
        <v>1525</v>
      </c>
      <c r="D58" s="316" t="s">
        <v>1524</v>
      </c>
      <c r="E58" s="316" t="s">
        <v>1524</v>
      </c>
      <c r="F58" s="316" t="s">
        <v>1524</v>
      </c>
      <c r="G58" s="316" t="s">
        <v>1524</v>
      </c>
      <c r="H58" s="316" t="s">
        <v>1524</v>
      </c>
      <c r="I58" s="316" t="s">
        <v>1524</v>
      </c>
      <c r="J58" s="316" t="s">
        <v>1524</v>
      </c>
      <c r="K58" s="316" t="s">
        <v>1614</v>
      </c>
      <c r="L58" s="316" t="s">
        <v>1594</v>
      </c>
      <c r="M58" s="316">
        <v>29.0</v>
      </c>
      <c r="N58" s="316" t="s">
        <v>1615</v>
      </c>
    </row>
    <row r="59">
      <c r="A59" s="318" t="str">
        <f>HYPERLINK("https://en.uesp.net/w/index.php?title=Skyrim:Dark_Moon&amp;action=edit&amp;redlink=1 ", "Dark Moon (AE)")</f>
        <v>Dark Moon (AE)</v>
      </c>
      <c r="B59" s="319" t="s">
        <v>132</v>
      </c>
      <c r="C59" s="42" t="s">
        <v>1524</v>
      </c>
      <c r="D59" s="320" t="s">
        <v>1525</v>
      </c>
      <c r="E59" s="320" t="s">
        <v>1525</v>
      </c>
      <c r="F59" s="42" t="s">
        <v>1524</v>
      </c>
      <c r="G59" s="320" t="s">
        <v>1525</v>
      </c>
      <c r="H59" s="320" t="s">
        <v>1525</v>
      </c>
      <c r="I59" s="42" t="s">
        <v>1524</v>
      </c>
      <c r="J59" s="42" t="s">
        <v>1524</v>
      </c>
      <c r="K59" s="42" t="s">
        <v>1524</v>
      </c>
      <c r="L59" s="320" t="s">
        <v>1616</v>
      </c>
      <c r="M59" s="320">
        <v>404.0</v>
      </c>
      <c r="N59" s="321" t="s">
        <v>1617</v>
      </c>
    </row>
    <row r="60">
      <c r="A60" s="318" t="str">
        <f>HYPERLINK("https://en.uesp.net/w/index.php?title=Skyrim:Empower_Necromancy&amp;action=edit&amp;redlink=1 ", "Empower Necromancy (AE)")</f>
        <v>Empower Necromancy (AE)</v>
      </c>
      <c r="B60" s="319" t="s">
        <v>132</v>
      </c>
      <c r="C60" s="42" t="s">
        <v>1524</v>
      </c>
      <c r="D60" s="42" t="s">
        <v>1524</v>
      </c>
      <c r="E60" s="42" t="s">
        <v>1524</v>
      </c>
      <c r="F60" s="320" t="s">
        <v>1525</v>
      </c>
      <c r="G60" s="42" t="s">
        <v>1524</v>
      </c>
      <c r="H60" s="42" t="s">
        <v>1524</v>
      </c>
      <c r="I60" s="42" t="s">
        <v>1524</v>
      </c>
      <c r="J60" s="42" t="s">
        <v>1524</v>
      </c>
      <c r="K60" s="42" t="s">
        <v>1524</v>
      </c>
      <c r="L60" s="320" t="s">
        <v>1618</v>
      </c>
      <c r="M60" s="320">
        <v>199.0</v>
      </c>
      <c r="N60" s="321" t="s">
        <v>1619</v>
      </c>
    </row>
  </sheetData>
  <autoFilter ref="$A$2:$N$60">
    <sortState ref="A2:N60">
      <sortCondition descending="1" sortBy="cellColor" ref="A2:A60" dxfId="9"/>
      <sortCondition ref="C2:C60"/>
    </sortState>
  </autoFilter>
  <conditionalFormatting sqref="B3:B60">
    <cfRule type="cellIs" dxfId="5" priority="1" operator="equal">
      <formula>"*"</formula>
    </cfRule>
  </conditionalFormatting>
  <conditionalFormatting sqref="B3:B60">
    <cfRule type="cellIs" dxfId="6" priority="2" operator="equal">
      <formula>"N"</formula>
    </cfRule>
  </conditionalFormatting>
  <conditionalFormatting sqref="B3:B60">
    <cfRule type="cellIs" dxfId="7" priority="3" operator="equal">
      <formula>"Y"</formula>
    </cfRule>
  </conditionalFormatting>
  <conditionalFormatting sqref="B3:B60">
    <cfRule type="cellIs" dxfId="4" priority="4" operator="equal">
      <formula>"N"</formula>
    </cfRule>
  </conditionalFormatting>
  <conditionalFormatting sqref="B3:B60">
    <cfRule type="cellIs" dxfId="1" priority="5" operator="equal">
      <formula>"Y"</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29"/>
    <col customWidth="1" min="2" max="2" width="12.43"/>
    <col customWidth="1" min="3" max="3" width="11.14"/>
    <col customWidth="1" min="4" max="4" width="14.43"/>
    <col customWidth="1" min="5" max="5" width="7.14"/>
    <col customWidth="1" min="6" max="6" width="145.86"/>
    <col customWidth="1" min="7" max="7" width="118.71"/>
    <col customWidth="1" min="8" max="8" width="10.14"/>
  </cols>
  <sheetData>
    <row r="1">
      <c r="A1" s="36" t="s">
        <v>1620</v>
      </c>
      <c r="B1" s="312" t="s">
        <v>1511</v>
      </c>
      <c r="C1" s="36" t="s">
        <v>1520</v>
      </c>
      <c r="D1" s="36" t="s">
        <v>1621</v>
      </c>
      <c r="E1" s="36" t="s">
        <v>1622</v>
      </c>
      <c r="F1" s="36" t="s">
        <v>129</v>
      </c>
      <c r="G1" s="36" t="s">
        <v>1623</v>
      </c>
      <c r="H1" s="36" t="s">
        <v>1624</v>
      </c>
    </row>
    <row r="2">
      <c r="A2" s="322" t="s">
        <v>1524</v>
      </c>
      <c r="B2" s="323">
        <f>(countif(B3:B116,"Y")/(Rows(B3:B170)-1))</f>
        <v>0.0119760479</v>
      </c>
      <c r="C2" s="322" t="s">
        <v>1524</v>
      </c>
      <c r="D2" s="322" t="s">
        <v>1524</v>
      </c>
      <c r="E2" s="322" t="s">
        <v>1524</v>
      </c>
      <c r="F2" s="322" t="s">
        <v>1524</v>
      </c>
      <c r="G2" s="322" t="s">
        <v>1524</v>
      </c>
      <c r="H2" s="322" t="s">
        <v>1524</v>
      </c>
    </row>
    <row r="3">
      <c r="A3" s="324" t="str">
        <f>HYPERLINK("https://en.uesp.net/wiki/Skyrim:Candlelight", "Candlelight")</f>
        <v>Candlelight</v>
      </c>
      <c r="B3" s="63" t="s">
        <v>132</v>
      </c>
      <c r="C3" s="325" t="s">
        <v>1604</v>
      </c>
      <c r="D3" s="326" t="s">
        <v>1625</v>
      </c>
      <c r="E3" s="325">
        <v>44.0</v>
      </c>
      <c r="F3" s="327" t="s">
        <v>1626</v>
      </c>
      <c r="G3" s="325" t="s">
        <v>1627</v>
      </c>
      <c r="H3" s="325" t="s">
        <v>1628</v>
      </c>
    </row>
    <row r="4">
      <c r="A4" s="324" t="str">
        <f>HYPERLINK("https://en.uesp.net/wiki/Skyrim:Equilibrium", "Equilibrium")</f>
        <v>Equilibrium</v>
      </c>
      <c r="B4" s="63" t="s">
        <v>132</v>
      </c>
      <c r="C4" s="325" t="s">
        <v>1604</v>
      </c>
      <c r="D4" s="328" t="s">
        <v>1625</v>
      </c>
      <c r="E4" s="325">
        <v>250.0</v>
      </c>
      <c r="F4" s="327" t="s">
        <v>1629</v>
      </c>
      <c r="G4" s="325" t="s">
        <v>1630</v>
      </c>
      <c r="H4" s="325" t="s">
        <v>1631</v>
      </c>
    </row>
    <row r="5">
      <c r="A5" s="324" t="str">
        <f>HYPERLINK("https://en.uesp.net/wiki/Skyrim:Oakflesh", "Oakflesh")</f>
        <v>Oakflesh</v>
      </c>
      <c r="B5" s="63" t="s">
        <v>132</v>
      </c>
      <c r="C5" s="325" t="s">
        <v>1604</v>
      </c>
      <c r="D5" s="328" t="s">
        <v>1625</v>
      </c>
      <c r="E5" s="325">
        <v>44.0</v>
      </c>
      <c r="F5" s="327" t="s">
        <v>1632</v>
      </c>
      <c r="G5" s="325" t="s">
        <v>1633</v>
      </c>
      <c r="H5" s="325" t="s">
        <v>1634</v>
      </c>
    </row>
    <row r="6">
      <c r="A6" s="324" t="str">
        <f>HYPERLINK("https://en.uesp.net/wiki/Skyrim:Magelight", "Magelight")</f>
        <v>Magelight</v>
      </c>
      <c r="B6" s="63" t="s">
        <v>132</v>
      </c>
      <c r="C6" s="325" t="s">
        <v>1604</v>
      </c>
      <c r="D6" s="328" t="s">
        <v>1635</v>
      </c>
      <c r="E6" s="325">
        <v>87.0</v>
      </c>
      <c r="F6" s="327" t="s">
        <v>1636</v>
      </c>
      <c r="G6" s="325" t="s">
        <v>1637</v>
      </c>
      <c r="H6" s="325" t="s">
        <v>1638</v>
      </c>
    </row>
    <row r="7">
      <c r="A7" s="324" t="str">
        <f>HYPERLINK("https://en.uesp.net/wiki/Skyrim:Stoneflesh", "Stoneflesh")</f>
        <v>Stoneflesh</v>
      </c>
      <c r="B7" s="63" t="s">
        <v>132</v>
      </c>
      <c r="C7" s="325" t="s">
        <v>1604</v>
      </c>
      <c r="D7" s="328" t="s">
        <v>1635</v>
      </c>
      <c r="E7" s="325">
        <v>95.0</v>
      </c>
      <c r="F7" s="327" t="s">
        <v>1639</v>
      </c>
      <c r="G7" s="325" t="s">
        <v>1637</v>
      </c>
      <c r="H7" s="325" t="s">
        <v>1640</v>
      </c>
    </row>
    <row r="8">
      <c r="A8" s="329" t="str">
        <f>HYPERLINK("https://en.uesp.net/wiki/Skyrim:Ash_Shell", "Ash Shell (DB)")</f>
        <v>Ash Shell (DB)</v>
      </c>
      <c r="B8" s="63" t="s">
        <v>132</v>
      </c>
      <c r="C8" s="325" t="s">
        <v>1604</v>
      </c>
      <c r="D8" s="328" t="s">
        <v>1641</v>
      </c>
      <c r="E8" s="325">
        <v>425.0</v>
      </c>
      <c r="F8" s="327" t="s">
        <v>1642</v>
      </c>
      <c r="G8" s="325" t="s">
        <v>1643</v>
      </c>
      <c r="H8" s="325" t="s">
        <v>1644</v>
      </c>
    </row>
    <row r="9">
      <c r="A9" s="324" t="str">
        <f>HYPERLINK("https://en.uesp.net/wiki/Skyrim:Detect_Life", "Detect Life")</f>
        <v>Detect Life</v>
      </c>
      <c r="B9" s="63" t="s">
        <v>132</v>
      </c>
      <c r="C9" s="325" t="s">
        <v>1604</v>
      </c>
      <c r="D9" s="328" t="s">
        <v>1641</v>
      </c>
      <c r="E9" s="325">
        <v>332.0</v>
      </c>
      <c r="F9" s="327" t="s">
        <v>1645</v>
      </c>
      <c r="G9" s="325" t="s">
        <v>1646</v>
      </c>
      <c r="H9" s="325" t="s">
        <v>1647</v>
      </c>
    </row>
    <row r="10">
      <c r="A10" s="324" t="str">
        <f>HYPERLINK("https://en.uesp.net/wiki/Skyrim:Ironflesh", "Ironflesh")</f>
        <v>Ironflesh</v>
      </c>
      <c r="B10" s="63" t="s">
        <v>132</v>
      </c>
      <c r="C10" s="325" t="s">
        <v>1604</v>
      </c>
      <c r="D10" s="328" t="s">
        <v>1641</v>
      </c>
      <c r="E10" s="325">
        <v>341.0</v>
      </c>
      <c r="F10" s="327" t="s">
        <v>1648</v>
      </c>
      <c r="G10" s="325" t="s">
        <v>1646</v>
      </c>
      <c r="H10" s="325" t="s">
        <v>1649</v>
      </c>
    </row>
    <row r="11">
      <c r="A11" s="324" t="str">
        <f>HYPERLINK("https://en.uesp.net/wiki/Skyrim:Telekinesis", "Telekinesis")</f>
        <v>Telekinesis</v>
      </c>
      <c r="B11" s="63" t="s">
        <v>132</v>
      </c>
      <c r="C11" s="325" t="s">
        <v>1604</v>
      </c>
      <c r="D11" s="328" t="s">
        <v>1641</v>
      </c>
      <c r="E11" s="325">
        <v>326.0</v>
      </c>
      <c r="F11" s="327" t="s">
        <v>1650</v>
      </c>
      <c r="G11" s="325" t="s">
        <v>1646</v>
      </c>
      <c r="H11" s="325" t="s">
        <v>1651</v>
      </c>
    </row>
    <row r="12">
      <c r="A12" s="324" t="str">
        <f>HYPERLINK("https://en.uesp.net/wiki/Skyrim:Transmute_Mineral_Ore", "Transmute Mineral Ore")</f>
        <v>Transmute Mineral Ore</v>
      </c>
      <c r="B12" s="63" t="s">
        <v>132</v>
      </c>
      <c r="C12" s="325" t="s">
        <v>1604</v>
      </c>
      <c r="D12" s="328" t="s">
        <v>1641</v>
      </c>
      <c r="E12" s="325">
        <v>200.0</v>
      </c>
      <c r="F12" s="327" t="s">
        <v>1652</v>
      </c>
      <c r="G12" s="325" t="s">
        <v>1653</v>
      </c>
      <c r="H12" s="330" t="s">
        <v>1654</v>
      </c>
    </row>
    <row r="13">
      <c r="A13" s="324" t="str">
        <f>HYPERLINK("https://en.uesp.net/wiki/Skyrim:Alteration_Spells#Waterbreathing", "Waterbreathing")</f>
        <v>Waterbreathing</v>
      </c>
      <c r="B13" s="63" t="s">
        <v>132</v>
      </c>
      <c r="C13" s="325" t="s">
        <v>1604</v>
      </c>
      <c r="D13" s="328" t="s">
        <v>1641</v>
      </c>
      <c r="E13" s="325">
        <v>340.0</v>
      </c>
      <c r="F13" s="327" t="s">
        <v>1655</v>
      </c>
      <c r="G13" s="325" t="s">
        <v>1646</v>
      </c>
      <c r="H13" s="325" t="s">
        <v>1656</v>
      </c>
    </row>
    <row r="14">
      <c r="A14" s="329" t="str">
        <f>HYPERLINK("https://en.uesp.net/wiki/Skyrim:Ash_Rune", "Ash Rune (DB)")</f>
        <v>Ash Rune (DB)</v>
      </c>
      <c r="B14" s="63" t="s">
        <v>132</v>
      </c>
      <c r="C14" s="325" t="s">
        <v>1604</v>
      </c>
      <c r="D14" s="328" t="s">
        <v>1657</v>
      </c>
      <c r="E14" s="325">
        <v>635.0</v>
      </c>
      <c r="F14" s="327" t="s">
        <v>1658</v>
      </c>
      <c r="G14" s="325" t="s">
        <v>1643</v>
      </c>
      <c r="H14" s="325" t="s">
        <v>1659</v>
      </c>
    </row>
    <row r="15">
      <c r="A15" s="324" t="str">
        <f>HYPERLINK("https://en.uesp.net/wiki/Skyrim:Detect_Dead", "Detect Dead")</f>
        <v>Detect Dead</v>
      </c>
      <c r="B15" s="63" t="s">
        <v>132</v>
      </c>
      <c r="C15" s="325" t="s">
        <v>1604</v>
      </c>
      <c r="D15" s="328" t="s">
        <v>1657</v>
      </c>
      <c r="E15" s="325">
        <v>600.0</v>
      </c>
      <c r="F15" s="327" t="s">
        <v>1660</v>
      </c>
      <c r="G15" s="325" t="s">
        <v>1661</v>
      </c>
      <c r="H15" s="325" t="s">
        <v>1662</v>
      </c>
    </row>
    <row r="16">
      <c r="A16" s="324" t="str">
        <f>HYPERLINK("https://en.uesp.net/wiki/Skyrim:Ebonyflesh", "Ebonyflesh")</f>
        <v>Ebonyflesh</v>
      </c>
      <c r="B16" s="63" t="s">
        <v>132</v>
      </c>
      <c r="C16" s="325" t="s">
        <v>1604</v>
      </c>
      <c r="D16" s="328" t="s">
        <v>1657</v>
      </c>
      <c r="E16" s="325">
        <v>650.0</v>
      </c>
      <c r="F16" s="327" t="s">
        <v>1663</v>
      </c>
      <c r="G16" s="325" t="s">
        <v>1661</v>
      </c>
      <c r="H16" s="325" t="s">
        <v>1664</v>
      </c>
    </row>
    <row r="17">
      <c r="A17" s="324" t="str">
        <f>HYPERLINK("https://en.uesp.net/wiki/Skyrim:Paralyze_(spell)", "Paralyze")</f>
        <v>Paralyze</v>
      </c>
      <c r="B17" s="63" t="s">
        <v>132</v>
      </c>
      <c r="C17" s="325" t="s">
        <v>1604</v>
      </c>
      <c r="D17" s="328" t="s">
        <v>1657</v>
      </c>
      <c r="E17" s="325">
        <v>685.0</v>
      </c>
      <c r="F17" s="327" t="s">
        <v>1665</v>
      </c>
      <c r="G17" s="325" t="s">
        <v>1661</v>
      </c>
      <c r="H17" s="325" t="s">
        <v>1666</v>
      </c>
    </row>
    <row r="18">
      <c r="A18" s="324" t="str">
        <f>HYPERLINK("https://en.uesp.net/wiki/Skyrim:Dragonhide", "Dragonhide")</f>
        <v>Dragonhide</v>
      </c>
      <c r="B18" s="63" t="s">
        <v>132</v>
      </c>
      <c r="C18" s="325" t="s">
        <v>1604</v>
      </c>
      <c r="D18" s="328" t="s">
        <v>1667</v>
      </c>
      <c r="E18" s="325">
        <v>1389.0</v>
      </c>
      <c r="F18" s="327" t="s">
        <v>1668</v>
      </c>
      <c r="G18" s="325" t="s">
        <v>1669</v>
      </c>
      <c r="H18" s="325" t="s">
        <v>1670</v>
      </c>
    </row>
    <row r="19">
      <c r="A19" s="324" t="str">
        <f>HYPERLINK("https://en.uesp.net/wiki/Skyrim:Mass_Paralysis", "Mass Paralysis")</f>
        <v>Mass Paralysis</v>
      </c>
      <c r="B19" s="63" t="s">
        <v>132</v>
      </c>
      <c r="C19" s="325" t="s">
        <v>1604</v>
      </c>
      <c r="D19" s="328" t="s">
        <v>1667</v>
      </c>
      <c r="E19" s="325">
        <v>1280.0</v>
      </c>
      <c r="F19" s="327" t="s">
        <v>1671</v>
      </c>
      <c r="G19" s="325" t="s">
        <v>1672</v>
      </c>
      <c r="H19" s="325" t="s">
        <v>1673</v>
      </c>
    </row>
    <row r="20">
      <c r="A20" s="329" t="str">
        <f>HYPERLINK("https://en.uesp.net/wiki/Skyrim:Bound_Dagger", "Bound Dagger (DB)")</f>
        <v>Bound Dagger (DB)</v>
      </c>
      <c r="B20" s="63" t="s">
        <v>132</v>
      </c>
      <c r="C20" s="325" t="s">
        <v>1588</v>
      </c>
      <c r="D20" s="328" t="s">
        <v>1625</v>
      </c>
      <c r="E20" s="325">
        <v>38.0</v>
      </c>
      <c r="F20" s="327" t="s">
        <v>1674</v>
      </c>
      <c r="G20" s="325" t="s">
        <v>1643</v>
      </c>
      <c r="H20" s="325" t="s">
        <v>1675</v>
      </c>
    </row>
    <row r="21">
      <c r="A21" s="324" t="str">
        <f>HYPERLINK("https://en.uesp.net/wiki/Skyrim:Bound_Sword", "Bound Sword")</f>
        <v>Bound Sword</v>
      </c>
      <c r="B21" s="63" t="s">
        <v>132</v>
      </c>
      <c r="C21" s="325" t="s">
        <v>1588</v>
      </c>
      <c r="D21" s="328" t="s">
        <v>1625</v>
      </c>
      <c r="E21" s="325">
        <v>49.0</v>
      </c>
      <c r="F21" s="327" t="s">
        <v>1676</v>
      </c>
      <c r="G21" s="325" t="s">
        <v>1677</v>
      </c>
      <c r="H21" s="325" t="s">
        <v>1678</v>
      </c>
    </row>
    <row r="22">
      <c r="A22" s="324" t="str">
        <f>HYPERLINK("https://en.uesp.net/wiki/Skyrim:Conjure_Familiar", "Conjure Familiar")</f>
        <v>Conjure Familiar</v>
      </c>
      <c r="B22" s="63" t="s">
        <v>132</v>
      </c>
      <c r="C22" s="325" t="s">
        <v>1588</v>
      </c>
      <c r="D22" s="328" t="s">
        <v>1625</v>
      </c>
      <c r="E22" s="325">
        <v>49.0</v>
      </c>
      <c r="F22" s="327" t="s">
        <v>1679</v>
      </c>
      <c r="G22" s="325" t="s">
        <v>1677</v>
      </c>
      <c r="H22" s="325" t="s">
        <v>1680</v>
      </c>
    </row>
    <row r="23">
      <c r="A23" s="324" t="str">
        <f>HYPERLINK("https://en.uesp.net/wiki/Skyrim:Raise_Zombie", "Raise Zombie")</f>
        <v>Raise Zombie</v>
      </c>
      <c r="B23" s="63" t="s">
        <v>132</v>
      </c>
      <c r="C23" s="325" t="s">
        <v>1588</v>
      </c>
      <c r="D23" s="328" t="s">
        <v>1625</v>
      </c>
      <c r="E23" s="325">
        <v>49.0</v>
      </c>
      <c r="F23" s="327" t="s">
        <v>1681</v>
      </c>
      <c r="G23" s="325" t="s">
        <v>1682</v>
      </c>
      <c r="H23" s="325" t="s">
        <v>1683</v>
      </c>
    </row>
    <row r="24">
      <c r="A24" s="331" t="str">
        <f>HYPERLINK("https://en.uesp.net/wiki/Skyrim:Summon_Unbound_Dremora","Summon Unbound Dremora")</f>
        <v>Summon Unbound Dremora</v>
      </c>
      <c r="B24" s="63" t="s">
        <v>132</v>
      </c>
      <c r="C24" s="325" t="s">
        <v>1588</v>
      </c>
      <c r="D24" s="328" t="s">
        <v>1625</v>
      </c>
      <c r="E24" s="325" t="s">
        <v>134</v>
      </c>
      <c r="F24" s="327" t="s">
        <v>1684</v>
      </c>
      <c r="G24" s="325" t="s">
        <v>1685</v>
      </c>
      <c r="H24" s="325" t="s">
        <v>134</v>
      </c>
    </row>
    <row r="25">
      <c r="A25" s="324" t="str">
        <f>HYPERLINK("https://en.uesp.net/wiki/Skyrim:Bound_Battleaxe", "Bound Battleaxe")</f>
        <v>Bound Battleaxe</v>
      </c>
      <c r="B25" s="63" t="s">
        <v>132</v>
      </c>
      <c r="C25" s="325" t="s">
        <v>1588</v>
      </c>
      <c r="D25" s="328" t="s">
        <v>1635</v>
      </c>
      <c r="E25" s="325">
        <v>99.0</v>
      </c>
      <c r="F25" s="327" t="s">
        <v>1686</v>
      </c>
      <c r="G25" s="325" t="s">
        <v>1677</v>
      </c>
      <c r="H25" s="325" t="s">
        <v>1687</v>
      </c>
    </row>
    <row r="26">
      <c r="A26" s="329" t="str">
        <f>HYPERLINK("https://en.uesp.net/wiki/Skyrim:Conjure_Boneman", "Conjure Boneman (DG)")</f>
        <v>Conjure Boneman (DG)</v>
      </c>
      <c r="B26" s="63" t="s">
        <v>132</v>
      </c>
      <c r="C26" s="325" t="s">
        <v>1588</v>
      </c>
      <c r="D26" s="328" t="s">
        <v>1635</v>
      </c>
      <c r="E26" s="325">
        <v>75.0</v>
      </c>
      <c r="F26" s="327" t="s">
        <v>1688</v>
      </c>
      <c r="G26" s="325" t="s">
        <v>1689</v>
      </c>
      <c r="H26" s="325" t="s">
        <v>1690</v>
      </c>
    </row>
    <row r="27">
      <c r="A27" s="324" t="str">
        <f>HYPERLINK("https://en.uesp.net/wiki/Skyrim:Conjure_Flame_Atronach", "Conjure Flame Atronach")</f>
        <v>Conjure Flame Atronach</v>
      </c>
      <c r="B27" s="63" t="s">
        <v>132</v>
      </c>
      <c r="C27" s="325" t="s">
        <v>1588</v>
      </c>
      <c r="D27" s="328" t="s">
        <v>1635</v>
      </c>
      <c r="E27" s="325">
        <v>99.0</v>
      </c>
      <c r="F27" s="327" t="s">
        <v>1691</v>
      </c>
      <c r="G27" s="325" t="s">
        <v>1677</v>
      </c>
      <c r="H27" s="325" t="s">
        <v>1692</v>
      </c>
    </row>
    <row r="28">
      <c r="A28" s="324" t="str">
        <f>HYPERLINK("https://en.uesp.net/wiki/Skyrim:Reanimate_Corpse", "Reanimate Corpse")</f>
        <v>Reanimate Corpse</v>
      </c>
      <c r="B28" s="63" t="s">
        <v>132</v>
      </c>
      <c r="C28" s="325" t="s">
        <v>1588</v>
      </c>
      <c r="D28" s="328" t="s">
        <v>1635</v>
      </c>
      <c r="E28" s="325">
        <v>99.0</v>
      </c>
      <c r="F28" s="327" t="s">
        <v>1693</v>
      </c>
      <c r="G28" s="325" t="s">
        <v>1677</v>
      </c>
      <c r="H28" s="325" t="s">
        <v>1694</v>
      </c>
    </row>
    <row r="29">
      <c r="A29" s="324" t="str">
        <f>HYPERLINK("https://en.uesp.net/wiki/Skyrim:Conjuration_Spells#Soul_Trap", "Soul Trap")</f>
        <v>Soul Trap</v>
      </c>
      <c r="B29" s="63" t="s">
        <v>132</v>
      </c>
      <c r="C29" s="325" t="s">
        <v>1588</v>
      </c>
      <c r="D29" s="328" t="s">
        <v>1635</v>
      </c>
      <c r="E29" s="325">
        <v>100.0</v>
      </c>
      <c r="F29" s="327" t="s">
        <v>1695</v>
      </c>
      <c r="G29" s="325" t="s">
        <v>1677</v>
      </c>
      <c r="H29" s="325" t="s">
        <v>1696</v>
      </c>
    </row>
    <row r="30">
      <c r="A30" s="332" t="str">
        <f>HYPERLINK("https://en.uesp.net/wiki/Skyrim:Summon_Arniel%27s_Shade","Summon Arniel's Shade")</f>
        <v>Summon Arniel's Shade</v>
      </c>
      <c r="B30" s="63" t="s">
        <v>132</v>
      </c>
      <c r="C30" s="325" t="s">
        <v>1588</v>
      </c>
      <c r="D30" s="328" t="s">
        <v>1635</v>
      </c>
      <c r="E30" s="325" t="s">
        <v>134</v>
      </c>
      <c r="F30" s="327" t="s">
        <v>1697</v>
      </c>
      <c r="G30" s="325" t="s">
        <v>1698</v>
      </c>
      <c r="H30" s="325" t="s">
        <v>134</v>
      </c>
    </row>
    <row r="31">
      <c r="A31" s="329" t="str">
        <f>HYPERLINK("https://en.uesp.net/wiki/Skyrim:Summon_Arvak", "Summon Arvak (DG)")</f>
        <v>Summon Arvak (DG)</v>
      </c>
      <c r="B31" s="63" t="s">
        <v>132</v>
      </c>
      <c r="C31" s="325" t="s">
        <v>1588</v>
      </c>
      <c r="D31" s="328" t="s">
        <v>1635</v>
      </c>
      <c r="E31" s="325" t="s">
        <v>134</v>
      </c>
      <c r="F31" s="327" t="s">
        <v>1699</v>
      </c>
      <c r="G31" s="325" t="s">
        <v>1700</v>
      </c>
      <c r="H31" s="325" t="s">
        <v>134</v>
      </c>
    </row>
    <row r="32">
      <c r="A32" s="324" t="str">
        <f>HYPERLINK("https://en.uesp.net/wiki/Skyrim:Banish_Daedra", "Banish Daedra")</f>
        <v>Banish Daedra</v>
      </c>
      <c r="B32" s="63" t="s">
        <v>132</v>
      </c>
      <c r="C32" s="325" t="s">
        <v>1588</v>
      </c>
      <c r="D32" s="328" t="s">
        <v>1641</v>
      </c>
      <c r="E32" s="325">
        <v>346.0</v>
      </c>
      <c r="F32" s="327" t="s">
        <v>1701</v>
      </c>
      <c r="G32" s="325" t="s">
        <v>1702</v>
      </c>
      <c r="H32" s="325" t="s">
        <v>1703</v>
      </c>
    </row>
    <row r="33">
      <c r="A33" s="324" t="str">
        <f>HYPERLINK("https://en.uesp.net/wiki/Skyrim:Bound_Bow", "Bound Bow")</f>
        <v>Bound Bow</v>
      </c>
      <c r="B33" s="63" t="s">
        <v>132</v>
      </c>
      <c r="C33" s="325" t="s">
        <v>1588</v>
      </c>
      <c r="D33" s="328" t="s">
        <v>1641</v>
      </c>
      <c r="E33" s="325">
        <v>335.0</v>
      </c>
      <c r="F33" s="327" t="s">
        <v>1704</v>
      </c>
      <c r="G33" s="325" t="s">
        <v>1702</v>
      </c>
      <c r="H33" s="325" t="s">
        <v>1705</v>
      </c>
    </row>
    <row r="34">
      <c r="A34" s="329" t="str">
        <f>HYPERLINK("https://en.uesp.net/wiki/Skyrim:Conjure_Ash_Spawn", "Conjure Ash Spawn (DB)")</f>
        <v>Conjure Ash Spawn (DB)</v>
      </c>
      <c r="B34" s="63" t="s">
        <v>132</v>
      </c>
      <c r="C34" s="325" t="s">
        <v>1588</v>
      </c>
      <c r="D34" s="328" t="s">
        <v>1641</v>
      </c>
      <c r="E34" s="325">
        <v>338.0</v>
      </c>
      <c r="F34" s="327" t="s">
        <v>1706</v>
      </c>
      <c r="G34" s="325" t="s">
        <v>1707</v>
      </c>
      <c r="H34" s="325" t="s">
        <v>1708</v>
      </c>
    </row>
    <row r="35">
      <c r="A35" s="324" t="str">
        <f>HYPERLINK("https://en.uesp.net/wiki/Skyrim:Conjure_Frost_Atronach", "Conjure Frost Atronach")</f>
        <v>Conjure Frost Atronach</v>
      </c>
      <c r="B35" s="63" t="s">
        <v>132</v>
      </c>
      <c r="C35" s="325" t="s">
        <v>1588</v>
      </c>
      <c r="D35" s="328" t="s">
        <v>1641</v>
      </c>
      <c r="E35" s="325">
        <v>347.0</v>
      </c>
      <c r="F35" s="327" t="s">
        <v>1709</v>
      </c>
      <c r="G35" s="325" t="s">
        <v>1702</v>
      </c>
      <c r="H35" s="325" t="s">
        <v>1710</v>
      </c>
    </row>
    <row r="36">
      <c r="A36" s="329" t="str">
        <f>HYPERLINK("https://en.uesp.net/wiki/Skyrim:Conjure_Mistman", "Conjure Mistman (DG)")</f>
        <v>Conjure Mistman (DG)</v>
      </c>
      <c r="B36" s="63" t="s">
        <v>132</v>
      </c>
      <c r="C36" s="325" t="s">
        <v>1588</v>
      </c>
      <c r="D36" s="328" t="s">
        <v>1641</v>
      </c>
      <c r="E36" s="325">
        <v>75.0</v>
      </c>
      <c r="F36" s="327" t="s">
        <v>1711</v>
      </c>
      <c r="G36" s="325" t="s">
        <v>1712</v>
      </c>
      <c r="H36" s="325" t="s">
        <v>1713</v>
      </c>
    </row>
    <row r="37">
      <c r="A37" s="329" t="str">
        <f>HYPERLINK("https://en.uesp.net/wiki/Skyrim:Conjure_Seeker", "Conjure Seeker (DB)")</f>
        <v>Conjure Seeker (DB)</v>
      </c>
      <c r="B37" s="63" t="s">
        <v>132</v>
      </c>
      <c r="C37" s="325" t="s">
        <v>1588</v>
      </c>
      <c r="D37" s="328" t="s">
        <v>1641</v>
      </c>
      <c r="E37" s="325">
        <v>307.0</v>
      </c>
      <c r="F37" s="327" t="s">
        <v>1714</v>
      </c>
      <c r="G37" s="325" t="s">
        <v>1715</v>
      </c>
      <c r="H37" s="325" t="s">
        <v>1716</v>
      </c>
    </row>
    <row r="38">
      <c r="A38" s="324" t="str">
        <f>HYPERLINK("https://en.uesp.net/wiki/Skyrim:Flaming_Familiar", "Flaming Familiar")</f>
        <v>Flaming Familiar</v>
      </c>
      <c r="B38" s="63" t="s">
        <v>132</v>
      </c>
      <c r="C38" s="325" t="s">
        <v>1588</v>
      </c>
      <c r="D38" s="328" t="s">
        <v>1641</v>
      </c>
      <c r="E38" s="325">
        <v>250.0</v>
      </c>
      <c r="F38" s="327" t="s">
        <v>1717</v>
      </c>
      <c r="G38" s="325" t="s">
        <v>1718</v>
      </c>
      <c r="H38" s="325" t="s">
        <v>1719</v>
      </c>
    </row>
    <row r="39">
      <c r="A39" s="324" t="str">
        <f>HYPERLINK("https://en.uesp.net/wiki/Skyrim:Revenant", "Revenant")</f>
        <v>Revenant</v>
      </c>
      <c r="B39" s="63" t="s">
        <v>132</v>
      </c>
      <c r="C39" s="325" t="s">
        <v>1588</v>
      </c>
      <c r="D39" s="328" t="s">
        <v>1641</v>
      </c>
      <c r="E39" s="325">
        <v>340.0</v>
      </c>
      <c r="F39" s="327" t="s">
        <v>1720</v>
      </c>
      <c r="G39" s="325" t="s">
        <v>1702</v>
      </c>
      <c r="H39" s="325" t="s">
        <v>1721</v>
      </c>
    </row>
    <row r="40">
      <c r="A40" s="324" t="str">
        <f>HYPERLINK("https://en.uesp.net/wiki/Skyrim:Command_Daedra", "Command Daedra")</f>
        <v>Command Daedra</v>
      </c>
      <c r="B40" s="63" t="s">
        <v>132</v>
      </c>
      <c r="C40" s="325" t="s">
        <v>1588</v>
      </c>
      <c r="D40" s="328" t="s">
        <v>1657</v>
      </c>
      <c r="E40" s="325">
        <v>660.0</v>
      </c>
      <c r="F40" s="327" t="s">
        <v>1722</v>
      </c>
      <c r="G40" s="325" t="s">
        <v>1723</v>
      </c>
      <c r="H40" s="325" t="s">
        <v>1724</v>
      </c>
    </row>
    <row r="41">
      <c r="A41" s="324" t="str">
        <f>HYPERLINK("https://en.uesp.net/wiki/Skyrim:Conjure_Ash_Guardian", "Conjure Ash Guardian (DB)")</f>
        <v>Conjure Ash Guardian (DB)</v>
      </c>
      <c r="B41" s="63" t="s">
        <v>132</v>
      </c>
      <c r="C41" s="325" t="s">
        <v>1588</v>
      </c>
      <c r="D41" s="328" t="s">
        <v>1657</v>
      </c>
      <c r="E41" s="325">
        <v>1120.0</v>
      </c>
      <c r="F41" s="327" t="s">
        <v>1725</v>
      </c>
      <c r="G41" s="325" t="s">
        <v>1643</v>
      </c>
      <c r="H41" s="325" t="s">
        <v>1726</v>
      </c>
    </row>
    <row r="42">
      <c r="A42" s="324" t="str">
        <f>HYPERLINK("https://en.uesp.net/wiki/Skyrim:Conjure_Dremora_Lord", "Conjure Dremora Lord")</f>
        <v>Conjure Dremora Lord</v>
      </c>
      <c r="B42" s="63" t="s">
        <v>132</v>
      </c>
      <c r="C42" s="325" t="s">
        <v>1588</v>
      </c>
      <c r="D42" s="328" t="s">
        <v>1657</v>
      </c>
      <c r="E42" s="325">
        <v>730.0</v>
      </c>
      <c r="F42" s="327" t="s">
        <v>1727</v>
      </c>
      <c r="G42" s="325" t="s">
        <v>1723</v>
      </c>
      <c r="H42" s="325" t="s">
        <v>1728</v>
      </c>
    </row>
    <row r="43">
      <c r="A43" s="324" t="str">
        <f>HYPERLINK("https://en.uesp.net/wiki/Skyrim:Conjure_Storm_Atronach", "Conjure Storm Atronach")</f>
        <v>Conjure Storm Atronach</v>
      </c>
      <c r="B43" s="63" t="s">
        <v>132</v>
      </c>
      <c r="C43" s="325" t="s">
        <v>1588</v>
      </c>
      <c r="D43" s="328" t="s">
        <v>1657</v>
      </c>
      <c r="E43" s="325">
        <v>690.0</v>
      </c>
      <c r="F43" s="327" t="s">
        <v>1729</v>
      </c>
      <c r="G43" s="325" t="s">
        <v>1723</v>
      </c>
      <c r="H43" s="325" t="s">
        <v>1730</v>
      </c>
    </row>
    <row r="44">
      <c r="A44" s="329" t="str">
        <f>HYPERLINK("https://en.uesp.net/wiki/Skyrim:Conjure_Wrathman", "Conjure Wrathman (DG)")</f>
        <v>Conjure Wrathman (DG)</v>
      </c>
      <c r="B44" s="63" t="s">
        <v>132</v>
      </c>
      <c r="C44" s="325" t="s">
        <v>1588</v>
      </c>
      <c r="D44" s="328" t="s">
        <v>1657</v>
      </c>
      <c r="E44" s="325">
        <v>75.0</v>
      </c>
      <c r="F44" s="327" t="s">
        <v>1731</v>
      </c>
      <c r="G44" s="325" t="s">
        <v>1732</v>
      </c>
      <c r="H44" s="325" t="s">
        <v>1733</v>
      </c>
    </row>
    <row r="45">
      <c r="A45" s="324" t="str">
        <f>HYPERLINK("https://en.uesp.net/wiki/Skyrim:Dread_Zombie", "Dread Zombie")</f>
        <v>Dread Zombie</v>
      </c>
      <c r="B45" s="63" t="s">
        <v>132</v>
      </c>
      <c r="C45" s="325" t="s">
        <v>1588</v>
      </c>
      <c r="D45" s="328" t="s">
        <v>1657</v>
      </c>
      <c r="E45" s="325">
        <v>630.0</v>
      </c>
      <c r="F45" s="327" t="s">
        <v>1734</v>
      </c>
      <c r="G45" s="325" t="s">
        <v>1723</v>
      </c>
      <c r="H45" s="325" t="s">
        <v>1735</v>
      </c>
    </row>
    <row r="46">
      <c r="A46" s="324" t="str">
        <f>HYPERLINK("https://en.uesp.net/wiki/Skyrim:Expel_Daedra", "Expel Daedra")</f>
        <v>Expel Daedra</v>
      </c>
      <c r="B46" s="63" t="s">
        <v>132</v>
      </c>
      <c r="C46" s="325" t="s">
        <v>1588</v>
      </c>
      <c r="D46" s="328" t="s">
        <v>1657</v>
      </c>
      <c r="E46" s="325">
        <v>620.0</v>
      </c>
      <c r="F46" s="327" t="s">
        <v>1736</v>
      </c>
      <c r="G46" s="325" t="s">
        <v>1723</v>
      </c>
      <c r="H46" s="325" t="s">
        <v>1737</v>
      </c>
    </row>
    <row r="47">
      <c r="A47" s="324" t="str">
        <f>HYPERLINK("https://en.uesp.net/wiki/Skyrim:Dead_Thrall", "Dead Thrall")</f>
        <v>Dead Thrall</v>
      </c>
      <c r="B47" s="63" t="s">
        <v>132</v>
      </c>
      <c r="C47" s="325" t="s">
        <v>1588</v>
      </c>
      <c r="D47" s="328" t="s">
        <v>1667</v>
      </c>
      <c r="E47" s="325">
        <v>3296.0</v>
      </c>
      <c r="F47" s="327" t="s">
        <v>1738</v>
      </c>
      <c r="G47" s="325" t="s">
        <v>1739</v>
      </c>
      <c r="H47" s="325" t="s">
        <v>1740</v>
      </c>
    </row>
    <row r="48">
      <c r="A48" s="324" t="str">
        <f>HYPERLINK("https://en.uesp.net/wiki/Skyrim:Thrall#Flame_Thrall", "Flame Thrall")</f>
        <v>Flame Thrall</v>
      </c>
      <c r="B48" s="63" t="s">
        <v>132</v>
      </c>
      <c r="C48" s="325" t="s">
        <v>1588</v>
      </c>
      <c r="D48" s="328" t="s">
        <v>1667</v>
      </c>
      <c r="E48" s="325">
        <v>1260.0</v>
      </c>
      <c r="F48" s="327" t="s">
        <v>1741</v>
      </c>
      <c r="G48" s="325" t="s">
        <v>1742</v>
      </c>
      <c r="H48" s="325" t="s">
        <v>1743</v>
      </c>
    </row>
    <row r="49">
      <c r="A49" s="324" t="str">
        <f>HYPERLINK("https://en.uesp.net/wiki/Skyrim:Thrall#Frost_Thrall", "Frost Thrall")</f>
        <v>Frost Thrall</v>
      </c>
      <c r="B49" s="63" t="s">
        <v>132</v>
      </c>
      <c r="C49" s="325" t="s">
        <v>1588</v>
      </c>
      <c r="D49" s="328" t="s">
        <v>1667</v>
      </c>
      <c r="E49" s="325">
        <v>3374.0</v>
      </c>
      <c r="F49" s="327" t="s">
        <v>1744</v>
      </c>
      <c r="G49" s="325" t="s">
        <v>1739</v>
      </c>
      <c r="H49" s="325" t="s">
        <v>1745</v>
      </c>
    </row>
    <row r="50">
      <c r="A50" s="324" t="str">
        <f>HYPERLINK("https://en.uesp.net/wiki/Skyrim:Thrall#Storm_Thrall", "Storm Thrall")</f>
        <v>Storm Thrall</v>
      </c>
      <c r="B50" s="63" t="s">
        <v>132</v>
      </c>
      <c r="C50" s="325" t="s">
        <v>1588</v>
      </c>
      <c r="D50" s="328" t="s">
        <v>1667</v>
      </c>
      <c r="E50" s="325">
        <v>3504.0</v>
      </c>
      <c r="F50" s="327" t="s">
        <v>1746</v>
      </c>
      <c r="G50" s="325" t="s">
        <v>1739</v>
      </c>
      <c r="H50" s="325" t="s">
        <v>1747</v>
      </c>
    </row>
    <row r="51">
      <c r="A51" s="332" t="str">
        <f>HYPERLINK("https://en.uesp.net/wiki/Skyrim:Arniel%27s_Convection","Arniel's Convection")</f>
        <v>Arniel's Convection</v>
      </c>
      <c r="B51" s="63" t="s">
        <v>132</v>
      </c>
      <c r="C51" s="325" t="s">
        <v>1583</v>
      </c>
      <c r="D51" s="333" t="s">
        <v>1625</v>
      </c>
      <c r="E51" s="325" t="s">
        <v>134</v>
      </c>
      <c r="F51" s="327" t="s">
        <v>1748</v>
      </c>
      <c r="G51" s="325" t="s">
        <v>1749</v>
      </c>
      <c r="H51" s="325" t="s">
        <v>134</v>
      </c>
    </row>
    <row r="52">
      <c r="A52" s="324" t="str">
        <f>HYPERLINK("https://en.uesp.net/wiki/Skyrim:Flames", "Flames")</f>
        <v>Flames</v>
      </c>
      <c r="B52" s="63" t="s">
        <v>76</v>
      </c>
      <c r="C52" s="325" t="s">
        <v>1583</v>
      </c>
      <c r="D52" s="328" t="s">
        <v>1625</v>
      </c>
      <c r="E52" s="325">
        <v>50.0</v>
      </c>
      <c r="F52" s="327" t="s">
        <v>1750</v>
      </c>
      <c r="G52" s="325" t="s">
        <v>1751</v>
      </c>
      <c r="H52" s="325" t="s">
        <v>1752</v>
      </c>
    </row>
    <row r="53">
      <c r="A53" s="324" t="str">
        <f>HYPERLINK("https://en.uesp.net/wiki/Skyrim:Frostbite", "Frostbite")</f>
        <v>Frostbite</v>
      </c>
      <c r="B53" s="63" t="s">
        <v>132</v>
      </c>
      <c r="C53" s="325" t="s">
        <v>1583</v>
      </c>
      <c r="D53" s="328" t="s">
        <v>1625</v>
      </c>
      <c r="E53" s="325">
        <v>47.0</v>
      </c>
      <c r="F53" s="327" t="s">
        <v>1753</v>
      </c>
      <c r="G53" s="325" t="s">
        <v>1754</v>
      </c>
      <c r="H53" s="325" t="s">
        <v>1755</v>
      </c>
    </row>
    <row r="54">
      <c r="A54" s="324" t="str">
        <f>HYPERLINK("https://en.uesp.net/wiki/Skyrim:Sparks", "Sparks")</f>
        <v>Sparks</v>
      </c>
      <c r="B54" s="63" t="s">
        <v>132</v>
      </c>
      <c r="C54" s="325" t="s">
        <v>1583</v>
      </c>
      <c r="D54" s="328" t="s">
        <v>1625</v>
      </c>
      <c r="E54" s="325">
        <v>46.0</v>
      </c>
      <c r="F54" s="327" t="s">
        <v>1756</v>
      </c>
      <c r="G54" s="325" t="s">
        <v>1757</v>
      </c>
      <c r="H54" s="325" t="s">
        <v>1758</v>
      </c>
    </row>
    <row r="55">
      <c r="A55" s="324" t="str">
        <f>HYPERLINK("https://en.uesp.net/wiki/Skyrim:Fire_Rune", "Fire Rune")</f>
        <v>Fire Rune</v>
      </c>
      <c r="B55" s="63" t="s">
        <v>132</v>
      </c>
      <c r="C55" s="325" t="s">
        <v>1583</v>
      </c>
      <c r="D55" s="328" t="s">
        <v>1635</v>
      </c>
      <c r="E55" s="325">
        <v>90.0</v>
      </c>
      <c r="F55" s="327" t="s">
        <v>1759</v>
      </c>
      <c r="G55" s="325" t="s">
        <v>1760</v>
      </c>
      <c r="H55" s="325" t="s">
        <v>1761</v>
      </c>
    </row>
    <row r="56">
      <c r="A56" s="324" t="str">
        <f>HYPERLINK("https://en.uesp.net/wiki/Skyrim:Firebolt", "Firebolt")</f>
        <v>Firebolt</v>
      </c>
      <c r="B56" s="63" t="s">
        <v>132</v>
      </c>
      <c r="C56" s="325" t="s">
        <v>1583</v>
      </c>
      <c r="D56" s="328" t="s">
        <v>1635</v>
      </c>
      <c r="E56" s="325">
        <v>96.0</v>
      </c>
      <c r="F56" s="327" t="s">
        <v>1762</v>
      </c>
      <c r="G56" s="325" t="s">
        <v>1760</v>
      </c>
      <c r="H56" s="325" t="s">
        <v>1763</v>
      </c>
    </row>
    <row r="57">
      <c r="A57" s="324" t="str">
        <f>HYPERLINK("https://en.uesp.net/wiki/Skyrim:Frost_Rune", "Frost Rune")</f>
        <v>Frost Rune</v>
      </c>
      <c r="B57" s="63" t="s">
        <v>132</v>
      </c>
      <c r="C57" s="325" t="s">
        <v>1583</v>
      </c>
      <c r="D57" s="328" t="s">
        <v>1635</v>
      </c>
      <c r="E57" s="325">
        <v>92.0</v>
      </c>
      <c r="F57" s="327" t="s">
        <v>1764</v>
      </c>
      <c r="G57" s="325" t="s">
        <v>1760</v>
      </c>
      <c r="H57" s="325" t="s">
        <v>1765</v>
      </c>
    </row>
    <row r="58">
      <c r="A58" s="324" t="str">
        <f>HYPERLINK("https://en.uesp.net/wiki/Skyrim:Ice_Spike", "Ice Spike")</f>
        <v>Ice Spike</v>
      </c>
      <c r="B58" s="63" t="s">
        <v>132</v>
      </c>
      <c r="C58" s="325" t="s">
        <v>1583</v>
      </c>
      <c r="D58" s="328" t="s">
        <v>1635</v>
      </c>
      <c r="E58" s="325">
        <v>96.0</v>
      </c>
      <c r="F58" s="327" t="s">
        <v>1766</v>
      </c>
      <c r="G58" s="325" t="s">
        <v>1760</v>
      </c>
      <c r="H58" s="325" t="s">
        <v>1767</v>
      </c>
    </row>
    <row r="59">
      <c r="A59" s="324" t="str">
        <f>HYPERLINK("https://en.uesp.net/wiki/Skyrim:Lightning_Bolt", "Lightning Bolt")</f>
        <v>Lightning Bolt</v>
      </c>
      <c r="B59" s="63" t="s">
        <v>132</v>
      </c>
      <c r="C59" s="325" t="s">
        <v>1583</v>
      </c>
      <c r="D59" s="328" t="s">
        <v>1635</v>
      </c>
      <c r="E59" s="325">
        <v>95.0</v>
      </c>
      <c r="F59" s="327" t="s">
        <v>1768</v>
      </c>
      <c r="G59" s="325" t="s">
        <v>1760</v>
      </c>
      <c r="H59" s="325" t="s">
        <v>1769</v>
      </c>
    </row>
    <row r="60">
      <c r="A60" s="324" t="str">
        <f>HYPERLINK("https://en.uesp.net/wiki/Skyrim:Lightning_Rune", "Lightning Rune")</f>
        <v>Lightning Rune</v>
      </c>
      <c r="B60" s="63" t="s">
        <v>132</v>
      </c>
      <c r="C60" s="325" t="s">
        <v>1583</v>
      </c>
      <c r="D60" s="328" t="s">
        <v>1635</v>
      </c>
      <c r="E60" s="325">
        <v>93.0</v>
      </c>
      <c r="F60" s="327" t="s">
        <v>1770</v>
      </c>
      <c r="G60" s="325" t="s">
        <v>1760</v>
      </c>
      <c r="H60" s="325" t="s">
        <v>1771</v>
      </c>
    </row>
    <row r="61">
      <c r="A61" s="324" t="str">
        <f>HYPERLINK("https://en.uesp.net/wiki/Skyrim:Chain_Lightning", "Chain Lightning")</f>
        <v>Chain Lightning</v>
      </c>
      <c r="B61" s="63" t="s">
        <v>132</v>
      </c>
      <c r="C61" s="325" t="s">
        <v>1583</v>
      </c>
      <c r="D61" s="328" t="s">
        <v>1641</v>
      </c>
      <c r="E61" s="325">
        <v>390.0</v>
      </c>
      <c r="F61" s="327" t="s">
        <v>1772</v>
      </c>
      <c r="G61" s="325" t="s">
        <v>1773</v>
      </c>
      <c r="H61" s="325" t="s">
        <v>1774</v>
      </c>
    </row>
    <row r="62">
      <c r="A62" s="324" t="str">
        <f>HYPERLINK("https://en.uesp.net/wiki/Skyrim:Fireball", "Fireball")</f>
        <v>Fireball</v>
      </c>
      <c r="B62" s="63" t="s">
        <v>132</v>
      </c>
      <c r="C62" s="325" t="s">
        <v>1583</v>
      </c>
      <c r="D62" s="328" t="s">
        <v>1641</v>
      </c>
      <c r="E62" s="325">
        <v>345.0</v>
      </c>
      <c r="F62" s="327" t="s">
        <v>1775</v>
      </c>
      <c r="G62" s="325" t="s">
        <v>1773</v>
      </c>
      <c r="H62" s="325" t="s">
        <v>1776</v>
      </c>
    </row>
    <row r="63">
      <c r="A63" s="324" t="str">
        <f>HYPERLINK("https://en.uesp.net/wiki/Skyrim:Flame_Cloak", "Flame Cloak")</f>
        <v>Flame Cloak</v>
      </c>
      <c r="B63" s="63" t="s">
        <v>132</v>
      </c>
      <c r="C63" s="325" t="s">
        <v>1583</v>
      </c>
      <c r="D63" s="328" t="s">
        <v>1641</v>
      </c>
      <c r="E63" s="325">
        <v>325.0</v>
      </c>
      <c r="F63" s="327" t="s">
        <v>1777</v>
      </c>
      <c r="G63" s="325" t="s">
        <v>1773</v>
      </c>
      <c r="H63" s="325" t="s">
        <v>1778</v>
      </c>
    </row>
    <row r="64">
      <c r="A64" s="324" t="str">
        <f>HYPERLINK("https://en.uesp.net/wiki/Skyrim:Frost_Cloak", "Frost Cloak")</f>
        <v>Frost Cloak</v>
      </c>
      <c r="B64" s="63" t="s">
        <v>132</v>
      </c>
      <c r="C64" s="325" t="s">
        <v>1583</v>
      </c>
      <c r="D64" s="328" t="s">
        <v>1641</v>
      </c>
      <c r="E64" s="325">
        <v>340.0</v>
      </c>
      <c r="F64" s="327" t="s">
        <v>1779</v>
      </c>
      <c r="G64" s="325" t="s">
        <v>1773</v>
      </c>
      <c r="H64" s="325" t="s">
        <v>1780</v>
      </c>
    </row>
    <row r="65">
      <c r="A65" s="324" t="str">
        <f>HYPERLINK("https://en.uesp.net/wiki/Skyrim:Ice_Storm", "Ice Storm")</f>
        <v>Ice Storm</v>
      </c>
      <c r="B65" s="63" t="s">
        <v>132</v>
      </c>
      <c r="C65" s="325" t="s">
        <v>1583</v>
      </c>
      <c r="D65" s="328" t="s">
        <v>1641</v>
      </c>
      <c r="E65" s="325">
        <v>360.0</v>
      </c>
      <c r="F65" s="327" t="s">
        <v>1781</v>
      </c>
      <c r="G65" s="325" t="s">
        <v>1773</v>
      </c>
      <c r="H65" s="325" t="s">
        <v>1782</v>
      </c>
    </row>
    <row r="66">
      <c r="A66" s="324" t="str">
        <f>HYPERLINK("https://en.uesp.net/wiki/Skyrim:Lightning_Cloak", "Lightning Cloak")</f>
        <v>Lightning Cloak</v>
      </c>
      <c r="B66" s="63" t="s">
        <v>132</v>
      </c>
      <c r="C66" s="325" t="s">
        <v>1583</v>
      </c>
      <c r="D66" s="328" t="s">
        <v>1641</v>
      </c>
      <c r="E66" s="325">
        <v>355.0</v>
      </c>
      <c r="F66" s="327" t="s">
        <v>1783</v>
      </c>
      <c r="G66" s="325" t="s">
        <v>1773</v>
      </c>
      <c r="H66" s="325" t="s">
        <v>1784</v>
      </c>
    </row>
    <row r="67">
      <c r="A67" s="329" t="str">
        <f>HYPERLINK("https://en.uesp.net/wiki/Skyrim:Whirlwind_Cloak", "Whirlwind Cloak (DB)")</f>
        <v>Whirlwind Cloak (DB)</v>
      </c>
      <c r="B67" s="63" t="s">
        <v>132</v>
      </c>
      <c r="C67" s="325" t="s">
        <v>1583</v>
      </c>
      <c r="D67" s="328" t="s">
        <v>1641</v>
      </c>
      <c r="E67" s="325">
        <v>395.0</v>
      </c>
      <c r="F67" s="327" t="s">
        <v>1785</v>
      </c>
      <c r="G67" s="325" t="s">
        <v>1786</v>
      </c>
      <c r="H67" s="325" t="s">
        <v>1787</v>
      </c>
    </row>
    <row r="68">
      <c r="A68" s="324" t="str">
        <f>HYPERLINK("https://en.uesp.net/wiki/Skyrim:Icy_Spear", "Icy Spear")</f>
        <v>Icy Spear</v>
      </c>
      <c r="B68" s="63" t="s">
        <v>132</v>
      </c>
      <c r="C68" s="325" t="s">
        <v>1583</v>
      </c>
      <c r="D68" s="328" t="s">
        <v>1657</v>
      </c>
      <c r="E68" s="325">
        <v>725.0</v>
      </c>
      <c r="F68" s="327" t="s">
        <v>1788</v>
      </c>
      <c r="G68" s="325" t="s">
        <v>1789</v>
      </c>
      <c r="H68" s="325" t="s">
        <v>1790</v>
      </c>
    </row>
    <row r="69">
      <c r="A69" s="324" t="str">
        <f>HYPERLINK("https://en.uesp.net/wiki/Skyrim:Incinerate", "Incinerate")</f>
        <v>Incinerate</v>
      </c>
      <c r="B69" s="63" t="s">
        <v>132</v>
      </c>
      <c r="C69" s="325" t="s">
        <v>1583</v>
      </c>
      <c r="D69" s="328" t="s">
        <v>1657</v>
      </c>
      <c r="E69" s="325">
        <v>710.0</v>
      </c>
      <c r="F69" s="327" t="s">
        <v>1791</v>
      </c>
      <c r="G69" s="325" t="s">
        <v>1789</v>
      </c>
      <c r="H69" s="325" t="s">
        <v>1792</v>
      </c>
    </row>
    <row r="70">
      <c r="A70" s="324" t="str">
        <f>HYPERLINK("https://en.uesp.net/wiki/Skyrim:Thunderbolt", "Thunderbolt")</f>
        <v>Thunderbolt</v>
      </c>
      <c r="B70" s="63" t="s">
        <v>132</v>
      </c>
      <c r="C70" s="325" t="s">
        <v>1583</v>
      </c>
      <c r="D70" s="328" t="s">
        <v>1657</v>
      </c>
      <c r="E70" s="325">
        <v>750.0</v>
      </c>
      <c r="F70" s="327" t="s">
        <v>1793</v>
      </c>
      <c r="G70" s="325" t="s">
        <v>1789</v>
      </c>
      <c r="H70" s="325" t="s">
        <v>1794</v>
      </c>
    </row>
    <row r="71">
      <c r="A71" s="324" t="str">
        <f>HYPERLINK("https://en.uesp.net/wiki/Skyrim:Wall_of_Flames", "Wall of Flames")</f>
        <v>Wall of Flames</v>
      </c>
      <c r="B71" s="63" t="s">
        <v>132</v>
      </c>
      <c r="C71" s="325" t="s">
        <v>1583</v>
      </c>
      <c r="D71" s="328" t="s">
        <v>1657</v>
      </c>
      <c r="E71" s="325">
        <v>680.0</v>
      </c>
      <c r="F71" s="327" t="s">
        <v>1795</v>
      </c>
      <c r="G71" s="325" t="s">
        <v>1789</v>
      </c>
      <c r="H71" s="325" t="s">
        <v>1796</v>
      </c>
    </row>
    <row r="72">
      <c r="A72" s="324" t="str">
        <f>HYPERLINK("https://en.uesp.net/wiki/Skyrim:Wall_of_Frost", "Wall of Frost")</f>
        <v>Wall of Frost</v>
      </c>
      <c r="B72" s="63" t="s">
        <v>132</v>
      </c>
      <c r="C72" s="325" t="s">
        <v>1583</v>
      </c>
      <c r="D72" s="328" t="s">
        <v>1657</v>
      </c>
      <c r="E72" s="325">
        <v>700.0</v>
      </c>
      <c r="F72" s="327" t="s">
        <v>1797</v>
      </c>
      <c r="G72" s="325" t="s">
        <v>1789</v>
      </c>
      <c r="H72" s="325" t="s">
        <v>1798</v>
      </c>
    </row>
    <row r="73">
      <c r="A73" s="324" t="str">
        <f>HYPERLINK("https://en.uesp.net/wiki/Skyrim:Wall_of_Storms", "Wall of Storms")</f>
        <v>Wall of Storms</v>
      </c>
      <c r="B73" s="63" t="s">
        <v>132</v>
      </c>
      <c r="C73" s="325" t="s">
        <v>1583</v>
      </c>
      <c r="D73" s="328" t="s">
        <v>1657</v>
      </c>
      <c r="E73" s="325">
        <v>725.0</v>
      </c>
      <c r="F73" s="327" t="s">
        <v>1799</v>
      </c>
      <c r="G73" s="325" t="s">
        <v>1789</v>
      </c>
      <c r="H73" s="325" t="s">
        <v>1800</v>
      </c>
    </row>
    <row r="74">
      <c r="A74" s="324" t="str">
        <f>HYPERLINK("https://en.uesp.net/wiki/Skyrim:Blizzard", "Blizzard")</f>
        <v>Blizzard</v>
      </c>
      <c r="B74" s="63" t="s">
        <v>132</v>
      </c>
      <c r="C74" s="325" t="s">
        <v>1583</v>
      </c>
      <c r="D74" s="328" t="s">
        <v>1667</v>
      </c>
      <c r="E74" s="325">
        <v>1350.0</v>
      </c>
      <c r="F74" s="327" t="s">
        <v>1801</v>
      </c>
      <c r="G74" s="325" t="s">
        <v>1802</v>
      </c>
      <c r="H74" s="325" t="s">
        <v>1803</v>
      </c>
    </row>
    <row r="75">
      <c r="A75" s="324" t="str">
        <f>HYPERLINK("https://en.uesp.net/wiki/Skyrim:Fire_Storm", "Fire Storm")</f>
        <v>Fire Storm</v>
      </c>
      <c r="B75" s="63" t="s">
        <v>132</v>
      </c>
      <c r="C75" s="325" t="s">
        <v>1583</v>
      </c>
      <c r="D75" s="328" t="s">
        <v>1667</v>
      </c>
      <c r="E75" s="325">
        <v>1290.0</v>
      </c>
      <c r="F75" s="327" t="s">
        <v>1804</v>
      </c>
      <c r="G75" s="325" t="s">
        <v>1805</v>
      </c>
      <c r="H75" s="325" t="s">
        <v>1806</v>
      </c>
    </row>
    <row r="76">
      <c r="A76" s="324" t="str">
        <f>HYPERLINK("https://en.uesp.net/wiki/Skyrim:Lightning_Storm", "Lightning Storm")</f>
        <v>Lightning Storm</v>
      </c>
      <c r="B76" s="63" t="s">
        <v>132</v>
      </c>
      <c r="C76" s="325" t="s">
        <v>1583</v>
      </c>
      <c r="D76" s="328" t="s">
        <v>1667</v>
      </c>
      <c r="E76" s="325">
        <v>1400.0</v>
      </c>
      <c r="F76" s="327" t="s">
        <v>1807</v>
      </c>
      <c r="G76" s="325" t="s">
        <v>1802</v>
      </c>
      <c r="H76" s="325" t="s">
        <v>1808</v>
      </c>
    </row>
    <row r="77">
      <c r="A77" s="324" t="str">
        <f>HYPERLINK("https://en.uesp.net/wiki/Skyrim:Illusion_Spells#Clairvoyance", "Clairvoyance")</f>
        <v>Clairvoyance</v>
      </c>
      <c r="B77" s="63" t="s">
        <v>132</v>
      </c>
      <c r="C77" s="325" t="s">
        <v>1809</v>
      </c>
      <c r="D77" s="328" t="s">
        <v>1625</v>
      </c>
      <c r="E77" s="325">
        <v>50.0</v>
      </c>
      <c r="F77" s="327" t="s">
        <v>1810</v>
      </c>
      <c r="G77" s="325" t="s">
        <v>1811</v>
      </c>
      <c r="H77" s="325" t="s">
        <v>1812</v>
      </c>
    </row>
    <row r="78">
      <c r="A78" s="324" t="str">
        <f>HYPERLINK("https://en.uesp.net/wiki/Skyrim:Courage", "Courage")</f>
        <v>Courage</v>
      </c>
      <c r="B78" s="63" t="s">
        <v>132</v>
      </c>
      <c r="C78" s="325" t="s">
        <v>1809</v>
      </c>
      <c r="D78" s="328" t="s">
        <v>1625</v>
      </c>
      <c r="E78" s="325">
        <v>46.0</v>
      </c>
      <c r="F78" s="327" t="s">
        <v>1813</v>
      </c>
      <c r="G78" s="325" t="s">
        <v>1814</v>
      </c>
      <c r="H78" s="325" t="s">
        <v>1815</v>
      </c>
    </row>
    <row r="79">
      <c r="A79" s="324" t="str">
        <f>HYPERLINK("https://en.uesp.net/wiki/Skyrim:Fury", "Fury")</f>
        <v>Fury</v>
      </c>
      <c r="B79" s="63" t="s">
        <v>132</v>
      </c>
      <c r="C79" s="325" t="s">
        <v>1809</v>
      </c>
      <c r="D79" s="328" t="s">
        <v>1625</v>
      </c>
      <c r="E79" s="325">
        <v>43.0</v>
      </c>
      <c r="F79" s="327" t="s">
        <v>1816</v>
      </c>
      <c r="G79" s="325" t="s">
        <v>1811</v>
      </c>
      <c r="H79" s="325" t="s">
        <v>1817</v>
      </c>
    </row>
    <row r="80">
      <c r="A80" s="324" t="str">
        <f>HYPERLINK("https://en.uesp.net/wiki/Skyrim:Vision_of_the_Tenth_Eye", "Vision of the Tenth Eye")</f>
        <v>Vision of the Tenth Eye</v>
      </c>
      <c r="B80" s="63" t="s">
        <v>132</v>
      </c>
      <c r="C80" s="325" t="s">
        <v>1809</v>
      </c>
      <c r="D80" s="328" t="s">
        <v>1625</v>
      </c>
      <c r="E80" s="325">
        <v>0.0</v>
      </c>
      <c r="F80" s="327" t="s">
        <v>1818</v>
      </c>
      <c r="G80" s="325" t="s">
        <v>1819</v>
      </c>
      <c r="H80" s="325" t="s">
        <v>134</v>
      </c>
    </row>
    <row r="81">
      <c r="A81" s="324" t="str">
        <f>HYPERLINK("https://en.uesp.net/wiki/Skyrim:Calm", "Calm")</f>
        <v>Calm</v>
      </c>
      <c r="B81" s="63" t="s">
        <v>132</v>
      </c>
      <c r="C81" s="325" t="s">
        <v>1809</v>
      </c>
      <c r="D81" s="328" t="s">
        <v>1635</v>
      </c>
      <c r="E81" s="325">
        <v>91.0</v>
      </c>
      <c r="F81" s="327" t="s">
        <v>1820</v>
      </c>
      <c r="G81" s="325" t="s">
        <v>1821</v>
      </c>
      <c r="H81" s="325" t="s">
        <v>1822</v>
      </c>
    </row>
    <row r="82">
      <c r="A82" s="324" t="str">
        <f>HYPERLINK("https://en.uesp.net/wiki/Skyrim:Fear_(spell)", "Fear")</f>
        <v>Fear</v>
      </c>
      <c r="B82" s="63" t="s">
        <v>132</v>
      </c>
      <c r="C82" s="325" t="s">
        <v>1809</v>
      </c>
      <c r="D82" s="328" t="s">
        <v>1635</v>
      </c>
      <c r="E82" s="325">
        <v>80.0</v>
      </c>
      <c r="F82" s="327" t="s">
        <v>1823</v>
      </c>
      <c r="G82" s="325" t="s">
        <v>1821</v>
      </c>
      <c r="H82" s="325" t="s">
        <v>1824</v>
      </c>
    </row>
    <row r="83">
      <c r="A83" s="324" t="str">
        <f>HYPERLINK("https://en.uesp.net/wiki/Skyrim:Illusion_Spells#Muffle", "Muffle")</f>
        <v>Muffle</v>
      </c>
      <c r="B83" s="63" t="s">
        <v>132</v>
      </c>
      <c r="C83" s="325" t="s">
        <v>1809</v>
      </c>
      <c r="D83" s="328" t="s">
        <v>1635</v>
      </c>
      <c r="E83" s="325">
        <v>88.0</v>
      </c>
      <c r="F83" s="327" t="s">
        <v>1825</v>
      </c>
      <c r="G83" s="325" t="s">
        <v>1821</v>
      </c>
      <c r="H83" s="325" t="s">
        <v>1826</v>
      </c>
    </row>
    <row r="84">
      <c r="A84" s="324" t="str">
        <f>HYPERLINK("https://en.uesp.net/wiki/Skyrim:Frenzy_(spell)", "Frenzy")</f>
        <v>Frenzy</v>
      </c>
      <c r="B84" s="63" t="s">
        <v>132</v>
      </c>
      <c r="C84" s="325" t="s">
        <v>1809</v>
      </c>
      <c r="D84" s="328" t="s">
        <v>1641</v>
      </c>
      <c r="E84" s="325">
        <v>330.0</v>
      </c>
      <c r="F84" s="327" t="s">
        <v>1827</v>
      </c>
      <c r="G84" s="325" t="s">
        <v>1828</v>
      </c>
      <c r="H84" s="325" t="s">
        <v>1829</v>
      </c>
    </row>
    <row r="85">
      <c r="A85" s="329" t="str">
        <f>HYPERLINK("https://en.uesp.net/wiki/Skyrim:Frenzy_Rune", "Frenzy Rune (DB)")</f>
        <v>Frenzy Rune (DB)</v>
      </c>
      <c r="B85" s="63" t="s">
        <v>132</v>
      </c>
      <c r="C85" s="325" t="s">
        <v>1809</v>
      </c>
      <c r="D85" s="328" t="s">
        <v>1641</v>
      </c>
      <c r="E85" s="325">
        <v>310.0</v>
      </c>
      <c r="F85" s="327" t="s">
        <v>1830</v>
      </c>
      <c r="G85" s="325" t="s">
        <v>1643</v>
      </c>
      <c r="H85" s="325" t="s">
        <v>1831</v>
      </c>
    </row>
    <row r="86">
      <c r="A86" s="324" t="str">
        <f>HYPERLINK("https://en.uesp.net/wiki/Skyrim:Rally_(spell)", "Rally")</f>
        <v>Rally</v>
      </c>
      <c r="B86" s="63" t="s">
        <v>132</v>
      </c>
      <c r="C86" s="325" t="s">
        <v>1809</v>
      </c>
      <c r="D86" s="328" t="s">
        <v>1641</v>
      </c>
      <c r="E86" s="325">
        <v>300.0</v>
      </c>
      <c r="F86" s="327" t="s">
        <v>1832</v>
      </c>
      <c r="G86" s="325" t="s">
        <v>1828</v>
      </c>
      <c r="H86" s="325" t="s">
        <v>1833</v>
      </c>
    </row>
    <row r="87">
      <c r="A87" s="324" t="str">
        <f>HYPERLINK("https://en.uesp.net/wiki/Skyrim:Invisibility_(spell)", "Invisibility")</f>
        <v>Invisibility</v>
      </c>
      <c r="B87" s="63" t="s">
        <v>132</v>
      </c>
      <c r="C87" s="325" t="s">
        <v>1809</v>
      </c>
      <c r="D87" s="328" t="s">
        <v>1657</v>
      </c>
      <c r="E87" s="325">
        <v>625.0</v>
      </c>
      <c r="F87" s="327" t="s">
        <v>1834</v>
      </c>
      <c r="G87" s="325" t="s">
        <v>1835</v>
      </c>
      <c r="H87" s="325" t="s">
        <v>1836</v>
      </c>
    </row>
    <row r="88">
      <c r="A88" s="324" t="str">
        <f>HYPERLINK("https://en.uesp.net/wiki/Skyrim:Pacify_(spell)", "Pacify")</f>
        <v>Pacify</v>
      </c>
      <c r="B88" s="63" t="s">
        <v>132</v>
      </c>
      <c r="C88" s="325" t="s">
        <v>1809</v>
      </c>
      <c r="D88" s="328" t="s">
        <v>1657</v>
      </c>
      <c r="E88" s="325">
        <v>610.0</v>
      </c>
      <c r="F88" s="327" t="s">
        <v>1837</v>
      </c>
      <c r="G88" s="325" t="s">
        <v>1835</v>
      </c>
      <c r="H88" s="325" t="s">
        <v>1838</v>
      </c>
    </row>
    <row r="89">
      <c r="A89" s="324" t="str">
        <f>HYPERLINK("https://en.uesp.net/wiki/Skyrim:Rout", "Rout")</f>
        <v>Rout</v>
      </c>
      <c r="B89" s="63" t="s">
        <v>132</v>
      </c>
      <c r="C89" s="325" t="s">
        <v>1809</v>
      </c>
      <c r="D89" s="328" t="s">
        <v>1657</v>
      </c>
      <c r="E89" s="325">
        <v>653.0</v>
      </c>
      <c r="F89" s="327" t="s">
        <v>1839</v>
      </c>
      <c r="G89" s="325" t="s">
        <v>1835</v>
      </c>
      <c r="H89" s="325" t="s">
        <v>1840</v>
      </c>
    </row>
    <row r="90">
      <c r="A90" s="324" t="str">
        <f>HYPERLINK("https://en.uesp.net/wiki/Skyrim:Call_to_Arms", "Call to Arms")</f>
        <v>Call to Arms</v>
      </c>
      <c r="B90" s="63" t="s">
        <v>132</v>
      </c>
      <c r="C90" s="325" t="s">
        <v>1809</v>
      </c>
      <c r="D90" s="328" t="s">
        <v>1667</v>
      </c>
      <c r="E90" s="325">
        <v>1150.0</v>
      </c>
      <c r="F90" s="327" t="s">
        <v>1841</v>
      </c>
      <c r="G90" s="325" t="s">
        <v>1842</v>
      </c>
      <c r="H90" s="325" t="s">
        <v>1843</v>
      </c>
    </row>
    <row r="91">
      <c r="A91" s="324" t="str">
        <f>HYPERLINK("https://en.uesp.net/wiki/Skyrim:Harmony", "Harmony")</f>
        <v>Harmony</v>
      </c>
      <c r="B91" s="63" t="s">
        <v>132</v>
      </c>
      <c r="C91" s="325" t="s">
        <v>1809</v>
      </c>
      <c r="D91" s="328" t="s">
        <v>1667</v>
      </c>
      <c r="E91" s="325">
        <v>1220.0</v>
      </c>
      <c r="F91" s="327" t="s">
        <v>1844</v>
      </c>
      <c r="G91" s="325" t="s">
        <v>1842</v>
      </c>
      <c r="H91" s="325" t="s">
        <v>1845</v>
      </c>
    </row>
    <row r="92">
      <c r="A92" s="324" t="str">
        <f>HYPERLINK("https://en.uesp.net/wiki/Skyrim:Hysteria", "Hysteria")</f>
        <v>Hysteria</v>
      </c>
      <c r="B92" s="63" t="s">
        <v>132</v>
      </c>
      <c r="C92" s="325" t="s">
        <v>1809</v>
      </c>
      <c r="D92" s="328" t="s">
        <v>1667</v>
      </c>
      <c r="E92" s="325">
        <v>1240.0</v>
      </c>
      <c r="F92" s="327" t="s">
        <v>1846</v>
      </c>
      <c r="G92" s="325" t="s">
        <v>1847</v>
      </c>
      <c r="H92" s="325" t="s">
        <v>1848</v>
      </c>
    </row>
    <row r="93">
      <c r="A93" s="324" t="str">
        <f>HYPERLINK("https://en.uesp.net/wiki/Skyrim:Mayhem", "Mayhem")</f>
        <v>Mayhem</v>
      </c>
      <c r="B93" s="63" t="s">
        <v>132</v>
      </c>
      <c r="C93" s="325" t="s">
        <v>1809</v>
      </c>
      <c r="D93" s="328" t="s">
        <v>1667</v>
      </c>
      <c r="E93" s="325">
        <v>1250.0</v>
      </c>
      <c r="F93" s="327" t="s">
        <v>1849</v>
      </c>
      <c r="G93" s="325" t="s">
        <v>1842</v>
      </c>
      <c r="H93" s="325" t="s">
        <v>1850</v>
      </c>
    </row>
    <row r="94">
      <c r="A94" s="324" t="str">
        <f>HYPERLINK("https://en.uesp.net/wiki/Skyrim:Healing", "Healing")</f>
        <v>Healing</v>
      </c>
      <c r="B94" s="63" t="s">
        <v>76</v>
      </c>
      <c r="C94" s="325" t="s">
        <v>1614</v>
      </c>
      <c r="D94" s="328" t="s">
        <v>1625</v>
      </c>
      <c r="E94" s="325">
        <v>50.0</v>
      </c>
      <c r="F94" s="327" t="s">
        <v>1851</v>
      </c>
      <c r="G94" s="325" t="s">
        <v>1751</v>
      </c>
      <c r="H94" s="325" t="s">
        <v>1852</v>
      </c>
    </row>
    <row r="95">
      <c r="A95" s="324" t="str">
        <f>HYPERLINK("https://en.uesp.net/wiki/Skyrim:Lesser_Ward", "Lesser Ward")</f>
        <v>Lesser Ward</v>
      </c>
      <c r="B95" s="63" t="s">
        <v>132</v>
      </c>
      <c r="C95" s="325" t="s">
        <v>1614</v>
      </c>
      <c r="D95" s="328" t="s">
        <v>1625</v>
      </c>
      <c r="E95" s="325">
        <v>45.0</v>
      </c>
      <c r="F95" s="327" t="s">
        <v>1853</v>
      </c>
      <c r="G95" s="325" t="s">
        <v>1854</v>
      </c>
      <c r="H95" s="325" t="s">
        <v>1855</v>
      </c>
    </row>
    <row r="96">
      <c r="A96" s="324" t="str">
        <f>HYPERLINK("https://en.uesp.net/wiki/Skyrim:Fast_Healing", "Fast Healing")</f>
        <v>Fast Healing</v>
      </c>
      <c r="B96" s="63" t="s">
        <v>132</v>
      </c>
      <c r="C96" s="325" t="s">
        <v>1614</v>
      </c>
      <c r="D96" s="328" t="s">
        <v>1635</v>
      </c>
      <c r="E96" s="325">
        <v>94.0</v>
      </c>
      <c r="F96" s="327" t="s">
        <v>1856</v>
      </c>
      <c r="G96" s="325" t="s">
        <v>1857</v>
      </c>
      <c r="H96" s="325" t="s">
        <v>1858</v>
      </c>
    </row>
    <row r="97">
      <c r="A97" s="324" t="str">
        <f>HYPERLINK("https://en.uesp.net/wiki/Skyrim:Healing_Hands", "Healing Hands")</f>
        <v>Healing Hands</v>
      </c>
      <c r="B97" s="63" t="s">
        <v>132</v>
      </c>
      <c r="C97" s="325" t="s">
        <v>1614</v>
      </c>
      <c r="D97" s="328" t="s">
        <v>1635</v>
      </c>
      <c r="E97" s="325">
        <v>89.0</v>
      </c>
      <c r="F97" s="327" t="s">
        <v>1859</v>
      </c>
      <c r="G97" s="325" t="s">
        <v>1857</v>
      </c>
      <c r="H97" s="325" t="s">
        <v>1860</v>
      </c>
    </row>
    <row r="98">
      <c r="A98" s="329" t="str">
        <f>HYPERLINK("https://en.uesp.net/wiki/Skyrim:Necromantic_Healing", "Necromantic Healing (DG)")</f>
        <v>Necromantic Healing (DG)</v>
      </c>
      <c r="B98" s="63" t="s">
        <v>132</v>
      </c>
      <c r="C98" s="325" t="s">
        <v>1614</v>
      </c>
      <c r="D98" s="328" t="s">
        <v>1635</v>
      </c>
      <c r="E98" s="325">
        <v>115.0</v>
      </c>
      <c r="F98" s="327" t="s">
        <v>1861</v>
      </c>
      <c r="G98" s="325" t="s">
        <v>1862</v>
      </c>
      <c r="H98" s="325" t="s">
        <v>1863</v>
      </c>
    </row>
    <row r="99">
      <c r="A99" s="324" t="str">
        <f>HYPERLINK("https://en.uesp.net/wiki/Skyrim:Steadfast_Ward", "Steadfast Ward")</f>
        <v>Steadfast Ward</v>
      </c>
      <c r="B99" s="63" t="s">
        <v>132</v>
      </c>
      <c r="C99" s="325" t="s">
        <v>1614</v>
      </c>
      <c r="D99" s="328" t="s">
        <v>1635</v>
      </c>
      <c r="E99" s="325">
        <v>92.0</v>
      </c>
      <c r="F99" s="327" t="s">
        <v>1864</v>
      </c>
      <c r="G99" s="325" t="s">
        <v>1857</v>
      </c>
      <c r="H99" s="325" t="s">
        <v>1865</v>
      </c>
    </row>
    <row r="100">
      <c r="A100" s="329" t="str">
        <f>HYPERLINK("https://en.uesp.net/wiki/Skyrim:Sun_Fire", "Sun Fire (DG)")</f>
        <v>Sun Fire (DG)</v>
      </c>
      <c r="B100" s="63" t="s">
        <v>132</v>
      </c>
      <c r="C100" s="325" t="s">
        <v>1614</v>
      </c>
      <c r="D100" s="328" t="s">
        <v>1635</v>
      </c>
      <c r="E100" s="325">
        <v>80.0</v>
      </c>
      <c r="F100" s="327" t="s">
        <v>1866</v>
      </c>
      <c r="G100" s="325" t="s">
        <v>1867</v>
      </c>
      <c r="H100" s="325" t="s">
        <v>1868</v>
      </c>
    </row>
    <row r="101">
      <c r="A101" s="324" t="str">
        <f>HYPERLINK("https://en.uesp.net/wiki/Skyrim:Turn_Lesser_Undead", "Turn Lesser Undead")</f>
        <v>Turn Lesser Undead</v>
      </c>
      <c r="B101" s="63" t="s">
        <v>132</v>
      </c>
      <c r="C101" s="325" t="s">
        <v>1614</v>
      </c>
      <c r="D101" s="328" t="s">
        <v>1635</v>
      </c>
      <c r="E101" s="325">
        <v>89.0</v>
      </c>
      <c r="F101" s="327" t="s">
        <v>1869</v>
      </c>
      <c r="G101" s="325" t="s">
        <v>1857</v>
      </c>
      <c r="H101" s="325" t="s">
        <v>1870</v>
      </c>
    </row>
    <row r="102">
      <c r="A102" s="324" t="str">
        <f>HYPERLINK("https://en.uesp.net/wiki/Skyrim:Close_Wounds", "Close Wounds")</f>
        <v>Close Wounds</v>
      </c>
      <c r="B102" s="63" t="s">
        <v>132</v>
      </c>
      <c r="C102" s="325" t="s">
        <v>1614</v>
      </c>
      <c r="D102" s="328" t="s">
        <v>1641</v>
      </c>
      <c r="E102" s="325">
        <v>360.0</v>
      </c>
      <c r="F102" s="327" t="s">
        <v>1871</v>
      </c>
      <c r="G102" s="325" t="s">
        <v>1872</v>
      </c>
      <c r="H102" s="325" t="s">
        <v>1873</v>
      </c>
    </row>
    <row r="103">
      <c r="A103" s="324" t="str">
        <f>HYPERLINK("https://en.uesp.net/wiki/Skyrim:Greater_Ward", "Greater Ward")</f>
        <v>Greater Ward</v>
      </c>
      <c r="B103" s="63" t="s">
        <v>132</v>
      </c>
      <c r="C103" s="325" t="s">
        <v>1614</v>
      </c>
      <c r="D103" s="328" t="s">
        <v>1641</v>
      </c>
      <c r="E103" s="325">
        <v>341.0</v>
      </c>
      <c r="F103" s="327" t="s">
        <v>1874</v>
      </c>
      <c r="G103" s="325" t="s">
        <v>1872</v>
      </c>
      <c r="H103" s="325" t="s">
        <v>1875</v>
      </c>
    </row>
    <row r="104">
      <c r="A104" s="324" t="str">
        <f>HYPERLINK("https://en.uesp.net/wiki/Skyrim:Heal_Other", "Heal Other")</f>
        <v>Heal Other</v>
      </c>
      <c r="B104" s="63" t="s">
        <v>132</v>
      </c>
      <c r="C104" s="325" t="s">
        <v>1614</v>
      </c>
      <c r="D104" s="328" t="s">
        <v>1641</v>
      </c>
      <c r="E104" s="325">
        <v>300.0</v>
      </c>
      <c r="F104" s="327" t="s">
        <v>1876</v>
      </c>
      <c r="G104" s="325" t="s">
        <v>1872</v>
      </c>
      <c r="H104" s="325" t="s">
        <v>1877</v>
      </c>
    </row>
    <row r="105">
      <c r="A105" s="329" t="str">
        <f>HYPERLINK("https://en.uesp.net/wiki/Skyrim:Heal_Undead", "Heal Undead (DG)")</f>
        <v>Heal Undead (DG)</v>
      </c>
      <c r="B105" s="63" t="s">
        <v>132</v>
      </c>
      <c r="C105" s="325" t="s">
        <v>1614</v>
      </c>
      <c r="D105" s="328" t="s">
        <v>1641</v>
      </c>
      <c r="E105" s="325">
        <v>370.0</v>
      </c>
      <c r="F105" s="327" t="s">
        <v>1878</v>
      </c>
      <c r="G105" s="334" t="s">
        <v>1879</v>
      </c>
      <c r="H105" s="325" t="s">
        <v>1880</v>
      </c>
    </row>
    <row r="106">
      <c r="A106" s="329" t="str">
        <f>HYPERLINK("https://en.uesp.net/wiki/Skyrim:Poison_Rune", "Poison Rune (DB)")</f>
        <v>Poison Rune (DB)</v>
      </c>
      <c r="B106" s="63" t="s">
        <v>132</v>
      </c>
      <c r="C106" s="325" t="s">
        <v>1614</v>
      </c>
      <c r="D106" s="328" t="s">
        <v>1641</v>
      </c>
      <c r="E106" s="325">
        <v>290.0</v>
      </c>
      <c r="F106" s="327" t="s">
        <v>1881</v>
      </c>
      <c r="G106" s="325" t="s">
        <v>1643</v>
      </c>
      <c r="H106" s="325" t="s">
        <v>1882</v>
      </c>
    </row>
    <row r="107">
      <c r="A107" s="324" t="str">
        <f>HYPERLINK("https://en.uesp.net/wiki/Skyrim:Repel_Lesser_Undead", "Repel Lesser Undead")</f>
        <v>Repel Lesser Undead</v>
      </c>
      <c r="B107" s="63" t="s">
        <v>132</v>
      </c>
      <c r="C107" s="325" t="s">
        <v>1614</v>
      </c>
      <c r="D107" s="328" t="s">
        <v>1641</v>
      </c>
      <c r="E107" s="325">
        <v>333.0</v>
      </c>
      <c r="F107" s="327" t="s">
        <v>1883</v>
      </c>
      <c r="G107" s="325" t="s">
        <v>1872</v>
      </c>
      <c r="H107" s="325" t="s">
        <v>1884</v>
      </c>
    </row>
    <row r="108">
      <c r="A108" s="329" t="str">
        <f>HYPERLINK("https://en.uesp.net/wiki/Skyrim:Stendarr's_Aura", "Stendarr's Aura (DG)")</f>
        <v>Stendarr's Aura (DG)</v>
      </c>
      <c r="B108" s="63" t="s">
        <v>132</v>
      </c>
      <c r="C108" s="325" t="s">
        <v>1614</v>
      </c>
      <c r="D108" s="328" t="s">
        <v>1641</v>
      </c>
      <c r="E108" s="325">
        <v>335.0</v>
      </c>
      <c r="F108" s="327" t="s">
        <v>1885</v>
      </c>
      <c r="G108" s="325" t="s">
        <v>1886</v>
      </c>
      <c r="H108" s="325" t="s">
        <v>1887</v>
      </c>
    </row>
    <row r="109">
      <c r="A109" s="324" t="str">
        <f>HYPERLINK("https://en.uesp.net/wiki/Skyrim:Turn_Undead_(spells)#Turn_Undead", "Turn Undead")</f>
        <v>Turn Undead</v>
      </c>
      <c r="B109" s="63" t="s">
        <v>132</v>
      </c>
      <c r="C109" s="325" t="s">
        <v>1614</v>
      </c>
      <c r="D109" s="328" t="s">
        <v>1641</v>
      </c>
      <c r="E109" s="325">
        <v>323.0</v>
      </c>
      <c r="F109" s="327" t="s">
        <v>1888</v>
      </c>
      <c r="G109" s="325" t="s">
        <v>1872</v>
      </c>
      <c r="H109" s="325" t="s">
        <v>1889</v>
      </c>
    </row>
    <row r="110">
      <c r="A110" s="329" t="str">
        <f>HYPERLINK("https://en.uesp.net/wiki/Skyrim:Vampire's_Bane", "Vampire's Bane (DG)")</f>
        <v>Vampire's Bane (DG)</v>
      </c>
      <c r="B110" s="63" t="s">
        <v>132</v>
      </c>
      <c r="C110" s="325" t="s">
        <v>1614</v>
      </c>
      <c r="D110" s="328" t="s">
        <v>1641</v>
      </c>
      <c r="E110" s="325">
        <v>340.0</v>
      </c>
      <c r="F110" s="327" t="s">
        <v>1890</v>
      </c>
      <c r="G110" s="325" t="s">
        <v>1886</v>
      </c>
      <c r="H110" s="325" t="s">
        <v>1891</v>
      </c>
    </row>
    <row r="111">
      <c r="A111" s="324" t="str">
        <f>HYPERLINK("https://en.uesp.net/wiki/Skyrim:Circle_of_Protection", "Circle of Protection")</f>
        <v>Circle of Protection</v>
      </c>
      <c r="B111" s="63" t="s">
        <v>132</v>
      </c>
      <c r="C111" s="325" t="s">
        <v>1614</v>
      </c>
      <c r="D111" s="328" t="s">
        <v>1657</v>
      </c>
      <c r="E111" s="325">
        <v>650.0</v>
      </c>
      <c r="F111" s="327" t="s">
        <v>1892</v>
      </c>
      <c r="G111" s="325" t="s">
        <v>1893</v>
      </c>
      <c r="H111" s="325" t="s">
        <v>1894</v>
      </c>
    </row>
    <row r="112">
      <c r="A112" s="324" t="str">
        <f>HYPERLINK("https://en.uesp.net/wiki/Skyrim:Grand_Healing", "Grand Healing")</f>
        <v>Grand Healing</v>
      </c>
      <c r="B112" s="63" t="s">
        <v>132</v>
      </c>
      <c r="C112" s="325" t="s">
        <v>1614</v>
      </c>
      <c r="D112" s="328" t="s">
        <v>1657</v>
      </c>
      <c r="E112" s="325">
        <v>680.0</v>
      </c>
      <c r="F112" s="327" t="s">
        <v>1895</v>
      </c>
      <c r="G112" s="325" t="s">
        <v>1893</v>
      </c>
      <c r="H112" s="325" t="s">
        <v>1896</v>
      </c>
    </row>
    <row r="113">
      <c r="A113" s="324" t="str">
        <f>HYPERLINK("https://en.uesp.net/wiki/Skyrim:Repel_Undead", "Repel Undead")</f>
        <v>Repel Undead</v>
      </c>
      <c r="B113" s="63" t="s">
        <v>132</v>
      </c>
      <c r="C113" s="325" t="s">
        <v>1614</v>
      </c>
      <c r="D113" s="328" t="s">
        <v>1657</v>
      </c>
      <c r="E113" s="325">
        <v>655.0</v>
      </c>
      <c r="F113" s="327" t="s">
        <v>1897</v>
      </c>
      <c r="G113" s="325" t="s">
        <v>1893</v>
      </c>
      <c r="H113" s="325" t="s">
        <v>1898</v>
      </c>
    </row>
    <row r="114">
      <c r="A114" s="324" t="str">
        <f>HYPERLINK("https://en.uesp.net/wiki/Skyrim:Turn_Greater_Undead", "Turn Greater Undead")</f>
        <v>Turn Greater Undead</v>
      </c>
      <c r="B114" s="63" t="s">
        <v>132</v>
      </c>
      <c r="C114" s="325" t="s">
        <v>1614</v>
      </c>
      <c r="D114" s="328" t="s">
        <v>1657</v>
      </c>
      <c r="E114" s="325">
        <v>664.0</v>
      </c>
      <c r="F114" s="327" t="s">
        <v>1899</v>
      </c>
      <c r="G114" s="325" t="s">
        <v>1893</v>
      </c>
      <c r="H114" s="325" t="s">
        <v>1900</v>
      </c>
    </row>
    <row r="115">
      <c r="A115" s="332" t="str">
        <f>HYPERLINK("https://en.uesp.net/wiki/Skyrim:Bane_of_the_Undead", "Bane of the Undead")</f>
        <v>Bane of the Undead</v>
      </c>
      <c r="B115" s="63" t="s">
        <v>132</v>
      </c>
      <c r="C115" s="325" t="s">
        <v>1614</v>
      </c>
      <c r="D115" s="328" t="s">
        <v>1667</v>
      </c>
      <c r="E115" s="325">
        <v>1200.0</v>
      </c>
      <c r="F115" s="327" t="s">
        <v>1901</v>
      </c>
      <c r="G115" s="325" t="s">
        <v>1902</v>
      </c>
      <c r="H115" s="325" t="s">
        <v>1903</v>
      </c>
    </row>
    <row r="116">
      <c r="A116" s="324" t="str">
        <f>HYPERLINK("https://en.uesp.net/wiki/Skyrim:Guardian_Circle", "Guardian Circle")</f>
        <v>Guardian Circle</v>
      </c>
      <c r="B116" s="63" t="s">
        <v>132</v>
      </c>
      <c r="C116" s="325" t="s">
        <v>1614</v>
      </c>
      <c r="D116" s="328" t="s">
        <v>1667</v>
      </c>
      <c r="E116" s="325">
        <v>1220.0</v>
      </c>
      <c r="F116" s="327" t="s">
        <v>1904</v>
      </c>
      <c r="G116" s="325" t="s">
        <v>1905</v>
      </c>
      <c r="H116" s="325" t="s">
        <v>1906</v>
      </c>
    </row>
    <row r="117">
      <c r="A117" s="335" t="str">
        <f>HYPERLINK("https://en.uesp.net/wiki/Skyrim:Teleport_Pet:_Arachnia", "Teleport Pet: Arachnia (AE)")</f>
        <v>Teleport Pet: Arachnia (AE)</v>
      </c>
      <c r="B117" s="336" t="s">
        <v>132</v>
      </c>
      <c r="C117" s="337" t="s">
        <v>1604</v>
      </c>
      <c r="D117" s="338" t="s">
        <v>1625</v>
      </c>
      <c r="E117" s="337" t="s">
        <v>134</v>
      </c>
      <c r="F117" s="339" t="s">
        <v>1907</v>
      </c>
      <c r="G117" s="337" t="s">
        <v>1908</v>
      </c>
      <c r="H117" s="337" t="s">
        <v>1909</v>
      </c>
    </row>
    <row r="118">
      <c r="A118" s="335" t="str">
        <f>HYPERLINK("https://en.uesp.net/wiki/Skyrim:Teleport_Pet:_Bone_Wolf", "Teleport Pet: Bone Wolf (AE)")</f>
        <v>Teleport Pet: Bone Wolf (AE)</v>
      </c>
      <c r="B118" s="336" t="s">
        <v>132</v>
      </c>
      <c r="C118" s="337" t="s">
        <v>1604</v>
      </c>
      <c r="D118" s="340" t="s">
        <v>1625</v>
      </c>
      <c r="E118" s="337" t="s">
        <v>134</v>
      </c>
      <c r="F118" s="339" t="s">
        <v>1910</v>
      </c>
      <c r="G118" s="337" t="s">
        <v>1911</v>
      </c>
      <c r="H118" s="337" t="s">
        <v>1912</v>
      </c>
    </row>
    <row r="119">
      <c r="A119" s="335" t="str">
        <f>HYPERLINK("https://en.uesp.net/wiki/Skyrim:Teleport_Pet:_Demented_Elytra_Nymph", "Teleport Pet: Demented Elytra Nymph (AE)")</f>
        <v>Teleport Pet: Demented Elytra Nymph (AE)</v>
      </c>
      <c r="B119" s="336" t="s">
        <v>132</v>
      </c>
      <c r="C119" s="337" t="s">
        <v>1604</v>
      </c>
      <c r="D119" s="340" t="s">
        <v>1625</v>
      </c>
      <c r="E119" s="337" t="s">
        <v>134</v>
      </c>
      <c r="F119" s="339" t="s">
        <v>1913</v>
      </c>
      <c r="G119" s="337" t="s">
        <v>1914</v>
      </c>
      <c r="H119" s="337" t="s">
        <v>1915</v>
      </c>
    </row>
    <row r="120">
      <c r="A120" s="335" t="str">
        <f>HYPERLINK("https://en.uesp.net/wiki/Skyrim:Teleport_Pet:_Dwarven_Mudcrab ", "Teleport Pet: Dwarven Mudcrab (AE)")</f>
        <v>Teleport Pet: Dwarven Mudcrab (AE)</v>
      </c>
      <c r="B120" s="336" t="s">
        <v>132</v>
      </c>
      <c r="C120" s="337" t="s">
        <v>1604</v>
      </c>
      <c r="D120" s="340" t="s">
        <v>1625</v>
      </c>
      <c r="E120" s="337">
        <v>50.0</v>
      </c>
      <c r="F120" s="339" t="s">
        <v>1916</v>
      </c>
      <c r="G120" s="337" t="s">
        <v>1917</v>
      </c>
      <c r="H120" s="337" t="s">
        <v>1918</v>
      </c>
    </row>
    <row r="121">
      <c r="A121" s="335" t="str">
        <f>HYPERLINK("https://en.uesp.net/wiki/Skyrim:Teleport_Pet:_Hilda ", "Teleport Pet: Hilda (AE)")</f>
        <v>Teleport Pet: Hilda (AE)</v>
      </c>
      <c r="B121" s="336" t="s">
        <v>132</v>
      </c>
      <c r="C121" s="337" t="s">
        <v>1604</v>
      </c>
      <c r="D121" s="340" t="s">
        <v>1625</v>
      </c>
      <c r="E121" s="337" t="s">
        <v>134</v>
      </c>
      <c r="F121" s="339" t="s">
        <v>1919</v>
      </c>
      <c r="G121" s="337" t="s">
        <v>1920</v>
      </c>
      <c r="H121" s="337" t="s">
        <v>1921</v>
      </c>
    </row>
    <row r="122">
      <c r="A122" s="335" t="str">
        <f>HYPERLINK("https://en.uesp.net/wiki/Skyrim:Teleport_Pet:_Manic_Elytra_Nymph ", "Teleport Pet: Manic Elytra Nymph (AE)")</f>
        <v>Teleport Pet: Manic Elytra Nymph (AE)</v>
      </c>
      <c r="B122" s="336" t="s">
        <v>132</v>
      </c>
      <c r="C122" s="337" t="s">
        <v>1604</v>
      </c>
      <c r="D122" s="340" t="s">
        <v>1625</v>
      </c>
      <c r="E122" s="337" t="s">
        <v>134</v>
      </c>
      <c r="F122" s="339" t="s">
        <v>1922</v>
      </c>
      <c r="G122" s="337" t="s">
        <v>1914</v>
      </c>
      <c r="H122" s="337" t="s">
        <v>1923</v>
      </c>
    </row>
    <row r="123">
      <c r="A123" s="335" t="str">
        <f>HYPERLINK("https://en.uesp.net/wiki/Skyrim:Teleport_Pet:_Nix-Hound ", "Teleport Pet: Nix-Hound (AE)")</f>
        <v>Teleport Pet: Nix-Hound (AE)</v>
      </c>
      <c r="B123" s="336" t="s">
        <v>132</v>
      </c>
      <c r="C123" s="337" t="s">
        <v>1604</v>
      </c>
      <c r="D123" s="340" t="s">
        <v>1625</v>
      </c>
      <c r="E123" s="337" t="s">
        <v>134</v>
      </c>
      <c r="F123" s="339" t="s">
        <v>1924</v>
      </c>
      <c r="G123" s="337" t="s">
        <v>1925</v>
      </c>
      <c r="H123" s="337" t="s">
        <v>1926</v>
      </c>
    </row>
    <row r="124">
      <c r="A124" s="335" t="str">
        <f>HYPERLINK("https://en.uesp.net/wiki/Skyrim:Teleport_Pet:_Skritch ", "Teleport Pet: Skritch (AE)")</f>
        <v>Teleport Pet: Skritch (AE)</v>
      </c>
      <c r="B124" s="336" t="s">
        <v>132</v>
      </c>
      <c r="C124" s="337" t="s">
        <v>1604</v>
      </c>
      <c r="D124" s="340" t="s">
        <v>1625</v>
      </c>
      <c r="E124" s="337" t="s">
        <v>134</v>
      </c>
      <c r="F124" s="339" t="s">
        <v>1927</v>
      </c>
      <c r="G124" s="337" t="s">
        <v>1928</v>
      </c>
      <c r="H124" s="337" t="s">
        <v>1929</v>
      </c>
    </row>
    <row r="125">
      <c r="A125" s="335" t="str">
        <f>HYPERLINK("https://en.uesp.net/wiki/Skyrim:Teleport_Pet:_Sweet_Roll ", "Teleport Pet: Sweet Roll (AE)")</f>
        <v>Teleport Pet: Sweet Roll (AE)</v>
      </c>
      <c r="B125" s="336" t="s">
        <v>132</v>
      </c>
      <c r="C125" s="337" t="s">
        <v>1604</v>
      </c>
      <c r="D125" s="340" t="s">
        <v>1625</v>
      </c>
      <c r="E125" s="337" t="s">
        <v>134</v>
      </c>
      <c r="F125" s="339" t="s">
        <v>1930</v>
      </c>
      <c r="G125" s="337" t="s">
        <v>1931</v>
      </c>
      <c r="H125" s="337" t="s">
        <v>1932</v>
      </c>
    </row>
    <row r="126">
      <c r="A126" s="335" t="str">
        <f>HYPERLINK("https://en.uesp.net/wiki/Skyrim:Teleport_Pet:_Thistle ", "Teleport Pet: Thistle (AE)")</f>
        <v>Teleport Pet: Thistle (AE)</v>
      </c>
      <c r="B126" s="336" t="s">
        <v>132</v>
      </c>
      <c r="C126" s="337" t="s">
        <v>1604</v>
      </c>
      <c r="D126" s="340" t="s">
        <v>1625</v>
      </c>
      <c r="E126" s="337" t="s">
        <v>134</v>
      </c>
      <c r="F126" s="339" t="s">
        <v>1933</v>
      </c>
      <c r="G126" s="337" t="s">
        <v>1934</v>
      </c>
      <c r="H126" s="337" t="s">
        <v>1935</v>
      </c>
    </row>
    <row r="127">
      <c r="A127" s="341" t="s">
        <v>1936</v>
      </c>
      <c r="B127" s="336" t="s">
        <v>132</v>
      </c>
      <c r="C127" s="337" t="s">
        <v>1604</v>
      </c>
      <c r="D127" s="340" t="s">
        <v>1641</v>
      </c>
      <c r="E127" s="337">
        <v>200.0</v>
      </c>
      <c r="F127" s="339" t="s">
        <v>1937</v>
      </c>
      <c r="G127" s="337" t="s">
        <v>1938</v>
      </c>
      <c r="H127" s="337" t="s">
        <v>1939</v>
      </c>
    </row>
    <row r="128">
      <c r="A128" s="341" t="s">
        <v>1940</v>
      </c>
      <c r="B128" s="336" t="s">
        <v>132</v>
      </c>
      <c r="C128" s="337" t="s">
        <v>1604</v>
      </c>
      <c r="D128" s="340" t="s">
        <v>1641</v>
      </c>
      <c r="E128" s="337">
        <v>120.0</v>
      </c>
      <c r="F128" s="339" t="s">
        <v>1941</v>
      </c>
      <c r="G128" s="337" t="s">
        <v>1942</v>
      </c>
      <c r="H128" s="337" t="s">
        <v>1943</v>
      </c>
    </row>
    <row r="129">
      <c r="A129" s="341" t="s">
        <v>1944</v>
      </c>
      <c r="B129" s="336" t="s">
        <v>132</v>
      </c>
      <c r="C129" s="337" t="s">
        <v>1604</v>
      </c>
      <c r="D129" s="340" t="s">
        <v>1641</v>
      </c>
      <c r="E129" s="337">
        <v>341.0</v>
      </c>
      <c r="F129" s="339" t="s">
        <v>1945</v>
      </c>
      <c r="G129" s="337" t="s">
        <v>1946</v>
      </c>
      <c r="H129" s="337" t="s">
        <v>1947</v>
      </c>
    </row>
    <row r="130">
      <c r="A130" s="335" t="str">
        <f>HYPERLINK("https://en.uesp.net/wiki/Skyrim:Conjure_Skeleton_Minion ", "Conjure Skeleton Minion (AE)")</f>
        <v>Conjure Skeleton Minion (AE)</v>
      </c>
      <c r="B130" s="336" t="s">
        <v>132</v>
      </c>
      <c r="C130" s="337" t="s">
        <v>1588</v>
      </c>
      <c r="D130" s="340" t="s">
        <v>1625</v>
      </c>
      <c r="E130" s="337">
        <v>50.0</v>
      </c>
      <c r="F130" s="339" t="s">
        <v>1948</v>
      </c>
      <c r="G130" s="337" t="s">
        <v>1949</v>
      </c>
      <c r="H130" s="337" t="s">
        <v>1950</v>
      </c>
    </row>
    <row r="131">
      <c r="A131" s="335" t="str">
        <f>HYPERLINK("https://en.uesp.net/wiki/Skyrim:Conjure_Undying_Ghost", "Conjure Undying Ghost (AE)")</f>
        <v>Conjure Undying Ghost (AE)</v>
      </c>
      <c r="B131" s="336" t="s">
        <v>132</v>
      </c>
      <c r="C131" s="337" t="s">
        <v>1588</v>
      </c>
      <c r="D131" s="340" t="s">
        <v>1625</v>
      </c>
      <c r="E131" s="337">
        <v>50.0</v>
      </c>
      <c r="F131" s="339" t="s">
        <v>1951</v>
      </c>
      <c r="G131" s="337" t="s">
        <v>1952</v>
      </c>
      <c r="H131" s="337" t="s">
        <v>1953</v>
      </c>
    </row>
    <row r="132">
      <c r="A132" s="335" t="str">
        <f>HYPERLINK("https://en.uesp.net/wiki/Skyrim:Conjure_Zombie", "Conjure Zombie (AE)")</f>
        <v>Conjure Zombie (AE)</v>
      </c>
      <c r="B132" s="336" t="s">
        <v>132</v>
      </c>
      <c r="C132" s="337" t="s">
        <v>1588</v>
      </c>
      <c r="D132" s="340" t="s">
        <v>1625</v>
      </c>
      <c r="E132" s="337">
        <v>49.0</v>
      </c>
      <c r="F132" s="339" t="s">
        <v>1954</v>
      </c>
      <c r="G132" s="337" t="s">
        <v>1955</v>
      </c>
      <c r="H132" s="337" t="s">
        <v>1956</v>
      </c>
    </row>
    <row r="133">
      <c r="A133" s="335" t="str">
        <f>HYPERLINK("https://en.uesp.net/wiki/Skyrim:Conjure_Foul_Zombie", "Conjure Foul Zombie (AE)")</f>
        <v>Conjure Foul Zombie (AE)</v>
      </c>
      <c r="B133" s="336" t="s">
        <v>132</v>
      </c>
      <c r="C133" s="337" t="s">
        <v>1588</v>
      </c>
      <c r="D133" s="340" t="s">
        <v>1635</v>
      </c>
      <c r="E133" s="337">
        <v>100.0</v>
      </c>
      <c r="F133" s="339" t="s">
        <v>1957</v>
      </c>
      <c r="G133" s="337" t="s">
        <v>1955</v>
      </c>
      <c r="H133" s="337" t="s">
        <v>1958</v>
      </c>
    </row>
    <row r="134">
      <c r="A134" s="335" t="str">
        <f>HYPERLINK("https://en.uesp.net/wiki/Skyrim:Conjure_Haunting_Spirit", "Conjure Haunting Spirit (AE)")</f>
        <v>Conjure Haunting Spirit (AE)</v>
      </c>
      <c r="B134" s="336" t="s">
        <v>132</v>
      </c>
      <c r="C134" s="337" t="s">
        <v>1588</v>
      </c>
      <c r="D134" s="340" t="s">
        <v>1635</v>
      </c>
      <c r="E134" s="337">
        <v>100.0</v>
      </c>
      <c r="F134" s="339" t="s">
        <v>1959</v>
      </c>
      <c r="G134" s="337" t="s">
        <v>1960</v>
      </c>
      <c r="H134" s="337" t="s">
        <v>1961</v>
      </c>
    </row>
    <row r="135">
      <c r="A135" s="335" t="str">
        <f>HYPERLINK("https://en.uesp.net/wiki/Skyrim:Conjure_Skeleton_Marksman", "Conjure Skeleton Marksman (AE)")</f>
        <v>Conjure Skeleton Marksman (AE)</v>
      </c>
      <c r="B135" s="336" t="s">
        <v>132</v>
      </c>
      <c r="C135" s="337" t="s">
        <v>1588</v>
      </c>
      <c r="D135" s="340" t="s">
        <v>1635</v>
      </c>
      <c r="E135" s="337">
        <v>250.0</v>
      </c>
      <c r="F135" s="339" t="s">
        <v>1962</v>
      </c>
      <c r="G135" s="337" t="s">
        <v>1963</v>
      </c>
      <c r="H135" s="337" t="s">
        <v>1964</v>
      </c>
    </row>
    <row r="136">
      <c r="A136" s="335" t="str">
        <f>HYPERLINK("https://en.uesp.net/wiki/Skyrim:Soul_Split", "Soul Split (AE)")</f>
        <v>Soul Split (AE)</v>
      </c>
      <c r="B136" s="336" t="s">
        <v>132</v>
      </c>
      <c r="C136" s="337" t="s">
        <v>1588</v>
      </c>
      <c r="D136" s="340" t="s">
        <v>1635</v>
      </c>
      <c r="E136" s="337">
        <v>100.0</v>
      </c>
      <c r="F136" s="339" t="s">
        <v>1965</v>
      </c>
      <c r="G136" s="337" t="s">
        <v>1966</v>
      </c>
      <c r="H136" s="337" t="s">
        <v>1967</v>
      </c>
    </row>
    <row r="137">
      <c r="A137" s="335" t="str">
        <f>HYPERLINK("https://en.uesp.net/wiki/Skyrim:Summon_Daedric_Horse", "Summon Daedric Horse (AE)")</f>
        <v>Summon Daedric Horse (AE)</v>
      </c>
      <c r="B137" s="336" t="s">
        <v>132</v>
      </c>
      <c r="C137" s="337" t="s">
        <v>1588</v>
      </c>
      <c r="D137" s="340" t="s">
        <v>1635</v>
      </c>
      <c r="E137" s="337">
        <v>100.0</v>
      </c>
      <c r="F137" s="339" t="s">
        <v>1968</v>
      </c>
      <c r="G137" s="337" t="s">
        <v>1969</v>
      </c>
      <c r="H137" s="337" t="s">
        <v>1970</v>
      </c>
    </row>
    <row r="138">
      <c r="A138" s="335" t="str">
        <f>HYPERLINK("https://en.uesp.net/wiki/Skyrim:Banish_Undead", "Banish Undead (AE)")</f>
        <v>Banish Undead (AE)</v>
      </c>
      <c r="B138" s="336" t="s">
        <v>132</v>
      </c>
      <c r="C138" s="337" t="s">
        <v>1588</v>
      </c>
      <c r="D138" s="340" t="s">
        <v>1641</v>
      </c>
      <c r="E138" s="337">
        <v>325.0</v>
      </c>
      <c r="F138" s="339" t="s">
        <v>1971</v>
      </c>
      <c r="G138" s="337" t="s">
        <v>1972</v>
      </c>
      <c r="H138" s="337" t="s">
        <v>1973</v>
      </c>
    </row>
    <row r="139">
      <c r="A139" s="335" t="str">
        <f>HYPERLINK("https://en.uesp.net/wiki/Skyrim:Bound_Quiver", "Bound Quiver (AE)")</f>
        <v>Bound Quiver (AE)</v>
      </c>
      <c r="B139" s="336" t="s">
        <v>132</v>
      </c>
      <c r="C139" s="337" t="s">
        <v>1588</v>
      </c>
      <c r="D139" s="340" t="s">
        <v>1641</v>
      </c>
      <c r="E139" s="337">
        <v>335.0</v>
      </c>
      <c r="F139" s="339" t="s">
        <v>1974</v>
      </c>
      <c r="G139" s="337" t="s">
        <v>1975</v>
      </c>
      <c r="H139" s="337" t="s">
        <v>1976</v>
      </c>
    </row>
    <row r="140">
      <c r="A140" s="335" t="str">
        <f>HYPERLINK("https://en.uesp.net/wiki/Skyrim:Conjure_Dark_Seducer_Archer", "Conjure Dark Seducer Archer (AE)")</f>
        <v>Conjure Dark Seducer Archer (AE)</v>
      </c>
      <c r="B140" s="336" t="s">
        <v>132</v>
      </c>
      <c r="C140" s="337" t="s">
        <v>1588</v>
      </c>
      <c r="D140" s="340" t="s">
        <v>1641</v>
      </c>
      <c r="E140" s="337">
        <v>680.0</v>
      </c>
      <c r="F140" s="339" t="s">
        <v>1977</v>
      </c>
      <c r="G140" s="337" t="s">
        <v>1978</v>
      </c>
      <c r="H140" s="337" t="s">
        <v>1979</v>
      </c>
    </row>
    <row r="141">
      <c r="A141" s="335" t="str">
        <f>HYPERLINK("https://en.uesp.net/wiki/Skyrim:Conjure_Dark_Seducer_Warrior", "Conjure Dark Seducer Warrior (AE)")</f>
        <v>Conjure Dark Seducer Warrior (AE)</v>
      </c>
      <c r="B141" s="336" t="s">
        <v>132</v>
      </c>
      <c r="C141" s="337" t="s">
        <v>1588</v>
      </c>
      <c r="D141" s="340" t="s">
        <v>1641</v>
      </c>
      <c r="E141" s="337">
        <v>680.0</v>
      </c>
      <c r="F141" s="339" t="s">
        <v>1980</v>
      </c>
      <c r="G141" s="337" t="s">
        <v>1978</v>
      </c>
      <c r="H141" s="337" t="s">
        <v>1981</v>
      </c>
    </row>
    <row r="142">
      <c r="A142" s="335" t="str">
        <f>HYPERLINK("https://en.uesp.net/wiki/Skyrim:Conjure_Golden_Saint_Archer", "Conjure Golden Saint Archer (AE)")</f>
        <v>Conjure Golden Saint Archer (AE)</v>
      </c>
      <c r="B142" s="336" t="s">
        <v>132</v>
      </c>
      <c r="C142" s="337" t="s">
        <v>1588</v>
      </c>
      <c r="D142" s="340" t="s">
        <v>1641</v>
      </c>
      <c r="E142" s="337">
        <v>680.0</v>
      </c>
      <c r="F142" s="339" t="s">
        <v>1982</v>
      </c>
      <c r="G142" s="337" t="s">
        <v>1978</v>
      </c>
      <c r="H142" s="337" t="s">
        <v>1983</v>
      </c>
    </row>
    <row r="143">
      <c r="A143" s="335" t="str">
        <f>HYPERLINK("https://en.uesp.net/wiki/Skyrim:Conjure_Golden_Saint_Warrior", "Conjure Golden Saint Warrior (AE)")</f>
        <v>Conjure Golden Saint Warrior (AE)</v>
      </c>
      <c r="B143" s="336" t="s">
        <v>132</v>
      </c>
      <c r="C143" s="337" t="s">
        <v>1588</v>
      </c>
      <c r="D143" s="340" t="s">
        <v>1641</v>
      </c>
      <c r="E143" s="337">
        <v>680.0</v>
      </c>
      <c r="F143" s="339" t="s">
        <v>1984</v>
      </c>
      <c r="G143" s="337" t="s">
        <v>1978</v>
      </c>
      <c r="H143" s="337" t="s">
        <v>1985</v>
      </c>
    </row>
    <row r="144">
      <c r="A144" s="335" t="str">
        <f>HYPERLINK("https://en.uesp.net/wiki/Skyrim:Conjure_Putrid_Zombie", "Conjure Putrid Zombie (AE)")</f>
        <v>Conjure Putrid Zombie (AE)</v>
      </c>
      <c r="B144" s="336" t="s">
        <v>132</v>
      </c>
      <c r="C144" s="337" t="s">
        <v>1588</v>
      </c>
      <c r="D144" s="340" t="s">
        <v>1641</v>
      </c>
      <c r="E144" s="337">
        <v>340.0</v>
      </c>
      <c r="F144" s="339" t="s">
        <v>1986</v>
      </c>
      <c r="G144" s="337" t="s">
        <v>1987</v>
      </c>
      <c r="H144" s="337" t="s">
        <v>1988</v>
      </c>
    </row>
    <row r="145">
      <c r="A145" s="335" t="str">
        <f>HYPERLINK("https://en.uesp.net/wiki/Skyrim:Conjure_Skeleton_Champion", "Conjure Skeleton Champion (AE)")</f>
        <v>Conjure Skeleton Champion (AE)</v>
      </c>
      <c r="B145" s="336" t="s">
        <v>132</v>
      </c>
      <c r="C145" s="337" t="s">
        <v>1588</v>
      </c>
      <c r="D145" s="340" t="s">
        <v>1641</v>
      </c>
      <c r="E145" s="337">
        <v>345.0</v>
      </c>
      <c r="F145" s="339" t="s">
        <v>1989</v>
      </c>
      <c r="G145" s="337" t="s">
        <v>1963</v>
      </c>
      <c r="H145" s="337" t="s">
        <v>1990</v>
      </c>
    </row>
    <row r="146">
      <c r="A146" s="335" t="str">
        <f>HYPERLINK("https://en.uesp.net/wiki/Skyrim:Conjure_Tomb_Guardian", "Conjure Tomb Guardian (AE)")</f>
        <v>Conjure Tomb Guardian (AE)</v>
      </c>
      <c r="B146" s="336" t="s">
        <v>132</v>
      </c>
      <c r="C146" s="337" t="s">
        <v>1588</v>
      </c>
      <c r="D146" s="340" t="s">
        <v>1641</v>
      </c>
      <c r="E146" s="337">
        <v>345.0</v>
      </c>
      <c r="F146" s="339" t="s">
        <v>1991</v>
      </c>
      <c r="G146" s="337" t="s">
        <v>1963</v>
      </c>
      <c r="H146" s="337" t="s">
        <v>1992</v>
      </c>
    </row>
    <row r="147">
      <c r="A147" s="335" t="str">
        <f>HYPERLINK("https://en.uesp.net/wiki/Skyrim:Necromancer%27s_Ritual", "Necromancer's Ritual (AE)")</f>
        <v>Necromancer's Ritual (AE)</v>
      </c>
      <c r="B147" s="336" t="s">
        <v>132</v>
      </c>
      <c r="C147" s="337" t="s">
        <v>1588</v>
      </c>
      <c r="D147" s="340" t="s">
        <v>1641</v>
      </c>
      <c r="E147" s="337">
        <v>325.0</v>
      </c>
      <c r="F147" s="339" t="s">
        <v>1993</v>
      </c>
      <c r="G147" s="337" t="s">
        <v>1994</v>
      </c>
      <c r="H147" s="337" t="s">
        <v>1995</v>
      </c>
    </row>
    <row r="148">
      <c r="A148" s="335" t="str">
        <f>HYPERLINK("https://en.uesp.net/wiki/Skyrim:Conjure_Ayleid_Lich", "Conjure Ayleid Lich (AE)")</f>
        <v>Conjure Ayleid Lich (AE)</v>
      </c>
      <c r="B148" s="336" t="s">
        <v>132</v>
      </c>
      <c r="C148" s="337" t="s">
        <v>1588</v>
      </c>
      <c r="D148" s="340" t="s">
        <v>1657</v>
      </c>
      <c r="E148" s="337">
        <v>720.0</v>
      </c>
      <c r="F148" s="339" t="s">
        <v>1996</v>
      </c>
      <c r="G148" s="337" t="s">
        <v>1997</v>
      </c>
      <c r="H148" s="337" t="s">
        <v>1998</v>
      </c>
    </row>
    <row r="149">
      <c r="A149" s="335" t="str">
        <f>HYPERLINK("https://en.uesp.net/wiki/Skyrim:Conjure_Cursed_Spectre", "Conjure Cursed Spectre (AE)")</f>
        <v>Conjure Cursed Spectre (AE)</v>
      </c>
      <c r="B149" s="336" t="s">
        <v>132</v>
      </c>
      <c r="C149" s="337" t="s">
        <v>1588</v>
      </c>
      <c r="D149" s="340" t="s">
        <v>1657</v>
      </c>
      <c r="E149" s="337">
        <v>650.0</v>
      </c>
      <c r="F149" s="339" t="s">
        <v>1999</v>
      </c>
      <c r="G149" s="337" t="s">
        <v>1963</v>
      </c>
      <c r="H149" s="337" t="s">
        <v>2000</v>
      </c>
    </row>
    <row r="150">
      <c r="A150" s="335" t="str">
        <f>HYPERLINK("https://en.uesp.net/wiki/Skyrim:Conjure_Malignant_Zombie", "Conjure Malignant Zombie (AE)")</f>
        <v>Conjure Malignant Zombie (AE)</v>
      </c>
      <c r="B150" s="336" t="s">
        <v>132</v>
      </c>
      <c r="C150" s="337" t="s">
        <v>1588</v>
      </c>
      <c r="D150" s="340" t="s">
        <v>1657</v>
      </c>
      <c r="E150" s="337">
        <v>690.0</v>
      </c>
      <c r="F150" s="339" t="s">
        <v>2001</v>
      </c>
      <c r="G150" s="337" t="s">
        <v>2002</v>
      </c>
      <c r="H150" s="337" t="s">
        <v>2003</v>
      </c>
    </row>
    <row r="151">
      <c r="A151" s="335" t="str">
        <f>HYPERLINK("https://en.uesp.net/wiki/Skyrim:Conjure_Skeleton_Warlock", "Conjure Skeleton Warlock (AE)")</f>
        <v>Conjure Skeleton Warlock (AE)</v>
      </c>
      <c r="B151" s="336" t="s">
        <v>132</v>
      </c>
      <c r="C151" s="337" t="s">
        <v>1588</v>
      </c>
      <c r="D151" s="340" t="s">
        <v>1657</v>
      </c>
      <c r="E151" s="337">
        <v>650.0</v>
      </c>
      <c r="F151" s="339" t="s">
        <v>2004</v>
      </c>
      <c r="G151" s="337" t="s">
        <v>1963</v>
      </c>
      <c r="H151" s="337" t="s">
        <v>2005</v>
      </c>
    </row>
    <row r="152">
      <c r="A152" s="335" t="str">
        <f>HYPERLINK("https://en.uesp.net/wiki/Skyrim:Pride_of_Hirstaang", "Pride of Hirstaang (AE)")</f>
        <v>Pride of Hirstaang (AE)</v>
      </c>
      <c r="B152" s="336" t="s">
        <v>132</v>
      </c>
      <c r="C152" s="337" t="s">
        <v>1588</v>
      </c>
      <c r="D152" s="340" t="s">
        <v>1657</v>
      </c>
      <c r="E152" s="337">
        <v>690.0</v>
      </c>
      <c r="F152" s="339" t="s">
        <v>2006</v>
      </c>
      <c r="G152" s="337" t="s">
        <v>2007</v>
      </c>
      <c r="H152" s="337" t="s">
        <v>2008</v>
      </c>
    </row>
    <row r="153">
      <c r="A153" s="335" t="str">
        <f>HYPERLINK("https://en.uesp.net/wiki/Skyrim:Conjure_Ancient_Deathpriest", "Conjure Ancient Deathpriest (AE)")</f>
        <v>Conjure Ancient Deathpriest (AE)</v>
      </c>
      <c r="B153" s="336" t="s">
        <v>132</v>
      </c>
      <c r="C153" s="337" t="s">
        <v>1588</v>
      </c>
      <c r="D153" s="340" t="s">
        <v>1667</v>
      </c>
      <c r="E153" s="337">
        <v>1150.0</v>
      </c>
      <c r="F153" s="339" t="s">
        <v>2009</v>
      </c>
      <c r="G153" s="337" t="s">
        <v>1963</v>
      </c>
      <c r="H153" s="337" t="s">
        <v>2010</v>
      </c>
    </row>
    <row r="154">
      <c r="A154" s="335" t="str">
        <f>HYPERLINK("https://en.uesp.net/wiki/Skyrim:Conjure_Bone_Colossus", "Conjure Bone Colossus (AE)")</f>
        <v>Conjure Bone Colossus (AE)</v>
      </c>
      <c r="B154" s="336" t="s">
        <v>132</v>
      </c>
      <c r="C154" s="337" t="s">
        <v>1588</v>
      </c>
      <c r="D154" s="340" t="s">
        <v>1667</v>
      </c>
      <c r="E154" s="337">
        <v>1150.0</v>
      </c>
      <c r="F154" s="339" t="s">
        <v>2011</v>
      </c>
      <c r="G154" s="337" t="s">
        <v>1963</v>
      </c>
      <c r="H154" s="337" t="s">
        <v>2010</v>
      </c>
    </row>
    <row r="155">
      <c r="A155" s="335" t="str">
        <f>HYPERLINK("https://en.uesp.net/wiki/Skyrim:Conjure_Staada", "Conjure Staada (AE)")</f>
        <v>Conjure Staada (AE)</v>
      </c>
      <c r="B155" s="336" t="s">
        <v>132</v>
      </c>
      <c r="C155" s="337" t="s">
        <v>1588</v>
      </c>
      <c r="D155" s="340" t="s">
        <v>1667</v>
      </c>
      <c r="E155" s="337">
        <v>1350.0</v>
      </c>
      <c r="F155" s="339" t="s">
        <v>2012</v>
      </c>
      <c r="G155" s="337" t="s">
        <v>1997</v>
      </c>
      <c r="H155" s="337" t="s">
        <v>2013</v>
      </c>
    </row>
    <row r="156">
      <c r="A156" s="335" t="str">
        <f>HYPERLINK("https://en.uesp.net/wiki/Skyrim:Choking_Grasp", "Choking Grasp (AE)")</f>
        <v>Choking Grasp (AE)</v>
      </c>
      <c r="B156" s="336" t="s">
        <v>132</v>
      </c>
      <c r="C156" s="337" t="s">
        <v>1583</v>
      </c>
      <c r="D156" s="340" t="s">
        <v>1625</v>
      </c>
      <c r="E156" s="337">
        <v>65.0</v>
      </c>
      <c r="F156" s="339" t="s">
        <v>2014</v>
      </c>
      <c r="G156" s="337" t="s">
        <v>2015</v>
      </c>
      <c r="H156" s="337" t="s">
        <v>2016</v>
      </c>
    </row>
    <row r="157">
      <c r="A157" s="335" t="str">
        <f>HYPERLINK("https://en.uesp.net/wiki/Skyrim:Elemental_Flare", "Elemental Flare (AE)")</f>
        <v>Elemental Flare (AE)</v>
      </c>
      <c r="B157" s="336" t="s">
        <v>132</v>
      </c>
      <c r="C157" s="337" t="s">
        <v>1583</v>
      </c>
      <c r="D157" s="340" t="s">
        <v>1625</v>
      </c>
      <c r="E157" s="337">
        <v>65.0</v>
      </c>
      <c r="F157" s="339" t="s">
        <v>2017</v>
      </c>
      <c r="G157" s="337" t="s">
        <v>2015</v>
      </c>
      <c r="H157" s="337" t="s">
        <v>2018</v>
      </c>
    </row>
    <row r="158">
      <c r="A158" s="335" t="str">
        <f>HYPERLINK("https://en.uesp.net/wiki/Skyrim:Elemental_Bolt", "Elemental Bolt (AE)")</f>
        <v>Elemental Bolt (AE)</v>
      </c>
      <c r="B158" s="336" t="s">
        <v>132</v>
      </c>
      <c r="C158" s="337" t="s">
        <v>1583</v>
      </c>
      <c r="D158" s="340" t="s">
        <v>1635</v>
      </c>
      <c r="E158" s="337">
        <v>95.0</v>
      </c>
      <c r="F158" s="339" t="s">
        <v>2019</v>
      </c>
      <c r="G158" s="337" t="s">
        <v>2015</v>
      </c>
      <c r="H158" s="337" t="s">
        <v>2020</v>
      </c>
    </row>
    <row r="159">
      <c r="A159" s="335" t="str">
        <f>HYPERLINK("https://en.uesp.net/wiki/Skyrim:Strangulation", "Strangulation (AE)")</f>
        <v>Strangulation (AE)</v>
      </c>
      <c r="B159" s="336" t="s">
        <v>132</v>
      </c>
      <c r="C159" s="337" t="s">
        <v>1583</v>
      </c>
      <c r="D159" s="340" t="s">
        <v>1635</v>
      </c>
      <c r="E159" s="337">
        <v>95.0</v>
      </c>
      <c r="F159" s="339" t="s">
        <v>2021</v>
      </c>
      <c r="G159" s="337" t="s">
        <v>2015</v>
      </c>
      <c r="H159" s="337" t="s">
        <v>2022</v>
      </c>
    </row>
    <row r="160">
      <c r="A160" s="335" t="str">
        <f>HYPERLINK("https://en.uesp.net/wiki/Skyrim:Elemental_Burst", "Elemental Burst (AE)")</f>
        <v>Elemental Burst (AE)</v>
      </c>
      <c r="B160" s="336" t="s">
        <v>132</v>
      </c>
      <c r="C160" s="337" t="s">
        <v>1583</v>
      </c>
      <c r="D160" s="340" t="s">
        <v>1641</v>
      </c>
      <c r="E160" s="337">
        <v>350.0</v>
      </c>
      <c r="F160" s="339" t="s">
        <v>2023</v>
      </c>
      <c r="G160" s="337" t="s">
        <v>2024</v>
      </c>
      <c r="H160" s="337" t="s">
        <v>2025</v>
      </c>
    </row>
    <row r="161">
      <c r="A161" s="335" t="str">
        <f>HYPERLINK("https://en.uesp.net/wiki/Skyrim:Hangman%27s_Noose", "Hangman's Noose (AE)")</f>
        <v>Hangman's Noose (AE)</v>
      </c>
      <c r="B161" s="336" t="s">
        <v>132</v>
      </c>
      <c r="C161" s="337" t="s">
        <v>1583</v>
      </c>
      <c r="D161" s="340" t="s">
        <v>1641</v>
      </c>
      <c r="E161" s="337">
        <v>350.0</v>
      </c>
      <c r="F161" s="339" t="s">
        <v>2026</v>
      </c>
      <c r="G161" s="337" t="s">
        <v>2024</v>
      </c>
      <c r="H161" s="337" t="s">
        <v>2027</v>
      </c>
    </row>
    <row r="162">
      <c r="A162" s="335" t="str">
        <f>HYPERLINK("https://en.uesp.net/wiki/Skyrim:Elemental_Blast", "Elemental Blast (AE)")</f>
        <v>Elemental Blast (AE)</v>
      </c>
      <c r="B162" s="336" t="s">
        <v>132</v>
      </c>
      <c r="C162" s="337" t="s">
        <v>1583</v>
      </c>
      <c r="D162" s="340" t="s">
        <v>1657</v>
      </c>
      <c r="E162" s="337">
        <v>650.0</v>
      </c>
      <c r="F162" s="339" t="s">
        <v>2028</v>
      </c>
      <c r="G162" s="337" t="s">
        <v>2029</v>
      </c>
      <c r="H162" s="337" t="s">
        <v>2030</v>
      </c>
    </row>
    <row r="163">
      <c r="A163" s="335" t="str">
        <f>HYPERLINK("https://en.uesp.net/wiki/Skyrim:Mara%27s_Wrath", "Mara's Wrath (AE)")</f>
        <v>Mara's Wrath (AE)</v>
      </c>
      <c r="B163" s="336" t="s">
        <v>132</v>
      </c>
      <c r="C163" s="337" t="s">
        <v>1583</v>
      </c>
      <c r="D163" s="340" t="s">
        <v>1657</v>
      </c>
      <c r="E163" s="337">
        <v>650.0</v>
      </c>
      <c r="F163" s="339" t="s">
        <v>2031</v>
      </c>
      <c r="G163" s="337" t="s">
        <v>2029</v>
      </c>
      <c r="H163" s="337" t="s">
        <v>2032</v>
      </c>
    </row>
    <row r="164">
      <c r="A164" s="335" t="str">
        <f>HYPERLINK("https://en.uesp.net/wiki/Skyrim:Touch_of_Death", "Touch of Death (AE)")</f>
        <v>Touch of Death (AE)</v>
      </c>
      <c r="B164" s="336" t="s">
        <v>132</v>
      </c>
      <c r="C164" s="337" t="s">
        <v>1583</v>
      </c>
      <c r="D164" s="340" t="s">
        <v>1657</v>
      </c>
      <c r="E164" s="337">
        <v>650.0</v>
      </c>
      <c r="F164" s="339" t="s">
        <v>2033</v>
      </c>
      <c r="G164" s="337" t="s">
        <v>2029</v>
      </c>
      <c r="H164" s="337" t="s">
        <v>2034</v>
      </c>
    </row>
    <row r="165">
      <c r="A165" s="335" t="str">
        <f>HYPERLINK("https://en.uesp.net/wiki/Skyrim:Unbounded_Flames", "Unbounded Flames (AE)")</f>
        <v>Unbounded Flames (AE)</v>
      </c>
      <c r="B165" s="336" t="s">
        <v>132</v>
      </c>
      <c r="C165" s="337" t="s">
        <v>1583</v>
      </c>
      <c r="D165" s="340" t="s">
        <v>1657</v>
      </c>
      <c r="E165" s="337">
        <v>950.0</v>
      </c>
      <c r="F165" s="339" t="s">
        <v>2035</v>
      </c>
      <c r="G165" s="337" t="s">
        <v>2036</v>
      </c>
      <c r="H165" s="337" t="s">
        <v>2037</v>
      </c>
    </row>
    <row r="166">
      <c r="A166" s="335" t="str">
        <f>HYPERLINK("https://en.uesp.net/wiki/Skyrim:Unbounded_Freezing", "Unbounded Freezing (AE)")</f>
        <v>Unbounded Freezing (AE)</v>
      </c>
      <c r="B166" s="336" t="s">
        <v>132</v>
      </c>
      <c r="C166" s="337" t="s">
        <v>1583</v>
      </c>
      <c r="D166" s="340" t="s">
        <v>1657</v>
      </c>
      <c r="E166" s="337">
        <v>950.0</v>
      </c>
      <c r="F166" s="339" t="s">
        <v>2038</v>
      </c>
      <c r="G166" s="337" t="s">
        <v>2036</v>
      </c>
      <c r="H166" s="337" t="s">
        <v>1976</v>
      </c>
    </row>
    <row r="167">
      <c r="A167" s="335" t="str">
        <f>HYPERLINK("https://en.uesp.net/wiki/Skyrim:Unbounded_Storms", "Unbounded Storms (AE)")</f>
        <v>Unbounded Storms (AE)</v>
      </c>
      <c r="B167" s="336" t="s">
        <v>132</v>
      </c>
      <c r="C167" s="337" t="s">
        <v>1583</v>
      </c>
      <c r="D167" s="340" t="s">
        <v>1657</v>
      </c>
      <c r="E167" s="337">
        <v>950.0</v>
      </c>
      <c r="F167" s="339" t="s">
        <v>2039</v>
      </c>
      <c r="G167" s="337" t="s">
        <v>2036</v>
      </c>
      <c r="H167" s="337" t="s">
        <v>2040</v>
      </c>
    </row>
    <row r="168">
      <c r="A168" s="335" t="str">
        <f>HYPERLINK("https://en.uesp.net/wiki/Skyrim:Orum%27s_Aquatic_Escape", "Orum's Aquatic Escape (AE)")</f>
        <v>Orum's Aquatic Escape (AE)</v>
      </c>
      <c r="B168" s="336" t="s">
        <v>132</v>
      </c>
      <c r="C168" s="337" t="s">
        <v>1809</v>
      </c>
      <c r="D168" s="340" t="s">
        <v>1641</v>
      </c>
      <c r="E168" s="337">
        <v>350.0</v>
      </c>
      <c r="F168" s="339" t="s">
        <v>2041</v>
      </c>
      <c r="G168" s="337" t="s">
        <v>2042</v>
      </c>
      <c r="H168" s="337" t="s">
        <v>2043</v>
      </c>
    </row>
    <row r="169">
      <c r="A169" s="335" t="str">
        <f>HYPERLINK("https://en.uesp.net/wiki/Skyrim:Fenrik%27s_Welcome", "Fenrik's Welcome (AE)")</f>
        <v>Fenrik's Welcome (AE)</v>
      </c>
      <c r="B169" s="336" t="s">
        <v>132</v>
      </c>
      <c r="C169" s="337" t="s">
        <v>1809</v>
      </c>
      <c r="D169" s="340" t="s">
        <v>1657</v>
      </c>
      <c r="E169" s="337">
        <v>350.0</v>
      </c>
      <c r="F169" s="339" t="s">
        <v>2044</v>
      </c>
      <c r="G169" s="337" t="s">
        <v>2045</v>
      </c>
      <c r="H169" s="337" t="s">
        <v>2043</v>
      </c>
    </row>
    <row r="170" ht="279.0" customHeight="1">
      <c r="A170" s="342" t="s">
        <v>2046</v>
      </c>
    </row>
  </sheetData>
  <autoFilter ref="$A$2:$H$116"/>
  <mergeCells count="1">
    <mergeCell ref="A170:H170"/>
  </mergeCells>
  <conditionalFormatting sqref="B3:B116">
    <cfRule type="cellIs" dxfId="6" priority="1" operator="equal">
      <formula>"N"</formula>
    </cfRule>
  </conditionalFormatting>
  <conditionalFormatting sqref="B3:B116">
    <cfRule type="cellIs" dxfId="7" priority="2" operator="equal">
      <formula>"Y"</formula>
    </cfRule>
  </conditionalFormatting>
  <hyperlinks>
    <hyperlink r:id="rId1" ref="A170"/>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9.14"/>
    <col customWidth="1" min="3" max="3" width="13.0"/>
    <col customWidth="1" min="4" max="4" width="58.29"/>
  </cols>
  <sheetData>
    <row r="1" ht="22.5" customHeight="1">
      <c r="A1" s="36" t="s">
        <v>1511</v>
      </c>
      <c r="B1" s="36" t="s">
        <v>2047</v>
      </c>
      <c r="C1" s="36" t="s">
        <v>2048</v>
      </c>
      <c r="D1" s="36" t="s">
        <v>2049</v>
      </c>
    </row>
    <row r="2" ht="22.5" customHeight="1">
      <c r="A2" s="313">
        <f>countif(A4:A110,"*Y*")/81</f>
        <v>0</v>
      </c>
      <c r="B2" s="313"/>
      <c r="C2" s="313"/>
      <c r="D2" s="313"/>
    </row>
    <row r="3" ht="22.5" customHeight="1">
      <c r="A3" s="343"/>
      <c r="B3" s="344" t="str">
        <f>HYPERLINK("https://en.uesp.net/wiki/Skyrim:Animal_Allegiance", "Animal Allegiance")</f>
        <v>Animal Allegiance</v>
      </c>
    </row>
    <row r="4" ht="22.5" customHeight="1">
      <c r="A4" s="63" t="s">
        <v>132</v>
      </c>
      <c r="B4" s="345" t="s">
        <v>2050</v>
      </c>
      <c r="C4" s="345" t="s">
        <v>2051</v>
      </c>
      <c r="D4" s="346" t="str">
        <f>HYPERLINK("https://en.uesp.net/wiki/Skyrim:Ancient%27s_Ascent","Ancient's Ascent")</f>
        <v>Ancient's Ascent</v>
      </c>
    </row>
    <row r="5" ht="22.5" customHeight="1">
      <c r="A5" s="63" t="s">
        <v>132</v>
      </c>
      <c r="B5" s="345" t="s">
        <v>2052</v>
      </c>
      <c r="C5" s="345" t="s">
        <v>2053</v>
      </c>
      <c r="D5" s="346" t="str">
        <f>HYPERLINK("https://en.uesp.net/wiki/Skyrim:Angarvunde","Angarvunde")</f>
        <v>Angarvunde</v>
      </c>
    </row>
    <row r="6" ht="22.5" customHeight="1">
      <c r="A6" s="63" t="s">
        <v>132</v>
      </c>
      <c r="B6" s="345" t="s">
        <v>2054</v>
      </c>
      <c r="C6" s="345" t="s">
        <v>2055</v>
      </c>
      <c r="D6" s="346" t="str">
        <f>HYPERLINK("https://en.uesp.net/wiki/Skyrim:Ysgramor%27s_Tomb","Ysgramor's Tomb")</f>
        <v>Ysgramor's Tomb</v>
      </c>
    </row>
    <row r="7" ht="22.5" customHeight="1">
      <c r="A7" s="343"/>
      <c r="B7" s="347" t="str">
        <f>HYPERLINK("https://en.uesp.net/wiki/Skyrim:Aura_Whisper", "Aura Whisper")</f>
        <v>Aura Whisper</v>
      </c>
      <c r="C7" s="38"/>
      <c r="D7" s="39"/>
    </row>
    <row r="8" ht="22.5" customHeight="1">
      <c r="A8" s="63" t="s">
        <v>132</v>
      </c>
      <c r="B8" s="345" t="s">
        <v>2056</v>
      </c>
      <c r="C8" s="345" t="s">
        <v>2057</v>
      </c>
      <c r="D8" s="346" t="str">
        <f>HYPERLINK("https://en.uesp.net/wiki/Skyrim:Northwind_Summit","Northwind Summit")</f>
        <v>Northwind Summit</v>
      </c>
    </row>
    <row r="9" ht="24.75" customHeight="1">
      <c r="A9" s="63" t="s">
        <v>132</v>
      </c>
      <c r="B9" s="345" t="s">
        <v>2058</v>
      </c>
      <c r="C9" s="345" t="s">
        <v>2059</v>
      </c>
      <c r="D9" s="346" t="str">
        <f>HYPERLINK("https://en.uesp.net/wiki/Skyrim:Valthume","Valthume")</f>
        <v>Valthume</v>
      </c>
    </row>
    <row r="10" ht="22.5" customHeight="1">
      <c r="A10" s="63" t="s">
        <v>132</v>
      </c>
      <c r="B10" s="345" t="s">
        <v>2060</v>
      </c>
      <c r="C10" s="345" t="s">
        <v>2061</v>
      </c>
      <c r="D10" s="346" t="str">
        <f>HYPERLINK("https://en.uesp.net/wiki/Skyrim:Volunruud","Volunruud")</f>
        <v>Volunruud</v>
      </c>
    </row>
    <row r="11" ht="22.5" customHeight="1">
      <c r="A11" s="343"/>
      <c r="B11" s="347" t="str">
        <f>HYPERLINK("https://en.uesp.net/wiki/Skyrim:Become_Ethereal", "Become Ethereal")</f>
        <v>Become Ethereal</v>
      </c>
      <c r="C11" s="38"/>
      <c r="D11" s="39"/>
    </row>
    <row r="12" ht="22.5" customHeight="1">
      <c r="A12" s="63" t="s">
        <v>132</v>
      </c>
      <c r="B12" s="345" t="s">
        <v>2062</v>
      </c>
      <c r="C12" s="345" t="s">
        <v>2063</v>
      </c>
      <c r="D12" s="346" t="str">
        <f>HYPERLINK("https://en.uesp.net/wiki/Skyrim:Ironbind_Barrow","Ironbind Barrow")</f>
        <v>Ironbind Barrow</v>
      </c>
    </row>
    <row r="13" ht="22.5" customHeight="1">
      <c r="A13" s="63" t="s">
        <v>132</v>
      </c>
      <c r="B13" s="345" t="s">
        <v>2064</v>
      </c>
      <c r="C13" s="345" t="s">
        <v>2065</v>
      </c>
      <c r="D13" s="346" t="str">
        <f>HYPERLINK("https://en.uesp.net/wiki/Skyrim:Lost_Valley_Redoubt","Lost Valley Redoubt")</f>
        <v>Lost Valley Redoubt</v>
      </c>
    </row>
    <row r="14" ht="22.5" customHeight="1">
      <c r="A14" s="63" t="s">
        <v>132</v>
      </c>
      <c r="B14" s="345" t="s">
        <v>2066</v>
      </c>
      <c r="C14" s="345" t="s">
        <v>2067</v>
      </c>
      <c r="D14" s="348" t="str">
        <f>HYPERLINK("https://en.uesp.net/wiki/Skyrim:The_Horn_of_Jurgen_Windcaller","Ustengrav - During The Horn of Jurgen Windcaller")</f>
        <v>Ustengrav - During The Horn of Jurgen Windcaller</v>
      </c>
    </row>
    <row r="15" ht="22.5" customHeight="1">
      <c r="A15" s="343"/>
      <c r="B15" s="347" t="str">
        <f>HYPERLINK("https://en.uesp.net/wiki/Skyrim:Call_Dragon", "Call Dragon")</f>
        <v>Call Dragon</v>
      </c>
      <c r="C15" s="38"/>
      <c r="D15" s="39"/>
    </row>
    <row r="16" ht="22.5" customHeight="1">
      <c r="A16" s="63" t="s">
        <v>132</v>
      </c>
      <c r="B16" s="345" t="s">
        <v>2068</v>
      </c>
      <c r="C16" s="345" t="s">
        <v>2069</v>
      </c>
      <c r="D16" s="349" t="str">
        <f>HYPERLINK("https://en.uesp.net/wiki/Skyrim:The_Fallen","High Hrothgar - During The Fallen")</f>
        <v>High Hrothgar - During The Fallen</v>
      </c>
    </row>
    <row r="17" ht="22.5" customHeight="1">
      <c r="A17" s="63" t="s">
        <v>132</v>
      </c>
      <c r="B17" s="345" t="s">
        <v>2070</v>
      </c>
      <c r="C17" s="345" t="s">
        <v>2071</v>
      </c>
      <c r="D17" s="136"/>
    </row>
    <row r="18" ht="22.5" customHeight="1">
      <c r="A18" s="63" t="s">
        <v>132</v>
      </c>
      <c r="B18" s="345" t="s">
        <v>2072</v>
      </c>
      <c r="C18" s="345" t="s">
        <v>2073</v>
      </c>
      <c r="D18" s="137"/>
    </row>
    <row r="19" ht="22.5" customHeight="1">
      <c r="A19" s="343"/>
      <c r="B19" s="347" t="str">
        <f>HYPERLINK("https://en.uesp.net/wiki/Skyrim:Call_of_Valor", "Call of Valor")</f>
        <v>Call of Valor</v>
      </c>
      <c r="C19" s="38"/>
      <c r="D19" s="39"/>
    </row>
    <row r="20" ht="22.5" customHeight="1">
      <c r="A20" s="63" t="s">
        <v>132</v>
      </c>
      <c r="B20" s="345" t="s">
        <v>2074</v>
      </c>
      <c r="C20" s="345" t="s">
        <v>2075</v>
      </c>
      <c r="D20" s="350" t="str">
        <f>HYPERLINK("https://en.uesp.net/wiki/Skyrim:Dragonslayer","Sovngarde - During Dragonslayer")</f>
        <v>Sovngarde - During Dragonslayer</v>
      </c>
    </row>
    <row r="21" ht="22.5" customHeight="1">
      <c r="A21" s="63" t="s">
        <v>132</v>
      </c>
      <c r="B21" s="345" t="s">
        <v>2076</v>
      </c>
      <c r="C21" s="345" t="s">
        <v>2077</v>
      </c>
      <c r="D21" s="136"/>
    </row>
    <row r="22" ht="22.5" customHeight="1">
      <c r="A22" s="63" t="s">
        <v>132</v>
      </c>
      <c r="B22" s="345" t="s">
        <v>2078</v>
      </c>
      <c r="C22" s="345" t="s">
        <v>2079</v>
      </c>
      <c r="D22" s="137"/>
    </row>
    <row r="23" ht="22.5" customHeight="1">
      <c r="A23" s="343"/>
      <c r="B23" s="347" t="str">
        <f>HYPERLINK("https://en.uesp.net/wiki/Skyrim:Clear_Skies", "Clear Skies")</f>
        <v>Clear Skies</v>
      </c>
      <c r="C23" s="38"/>
      <c r="D23" s="39"/>
    </row>
    <row r="24" ht="22.5" customHeight="1">
      <c r="A24" s="63" t="s">
        <v>132</v>
      </c>
      <c r="B24" s="345" t="s">
        <v>2080</v>
      </c>
      <c r="C24" s="345" t="s">
        <v>2081</v>
      </c>
      <c r="D24" s="350" t="str">
        <f>HYPERLINK("https://en.uesp.net/wiki/Skyrim:Throat_of_the_World","High Hrothgar - During The Throat of the World")</f>
        <v>High Hrothgar - During The Throat of the World</v>
      </c>
    </row>
    <row r="25" ht="22.5" customHeight="1">
      <c r="A25" s="63" t="s">
        <v>132</v>
      </c>
      <c r="B25" s="345" t="s">
        <v>2082</v>
      </c>
      <c r="C25" s="345" t="s">
        <v>2083</v>
      </c>
      <c r="D25" s="136"/>
    </row>
    <row r="26" ht="22.5" customHeight="1">
      <c r="A26" s="63" t="s">
        <v>132</v>
      </c>
      <c r="B26" s="345" t="s">
        <v>2084</v>
      </c>
      <c r="C26" s="345" t="s">
        <v>2085</v>
      </c>
      <c r="D26" s="137"/>
    </row>
    <row r="27" ht="22.5" customHeight="1">
      <c r="A27" s="343"/>
      <c r="B27" s="347" t="str">
        <f>HYPERLINK("https://en.uesp.net/wiki/Skyrim:Disarm", "Disarm")</f>
        <v>Disarm</v>
      </c>
      <c r="C27" s="38"/>
      <c r="D27" s="39"/>
    </row>
    <row r="28" ht="22.5" customHeight="1">
      <c r="A28" s="63" t="s">
        <v>132</v>
      </c>
      <c r="B28" s="345" t="s">
        <v>2086</v>
      </c>
      <c r="C28" s="345" t="s">
        <v>1512</v>
      </c>
      <c r="D28" s="346" t="str">
        <f>HYPERLINK("https://en.uesp.net/wiki/Skyrim:Eldersblood_Peak","Eldersblood Peak")</f>
        <v>Eldersblood Peak</v>
      </c>
    </row>
    <row r="29" ht="22.5" customHeight="1">
      <c r="A29" s="63" t="s">
        <v>132</v>
      </c>
      <c r="B29" s="345" t="s">
        <v>2087</v>
      </c>
      <c r="C29" s="345" t="s">
        <v>2088</v>
      </c>
      <c r="D29" s="346" t="str">
        <f>HYPERLINK("https://en.uesp.net/wiki/Skyrim:Silverdrift_Lair","Silverdrift Lair")</f>
        <v>Silverdrift Lair</v>
      </c>
    </row>
    <row r="30" ht="22.5" customHeight="1">
      <c r="A30" s="63" t="s">
        <v>132</v>
      </c>
      <c r="B30" s="345" t="s">
        <v>2089</v>
      </c>
      <c r="C30" s="345" t="s">
        <v>2090</v>
      </c>
      <c r="D30" s="348" t="str">
        <f>HYPERLINK("https://en.uesp.net/wiki/Skyrim:Speaking_With_Silence","Snow Veil Sanctum (quest locked)")</f>
        <v>Snow Veil Sanctum (quest locked)</v>
      </c>
    </row>
    <row r="31" ht="22.5" customHeight="1">
      <c r="A31" s="343"/>
      <c r="B31" s="347" t="str">
        <f>HYPERLINK("https://en.uesp.net/wiki/Skyrim:Dismay", "Dismay")</f>
        <v>Dismay</v>
      </c>
      <c r="C31" s="38"/>
      <c r="D31" s="39"/>
    </row>
    <row r="32" ht="22.5" customHeight="1">
      <c r="A32" s="63" t="s">
        <v>132</v>
      </c>
      <c r="B32" s="345" t="s">
        <v>2091</v>
      </c>
      <c r="C32" s="345" t="s">
        <v>2092</v>
      </c>
      <c r="D32" s="351" t="str">
        <f>HYPERLINK("https://en.uesp.net/wiki/Skyrim:Dead_Crone_Rock","Dead Crone Rock")</f>
        <v>Dead Crone Rock</v>
      </c>
    </row>
    <row r="33" ht="22.5" customHeight="1">
      <c r="A33" s="63" t="s">
        <v>132</v>
      </c>
      <c r="B33" s="345" t="s">
        <v>2093</v>
      </c>
      <c r="C33" s="345" t="s">
        <v>2094</v>
      </c>
      <c r="D33" s="351" t="str">
        <f>HYPERLINK("https://en.uesp.net/wiki/Skyrim:Lost_Tongue_Overlook","Lost Tongue Overlook")</f>
        <v>Lost Tongue Overlook</v>
      </c>
    </row>
    <row r="34" ht="22.5" customHeight="1">
      <c r="A34" s="63" t="s">
        <v>132</v>
      </c>
      <c r="B34" s="345" t="s">
        <v>2095</v>
      </c>
      <c r="C34" s="345" t="s">
        <v>2096</v>
      </c>
      <c r="D34" s="351" t="str">
        <f>HYPERLINK("https://en.uesp.net/wiki/Skyrim:Shalidor%27s_Maze","Shalidor's Maze")</f>
        <v>Shalidor's Maze</v>
      </c>
    </row>
    <row r="35" ht="22.5" customHeight="1">
      <c r="A35" s="343"/>
      <c r="B35" s="347" t="str">
        <f>HYPERLINK("https://en.uesp.net/wiki/Skyrim:Dragonrend", "Dragonrend")</f>
        <v>Dragonrend</v>
      </c>
      <c r="C35" s="38"/>
      <c r="D35" s="39"/>
    </row>
    <row r="36" ht="22.5" customHeight="1">
      <c r="A36" s="63" t="s">
        <v>132</v>
      </c>
      <c r="B36" s="345" t="s">
        <v>2097</v>
      </c>
      <c r="C36" s="345" t="s">
        <v>2098</v>
      </c>
      <c r="D36" s="352" t="str">
        <f>HYPERLINK("https://en.uesp.net/wiki/Skyrim:Throat_of_the_World","Throat of the World - During Alduin's Bane")</f>
        <v>Throat of the World - During Alduin's Bane</v>
      </c>
    </row>
    <row r="37" ht="22.5" customHeight="1">
      <c r="A37" s="63" t="s">
        <v>132</v>
      </c>
      <c r="B37" s="345" t="s">
        <v>2099</v>
      </c>
      <c r="C37" s="345" t="s">
        <v>2100</v>
      </c>
      <c r="D37" s="136"/>
    </row>
    <row r="38" ht="22.5" customHeight="1">
      <c r="A38" s="63" t="s">
        <v>132</v>
      </c>
      <c r="B38" s="345" t="s">
        <v>2101</v>
      </c>
      <c r="C38" s="345" t="s">
        <v>2102</v>
      </c>
      <c r="D38" s="137"/>
    </row>
    <row r="39" ht="22.5" customHeight="1">
      <c r="A39" s="343"/>
      <c r="B39" s="347" t="str">
        <f>HYPERLINK("https://en.uesp.net/wiki/Skyrim:Elemental_Fury", "Elemental Fury")</f>
        <v>Elemental Fury</v>
      </c>
      <c r="C39" s="38"/>
      <c r="D39" s="39"/>
    </row>
    <row r="40" ht="22.5" customHeight="1">
      <c r="A40" s="63" t="s">
        <v>132</v>
      </c>
      <c r="B40" s="345" t="s">
        <v>2103</v>
      </c>
      <c r="C40" s="345" t="s">
        <v>2104</v>
      </c>
      <c r="D40" s="351" t="str">
        <f>HYPERLINK("https://en.uesp.net/wiki/Skyrim:Dragontooth_Crater","Dragontooth Crater")</f>
        <v>Dragontooth Crater</v>
      </c>
    </row>
    <row r="41" ht="22.5" customHeight="1">
      <c r="A41" s="63" t="s">
        <v>132</v>
      </c>
      <c r="B41" s="345" t="s">
        <v>2105</v>
      </c>
      <c r="C41" s="345" t="s">
        <v>2106</v>
      </c>
      <c r="D41" s="351" t="str">
        <f>HYPERLINK("https://en.uesp.net/wiki/Skyrim:Shriekwind_Bastion","Shriekwind Bastion")</f>
        <v>Shriekwind Bastion</v>
      </c>
    </row>
    <row r="42" ht="22.5" customHeight="1">
      <c r="A42" s="63" t="s">
        <v>132</v>
      </c>
      <c r="B42" s="345" t="s">
        <v>2107</v>
      </c>
      <c r="C42" s="345" t="s">
        <v>2108</v>
      </c>
      <c r="D42" s="351" t="str">
        <f>HYPERLINK("https://en.uesp.net/wiki/Skyrim:Statue_to_Meridia","Statue to Meridia")</f>
        <v>Statue to Meridia</v>
      </c>
    </row>
    <row r="43" ht="22.5" customHeight="1">
      <c r="A43" s="343"/>
      <c r="B43" s="347" t="str">
        <f>HYPERLINK("https://en.uesp.net/wiki/Skyrim:Fire_Breath", "Fire Breath")</f>
        <v>Fire Breath</v>
      </c>
      <c r="C43" s="38"/>
      <c r="D43" s="39"/>
    </row>
    <row r="44" ht="22.5" customHeight="1">
      <c r="A44" s="63" t="s">
        <v>132</v>
      </c>
      <c r="B44" s="345" t="s">
        <v>2109</v>
      </c>
      <c r="C44" s="345" t="s">
        <v>2110</v>
      </c>
      <c r="D44" s="353" t="str">
        <f>HYPERLINK("https://en.uesp.net/wiki/Skyrim:Proving_Honor#Dustman.27s_Cairn","Dustman's Cairn - During Proving Honor")</f>
        <v>Dustman's Cairn - During Proving Honor</v>
      </c>
    </row>
    <row r="45" ht="22.5" customHeight="1">
      <c r="A45" s="63" t="s">
        <v>132</v>
      </c>
      <c r="B45" s="345" t="s">
        <v>2111</v>
      </c>
      <c r="C45" s="345" t="s">
        <v>2112</v>
      </c>
      <c r="D45" s="351" t="str">
        <f>HYPERLINK("https://en.uesp.net/wiki/Skyrim:Sunderstone_Gorge","Sunderstone Gorge")</f>
        <v>Sunderstone Gorge</v>
      </c>
    </row>
    <row r="46" ht="22.5" customHeight="1">
      <c r="A46" s="63" t="s">
        <v>132</v>
      </c>
      <c r="B46" s="345" t="s">
        <v>2113</v>
      </c>
      <c r="C46" s="345" t="s">
        <v>2114</v>
      </c>
      <c r="D46" s="353" t="str">
        <f>HYPERLINK("https://en.uesp.net/wiki/Skyrim:Throat_of_the_World","Throat of the World - During Throat of the World")</f>
        <v>Throat of the World - During Throat of the World</v>
      </c>
    </row>
    <row r="47" ht="22.5" customHeight="1">
      <c r="A47" s="343"/>
      <c r="B47" s="354" t="str">
        <f>HYPERLINK("https://en.uesp.net/wiki/Skyrim:Frost_Breath", "Frost Breath")</f>
        <v>Frost Breath</v>
      </c>
      <c r="C47" s="38"/>
      <c r="D47" s="39"/>
    </row>
    <row r="48" ht="22.5" customHeight="1">
      <c r="A48" s="63" t="s">
        <v>132</v>
      </c>
      <c r="B48" s="345" t="s">
        <v>2115</v>
      </c>
      <c r="C48" s="345" t="s">
        <v>2116</v>
      </c>
      <c r="D48" s="351" t="str">
        <f>HYPERLINK("https://en.uesp.net/wiki/Skyrim:Bonestrewn_Crest","Bonestrewn Crest")</f>
        <v>Bonestrewn Crest</v>
      </c>
    </row>
    <row r="49" ht="22.5" customHeight="1">
      <c r="A49" s="63" t="s">
        <v>132</v>
      </c>
      <c r="B49" s="345" t="s">
        <v>2117</v>
      </c>
      <c r="C49" s="345" t="s">
        <v>2118</v>
      </c>
      <c r="D49" s="355" t="str">
        <f>HYPERLINK("https://en.uesp.net/wiki/Skyrim:Folgunthur","Folgunthur")</f>
        <v>Folgunthur</v>
      </c>
    </row>
    <row r="50" ht="22.5" customHeight="1">
      <c r="A50" s="63" t="s">
        <v>132</v>
      </c>
      <c r="B50" s="345" t="s">
        <v>2119</v>
      </c>
      <c r="C50" s="345" t="s">
        <v>2120</v>
      </c>
      <c r="D50" s="351" t="str">
        <f>HYPERLINK("https://en.uesp.net/wiki/Skyrim:Skyborn_Altar","Skyborn Altar")</f>
        <v>Skyborn Altar</v>
      </c>
    </row>
    <row r="51" ht="22.5" customHeight="1">
      <c r="A51" s="343"/>
      <c r="B51" s="347" t="str">
        <f>HYPERLINK("https://en.uesp.net/wiki/Skyrim:Ice_Form", "Ice Form")</f>
        <v>Ice Form</v>
      </c>
      <c r="C51" s="38"/>
      <c r="D51" s="39"/>
    </row>
    <row r="52" ht="22.5" customHeight="1">
      <c r="A52" s="63" t="s">
        <v>132</v>
      </c>
      <c r="B52" s="345" t="s">
        <v>2121</v>
      </c>
      <c r="C52" s="345" t="s">
        <v>2122</v>
      </c>
      <c r="D52" s="351" t="str">
        <f>HYPERLINK("https://en.uesp.net/wiki/Skyrim:Frostmere_Crypt","Frostmere Crypt")</f>
        <v>Frostmere Crypt</v>
      </c>
    </row>
    <row r="53" ht="22.5" customHeight="1">
      <c r="A53" s="63" t="s">
        <v>132</v>
      </c>
      <c r="B53" s="345" t="s">
        <v>2123</v>
      </c>
      <c r="C53" s="345" t="s">
        <v>2124</v>
      </c>
      <c r="D53" s="351" t="str">
        <f>HYPERLINK("https://en.uesp.net/wiki/Skyrim:Mount_Anthor","Mount Anthor")</f>
        <v>Mount Anthor</v>
      </c>
    </row>
    <row r="54" ht="22.5" customHeight="1">
      <c r="A54" s="63" t="s">
        <v>132</v>
      </c>
      <c r="B54" s="345" t="s">
        <v>2125</v>
      </c>
      <c r="C54" s="345" t="s">
        <v>2126</v>
      </c>
      <c r="D54" s="353" t="str">
        <f>HYPERLINK("https://en.uesp.net/wiki/Skyrim:Saarthal","Saarthal (quest locked)")</f>
        <v>Saarthal (quest locked)</v>
      </c>
    </row>
    <row r="55" ht="22.5" customHeight="1">
      <c r="A55" s="343"/>
      <c r="B55" s="347" t="str">
        <f>HYPERLINK("https://en.uesp.net/wiki/Skyrim:Kyne's_Peace", "Kyne's Peace")</f>
        <v>Kyne's Peace</v>
      </c>
      <c r="C55" s="38"/>
      <c r="D55" s="39"/>
    </row>
    <row r="56" ht="22.5" customHeight="1">
      <c r="A56" s="63" t="s">
        <v>132</v>
      </c>
      <c r="B56" s="345" t="s">
        <v>2127</v>
      </c>
      <c r="C56" s="345" t="s">
        <v>2128</v>
      </c>
      <c r="D56" s="351" t="str">
        <f>HYPERLINK("https://en.uesp.net/wiki/Skyrim:Ragnvald","Ragnvald")</f>
        <v>Ragnvald</v>
      </c>
    </row>
    <row r="57" ht="22.5" customHeight="1">
      <c r="A57" s="63" t="s">
        <v>132</v>
      </c>
      <c r="B57" s="345" t="s">
        <v>2129</v>
      </c>
      <c r="C57" s="345" t="s">
        <v>2130</v>
      </c>
      <c r="D57" s="351" t="str">
        <f>HYPERLINK("https://en.uesp.net/wiki/Skyrim:Rannveig%27s_Fast","Rannveig's Fast")</f>
        <v>Rannveig's Fast</v>
      </c>
    </row>
    <row r="58" ht="22.5" customHeight="1">
      <c r="A58" s="63" t="s">
        <v>132</v>
      </c>
      <c r="B58" s="345" t="s">
        <v>2131</v>
      </c>
      <c r="C58" s="345" t="s">
        <v>2132</v>
      </c>
      <c r="D58" s="351" t="str">
        <f>HYPERLINK("https://en.uesp.net/wiki/Skyrim:Shroud_Hearth_Barrow","Shroud Hearth Barrow")</f>
        <v>Shroud Hearth Barrow</v>
      </c>
    </row>
    <row r="59" ht="22.5" customHeight="1">
      <c r="A59" s="343"/>
      <c r="B59" s="354" t="str">
        <f>HYPERLINK("https://en.uesp.net/wiki/Skyrim:Marked_for_Death", "Marked for Death")</f>
        <v>Marked for Death</v>
      </c>
      <c r="C59" s="38"/>
      <c r="D59" s="39"/>
    </row>
    <row r="60" ht="22.5" customHeight="1">
      <c r="A60" s="63" t="s">
        <v>132</v>
      </c>
      <c r="B60" s="345" t="s">
        <v>2133</v>
      </c>
      <c r="C60" s="345" t="s">
        <v>2134</v>
      </c>
      <c r="D60" s="351" t="str">
        <f>HYPERLINK("https://en.uesp.net/wiki/Skyrim:Autumnwatch_Tower","Autumnwatch Tower")</f>
        <v>Autumnwatch Tower</v>
      </c>
    </row>
    <row r="61" ht="22.5" customHeight="1">
      <c r="A61" s="63" t="s">
        <v>132</v>
      </c>
      <c r="B61" s="345" t="s">
        <v>2135</v>
      </c>
      <c r="C61" s="345" t="s">
        <v>2136</v>
      </c>
      <c r="D61" s="353" t="str">
        <f>HYPERLINK("https://en.uesp.net/wiki/Skyrim:Dark_Brotherhood_Sanctuary","Dark Brotherhood Sanctuary (quest locked)")</f>
        <v>Dark Brotherhood Sanctuary (quest locked)</v>
      </c>
    </row>
    <row r="62" ht="22.5" customHeight="1">
      <c r="A62" s="63" t="s">
        <v>132</v>
      </c>
      <c r="B62" s="345" t="s">
        <v>2137</v>
      </c>
      <c r="C62" s="345" t="s">
        <v>2138</v>
      </c>
      <c r="D62" s="351" t="str">
        <f>HYPERLINK("https://en.uesp.net/wiki/Skyrim:Forsaken_Cave","Forsaken Cave")</f>
        <v>Forsaken Cave</v>
      </c>
    </row>
    <row r="63" ht="22.5" customHeight="1">
      <c r="A63" s="343"/>
      <c r="B63" s="347" t="str">
        <f>HYPERLINK("https://en.uesp.net/wiki/Skyrim:Slow_Time", "Slow Time")</f>
        <v>Slow Time</v>
      </c>
      <c r="C63" s="38"/>
      <c r="D63" s="39"/>
    </row>
    <row r="64" ht="22.5" customHeight="1">
      <c r="A64" s="63" t="s">
        <v>132</v>
      </c>
      <c r="B64" s="345" t="s">
        <v>2139</v>
      </c>
      <c r="C64" s="345" t="s">
        <v>2140</v>
      </c>
      <c r="D64" s="351" t="str">
        <f>HYPERLINK("https://en.uesp.net/wiki/Skyrim:Hag%27s_End","Hag's End")</f>
        <v>Hag's End</v>
      </c>
    </row>
    <row r="65" ht="22.5" customHeight="1">
      <c r="A65" s="63" t="s">
        <v>132</v>
      </c>
      <c r="B65" s="345" t="s">
        <v>2141</v>
      </c>
      <c r="C65" s="345" t="s">
        <v>2142</v>
      </c>
      <c r="D65" s="353" t="str">
        <f>HYPERLINK("https://en.uesp.net/wiki/Skyrim:Korvanjund","Korvanjund (quest locked)")</f>
        <v>Korvanjund (quest locked)</v>
      </c>
    </row>
    <row r="66" ht="22.5" customHeight="1">
      <c r="A66" s="63" t="s">
        <v>132</v>
      </c>
      <c r="B66" s="345" t="s">
        <v>2143</v>
      </c>
      <c r="C66" s="345" t="s">
        <v>2144</v>
      </c>
      <c r="D66" s="353" t="str">
        <f>HYPERLINK("https://en.uesp.net/wiki/Skyrim:Labyrinthian","Labyrinthian (quest locked)")</f>
        <v>Labyrinthian (quest locked)</v>
      </c>
    </row>
    <row r="67" ht="22.5" customHeight="1">
      <c r="A67" s="343"/>
      <c r="B67" s="347" t="str">
        <f>HYPERLINK("https://en.uesp.net/wiki/Skyrim:Storm_Call", "Storm Call")</f>
        <v>Storm Call</v>
      </c>
      <c r="C67" s="38"/>
      <c r="D67" s="39"/>
    </row>
    <row r="68" ht="22.5" customHeight="1">
      <c r="A68" s="63" t="s">
        <v>132</v>
      </c>
      <c r="B68" s="345" t="s">
        <v>2145</v>
      </c>
      <c r="C68" s="345" t="s">
        <v>2146</v>
      </c>
      <c r="D68" s="351" t="str">
        <f>HYPERLINK("https://en.uesp.net/wiki/Skyrim:Forelhost","Forelhost")</f>
        <v>Forelhost</v>
      </c>
    </row>
    <row r="69" ht="22.5" customHeight="1">
      <c r="A69" s="63" t="s">
        <v>132</v>
      </c>
      <c r="B69" s="345" t="s">
        <v>2147</v>
      </c>
      <c r="C69" s="345" t="s">
        <v>2148</v>
      </c>
      <c r="D69" s="351" t="str">
        <f>HYPERLINK("https://en.uesp.net/wiki/Skyrim:High_Gate_Ruins","High Gate Ruins")</f>
        <v>High Gate Ruins</v>
      </c>
    </row>
    <row r="70" ht="22.5" customHeight="1">
      <c r="A70" s="63" t="s">
        <v>132</v>
      </c>
      <c r="B70" s="345" t="s">
        <v>2149</v>
      </c>
      <c r="C70" s="345" t="s">
        <v>2150</v>
      </c>
      <c r="D70" s="353" t="str">
        <f>HYPERLINK("https://en.uesp.net/wiki/Skyrim:Skuldafn#Skuldafn_Temple","Skuldafn Temple (quest locked)")</f>
        <v>Skuldafn Temple (quest locked)</v>
      </c>
    </row>
    <row r="71" ht="22.5" customHeight="1">
      <c r="A71" s="343"/>
      <c r="B71" s="347" t="str">
        <f>HYPERLINK("https://en.uesp.net/wiki/Skyrim:Throw_Voice", "Throw Voice")</f>
        <v>Throw Voice</v>
      </c>
      <c r="C71" s="38"/>
      <c r="D71" s="39"/>
    </row>
    <row r="72" ht="22.5" customHeight="1">
      <c r="A72" s="63" t="s">
        <v>132</v>
      </c>
      <c r="B72" s="345" t="s">
        <v>2151</v>
      </c>
      <c r="C72" s="345" t="s">
        <v>2152</v>
      </c>
      <c r="D72" s="356" t="str">
        <f>HYPERLINK("https://en.uesp.net/wiki/Skyrim:Shearpoint","Shearpoint")</f>
        <v>Shearpoint</v>
      </c>
    </row>
    <row r="73" ht="22.5" customHeight="1">
      <c r="A73" s="63" t="s">
        <v>132</v>
      </c>
      <c r="B73" s="345" t="s">
        <v>2153</v>
      </c>
      <c r="C73" s="345" t="s">
        <v>2154</v>
      </c>
      <c r="D73" s="136"/>
    </row>
    <row r="74" ht="22.5" customHeight="1">
      <c r="A74" s="63" t="s">
        <v>132</v>
      </c>
      <c r="B74" s="345" t="s">
        <v>2155</v>
      </c>
      <c r="C74" s="345" t="s">
        <v>2156</v>
      </c>
      <c r="D74" s="137"/>
    </row>
    <row r="75" ht="22.5" customHeight="1">
      <c r="A75" s="343"/>
      <c r="B75" s="347" t="str">
        <f>HYPERLINK("https://en.uesp.net/wiki/Skyrim:Unrelenting_Force", "Unrelenting Force")</f>
        <v>Unrelenting Force</v>
      </c>
      <c r="C75" s="38"/>
      <c r="D75" s="39"/>
    </row>
    <row r="76" ht="22.5" customHeight="1">
      <c r="A76" s="63" t="s">
        <v>132</v>
      </c>
      <c r="B76" s="345" t="s">
        <v>2157</v>
      </c>
      <c r="C76" s="345" t="s">
        <v>2158</v>
      </c>
      <c r="D76" s="351" t="str">
        <f>HYPERLINK("https://en.uesp.net/wiki/Skyrim:Bleak_Falls_Barrow","Bleak Falls Barrow")</f>
        <v>Bleak Falls Barrow</v>
      </c>
    </row>
    <row r="77" ht="22.5" customHeight="1">
      <c r="A77" s="63" t="s">
        <v>132</v>
      </c>
      <c r="B77" s="345" t="s">
        <v>2159</v>
      </c>
      <c r="C77" s="345" t="s">
        <v>2160</v>
      </c>
      <c r="D77" s="353" t="str">
        <f>HYPERLINK("https://en.uesp.net/wiki/Skyrim:High_Hrothgar","High Hrothgar - During The Way of the Voice")</f>
        <v>High Hrothgar - During The Way of the Voice</v>
      </c>
    </row>
    <row r="78" ht="22.5" customHeight="1">
      <c r="A78" s="63" t="s">
        <v>132</v>
      </c>
      <c r="B78" s="345" t="s">
        <v>2161</v>
      </c>
      <c r="C78" s="345" t="s">
        <v>2162</v>
      </c>
      <c r="D78" s="353" t="str">
        <f>HYPERLINK("https://en.uesp.net/wiki/Skyrim:High_Hrothgar","High Hrothgar - During The Horn of Jurgen Windcaller")</f>
        <v>High Hrothgar - During The Horn of Jurgen Windcaller</v>
      </c>
    </row>
    <row r="79" ht="22.5" customHeight="1">
      <c r="A79" s="343"/>
      <c r="B79" s="347" t="str">
        <f>HYPERLINK("https://en.uesp.net/wiki/Skyrim:Whirlwind_Sprint", "Whirlwind Sprint")</f>
        <v>Whirlwind Sprint</v>
      </c>
      <c r="C79" s="38"/>
      <c r="D79" s="39"/>
    </row>
    <row r="80" ht="22.5" customHeight="1">
      <c r="A80" s="63" t="s">
        <v>132</v>
      </c>
      <c r="B80" s="345" t="s">
        <v>2163</v>
      </c>
      <c r="C80" s="345" t="s">
        <v>2164</v>
      </c>
      <c r="D80" s="351" t="str">
        <f>HYPERLINK("https://en.uesp.net/wiki/Skyrim:Dead_Men%27s_Respite","Dead Men's Respite")</f>
        <v>Dead Men's Respite</v>
      </c>
    </row>
    <row r="81" ht="22.5" customHeight="1">
      <c r="A81" s="63" t="s">
        <v>132</v>
      </c>
      <c r="B81" s="345" t="s">
        <v>2165</v>
      </c>
      <c r="C81" s="345" t="s">
        <v>2166</v>
      </c>
      <c r="D81" s="353" t="str">
        <f>HYPERLINK("https://en.uesp.net/wiki/Skyrim:High_Hrothgar","High Hrothgar - During The Way of the Voice")</f>
        <v>High Hrothgar - During The Way of the Voice</v>
      </c>
    </row>
    <row r="82" ht="22.5" customHeight="1">
      <c r="A82" s="63" t="s">
        <v>132</v>
      </c>
      <c r="B82" s="345" t="s">
        <v>2167</v>
      </c>
      <c r="C82" s="345" t="s">
        <v>2168</v>
      </c>
      <c r="D82" s="351" t="str">
        <f>HYPERLINK("https://en.uesp.net/wiki/Skyrim:Volskygge","Volskygge")</f>
        <v>Volskygge</v>
      </c>
    </row>
    <row r="83" ht="22.5" customHeight="1">
      <c r="A83" s="343"/>
      <c r="B83" s="357" t="str">
        <f>HYPERLINK("https://en.uesp.net/wiki/Skyrim:Drain_Vitality", "Drain Vitality (Dawnguard)")</f>
        <v>Drain Vitality (Dawnguard)</v>
      </c>
      <c r="C83" s="38"/>
      <c r="D83" s="39"/>
    </row>
    <row r="84" ht="22.5" customHeight="1">
      <c r="A84" s="63" t="s">
        <v>132</v>
      </c>
      <c r="B84" s="345" t="s">
        <v>2169</v>
      </c>
      <c r="C84" s="345" t="s">
        <v>2170</v>
      </c>
      <c r="D84" s="351" t="str">
        <f>HYPERLINK("https://en.uesp.net/wiki/Skyrim:Dimhollow_Crypt","Dimhollow Crypt")</f>
        <v>Dimhollow Crypt</v>
      </c>
    </row>
    <row r="85" ht="22.5" customHeight="1">
      <c r="A85" s="63" t="s">
        <v>132</v>
      </c>
      <c r="B85" s="345" t="s">
        <v>2171</v>
      </c>
      <c r="C85" s="345" t="s">
        <v>2172</v>
      </c>
      <c r="D85" s="351" t="str">
        <f>HYPERLINK("https://en.uesp.net/wiki/Skyrim:Forgotten_Vale","Forgotten Vale")</f>
        <v>Forgotten Vale</v>
      </c>
    </row>
    <row r="86" ht="22.5" customHeight="1">
      <c r="A86" s="63" t="s">
        <v>132</v>
      </c>
      <c r="B86" s="345" t="s">
        <v>2173</v>
      </c>
      <c r="C86" s="345" t="s">
        <v>2174</v>
      </c>
      <c r="D86" s="351" t="str">
        <f>HYPERLINK("https://en.uesp.net/wiki/Skyrim:Arcwind_Point","Arcwind Point")</f>
        <v>Arcwind Point</v>
      </c>
    </row>
    <row r="87" ht="22.5" customHeight="1">
      <c r="A87" s="343"/>
      <c r="B87" s="357" t="str">
        <f>HYPERLINK("https://en.uesp.net/wiki/Skyrim:Soul_Tear", "Soul Tear (Dawnguard)")</f>
        <v>Soul Tear (Dawnguard)</v>
      </c>
      <c r="C87" s="38"/>
      <c r="D87" s="39"/>
    </row>
    <row r="88" ht="22.5" customHeight="1">
      <c r="A88" s="63" t="s">
        <v>132</v>
      </c>
      <c r="B88" s="345" t="s">
        <v>2175</v>
      </c>
      <c r="C88" s="345" t="s">
        <v>2176</v>
      </c>
      <c r="D88" s="356" t="str">
        <f>HYPERLINK("https://en.uesp.net/wiki/Skyrim:Durnehviir","Durnehviir teaches you a word each time you summon him from the Soul Cairn.")</f>
        <v>Durnehviir teaches you a word each time you summon him from the Soul Cairn.</v>
      </c>
    </row>
    <row r="89" ht="22.5" customHeight="1">
      <c r="A89" s="63" t="s">
        <v>132</v>
      </c>
      <c r="B89" s="345" t="s">
        <v>2177</v>
      </c>
      <c r="C89" s="345" t="s">
        <v>2178</v>
      </c>
      <c r="D89" s="136"/>
    </row>
    <row r="90" ht="22.5" customHeight="1">
      <c r="A90" s="63" t="s">
        <v>132</v>
      </c>
      <c r="B90" s="345" t="s">
        <v>2179</v>
      </c>
      <c r="C90" s="345" t="s">
        <v>2180</v>
      </c>
      <c r="D90" s="137"/>
    </row>
    <row r="91" ht="22.5" customHeight="1">
      <c r="A91" s="343"/>
      <c r="B91" s="357" t="str">
        <f>HYPERLINK("https://en.uesp.net/wiki/Skyrim:Summon_Durnehviir", "Summon Durnehviir (Dawnguard)")</f>
        <v>Summon Durnehviir (Dawnguard)</v>
      </c>
      <c r="C91" s="38"/>
      <c r="D91" s="39"/>
    </row>
    <row r="92" ht="22.5" customHeight="1">
      <c r="A92" s="63" t="s">
        <v>132</v>
      </c>
      <c r="B92" s="345" t="s">
        <v>2181</v>
      </c>
      <c r="C92" s="345" t="s">
        <v>2182</v>
      </c>
      <c r="D92" s="352" t="str">
        <f>HYPERLINK("https://en.uesp.net/wiki/Skyrim:Soul_Cairn","Soul Cairn - During Beyond Death")</f>
        <v>Soul Cairn - During Beyond Death</v>
      </c>
    </row>
    <row r="93" ht="22.5" customHeight="1">
      <c r="A93" s="63" t="s">
        <v>132</v>
      </c>
      <c r="B93" s="345" t="s">
        <v>2183</v>
      </c>
      <c r="C93" s="345" t="s">
        <v>2184</v>
      </c>
      <c r="D93" s="136"/>
    </row>
    <row r="94" ht="22.5" customHeight="1">
      <c r="A94" s="63" t="s">
        <v>132</v>
      </c>
      <c r="B94" s="345" t="s">
        <v>2185</v>
      </c>
      <c r="C94" s="345" t="s">
        <v>2186</v>
      </c>
      <c r="D94" s="137"/>
    </row>
    <row r="95" ht="22.5" customHeight="1">
      <c r="A95" s="343"/>
      <c r="B95" s="358" t="str">
        <f>HYPERLINK("https://en.uesp.net/wiki/Skyrim:Battle_Fury", "Battle Fury (Dragonborn)")</f>
        <v>Battle Fury (Dragonborn)</v>
      </c>
      <c r="C95" s="38"/>
      <c r="D95" s="39"/>
    </row>
    <row r="96" ht="22.5" customHeight="1">
      <c r="A96" s="63" t="s">
        <v>132</v>
      </c>
      <c r="B96" s="345" t="s">
        <v>2187</v>
      </c>
      <c r="C96" s="345" t="s">
        <v>2188</v>
      </c>
      <c r="D96" s="359" t="str">
        <f>HYPERLINK("https://en.uesp.net/wiki/Skyrim:Vahlok%27s_Tomb","Vahlok's Tomb")</f>
        <v>Vahlok's Tomb</v>
      </c>
    </row>
    <row r="97" ht="22.5" customHeight="1">
      <c r="A97" s="63" t="s">
        <v>132</v>
      </c>
      <c r="B97" s="345" t="s">
        <v>2189</v>
      </c>
      <c r="C97" s="345" t="s">
        <v>2190</v>
      </c>
      <c r="D97" s="136"/>
    </row>
    <row r="98" ht="22.5" customHeight="1">
      <c r="A98" s="63" t="s">
        <v>132</v>
      </c>
      <c r="B98" s="345" t="s">
        <v>2191</v>
      </c>
      <c r="C98" s="345" t="s">
        <v>2192</v>
      </c>
      <c r="D98" s="137"/>
    </row>
    <row r="99" ht="22.5" customHeight="1">
      <c r="A99" s="343"/>
      <c r="B99" s="358" t="str">
        <f>HYPERLINK("https://en.uesp.net/wiki/Skyrim:Bend_Will", "Bend Will (Dragonborn)")</f>
        <v>Bend Will (Dragonborn)</v>
      </c>
      <c r="C99" s="38"/>
      <c r="D99" s="39"/>
    </row>
    <row r="100" ht="22.5" customHeight="1">
      <c r="A100" s="63" t="s">
        <v>132</v>
      </c>
      <c r="B100" s="345" t="s">
        <v>2193</v>
      </c>
      <c r="C100" s="345" t="s">
        <v>2194</v>
      </c>
      <c r="D100" s="351" t="str">
        <f>HYPERLINK("https://en.uesp.net/wiki/Skyrim:Saering%27s_Watch","Saering's Watch")</f>
        <v>Saering's Watch</v>
      </c>
    </row>
    <row r="101" ht="22.5" customHeight="1">
      <c r="A101" s="63" t="s">
        <v>132</v>
      </c>
      <c r="B101" s="345" t="s">
        <v>2195</v>
      </c>
      <c r="C101" s="345" t="s">
        <v>2196</v>
      </c>
      <c r="D101" s="351" t="str">
        <f t="shared" ref="D101:D102" si="1">HYPERLINK("https://en.uesp.net/wiki/Skyrim:Hermaeus_Mora","Taught to you by Hermaeus Mora")</f>
        <v>Taught to you by Hermaeus Mora</v>
      </c>
    </row>
    <row r="102" ht="22.5" customHeight="1">
      <c r="A102" s="63" t="s">
        <v>132</v>
      </c>
      <c r="B102" s="345" t="s">
        <v>2197</v>
      </c>
      <c r="C102" s="345" t="s">
        <v>2198</v>
      </c>
      <c r="D102" s="351" t="str">
        <f t="shared" si="1"/>
        <v>Taught to you by Hermaeus Mora</v>
      </c>
    </row>
    <row r="103" ht="22.5" customHeight="1">
      <c r="A103" s="343"/>
      <c r="B103" s="358" t="str">
        <f>HYPERLINK("https://en.uesp.net/wiki/Skyrim:Cyclone", "Cyclone (Dragonborn)")</f>
        <v>Cyclone (Dragonborn)</v>
      </c>
      <c r="C103" s="38"/>
      <c r="D103" s="39"/>
    </row>
    <row r="104" ht="22.5" customHeight="1">
      <c r="A104" s="63" t="s">
        <v>132</v>
      </c>
      <c r="B104" s="345" t="s">
        <v>2199</v>
      </c>
      <c r="C104" s="345" t="s">
        <v>2200</v>
      </c>
      <c r="D104" s="351" t="str">
        <f>HYPERLINK("https://en.uesp.net/wiki/Skyrim:White_Ridge_Barrow","White Ridge Sanctum")</f>
        <v>White Ridge Sanctum</v>
      </c>
    </row>
    <row r="105" ht="22.5" customHeight="1">
      <c r="A105" s="63" t="s">
        <v>132</v>
      </c>
      <c r="B105" s="345" t="s">
        <v>2201</v>
      </c>
      <c r="C105" s="345" t="s">
        <v>2202</v>
      </c>
      <c r="D105" s="351" t="str">
        <f>HYPERLINK("https://en.uesp.net/wiki/Skyrim:Benkongerike","Benkongerike")</f>
        <v>Benkongerike</v>
      </c>
    </row>
    <row r="106" ht="22.5" customHeight="1">
      <c r="A106" s="63" t="s">
        <v>132</v>
      </c>
      <c r="B106" s="345" t="s">
        <v>2203</v>
      </c>
      <c r="C106" s="345" t="s">
        <v>2204</v>
      </c>
      <c r="D106" s="351" t="str">
        <f>HYPERLINK("https://en.uesp.net/wiki/Skyrim:Kolbjorn_Barrow","Kolbjorn Barrow")</f>
        <v>Kolbjorn Barrow</v>
      </c>
    </row>
    <row r="107" ht="22.5" customHeight="1">
      <c r="A107" s="343"/>
      <c r="B107" s="358" t="str">
        <f>HYPERLINK("https://en.uesp.net/wiki/Skyrim:Dragon_Aspect", "Dragon Aspect (Dragonborn)")</f>
        <v>Dragon Aspect (Dragonborn)</v>
      </c>
      <c r="C107" s="38"/>
      <c r="D107" s="39"/>
    </row>
    <row r="108" ht="22.5" customHeight="1">
      <c r="A108" s="63" t="s">
        <v>132</v>
      </c>
      <c r="B108" s="345" t="s">
        <v>2205</v>
      </c>
      <c r="C108" s="345" t="s">
        <v>2206</v>
      </c>
      <c r="D108" s="351" t="str">
        <f>HYPERLINK("https://en.uesp.net/wiki/Skyrim:Raven_Rock_Mine","Raven Rock Mine")</f>
        <v>Raven Rock Mine</v>
      </c>
    </row>
    <row r="109" ht="22.5" customHeight="1">
      <c r="A109" s="63" t="s">
        <v>132</v>
      </c>
      <c r="B109" s="345" t="s">
        <v>2207</v>
      </c>
      <c r="C109" s="345" t="s">
        <v>2208</v>
      </c>
      <c r="D109" s="351" t="str">
        <f>HYPERLINK("https://en.uesp.net/wiki/Skyrim:Temple_of_Miraak","Temple of Miraak")</f>
        <v>Temple of Miraak</v>
      </c>
    </row>
    <row r="110" ht="22.5" customHeight="1">
      <c r="A110" s="63" t="s">
        <v>132</v>
      </c>
      <c r="B110" s="345" t="s">
        <v>2209</v>
      </c>
      <c r="C110" s="345" t="s">
        <v>2210</v>
      </c>
      <c r="D110" s="353" t="str">
        <f>HYPERLINK("https://en.uesp.net/wiki/Skyrim:Apocrypha","Apocrypha - During Waking Dreams")</f>
        <v>Apocrypha - During Waking Dreams</v>
      </c>
    </row>
  </sheetData>
  <mergeCells count="35">
    <mergeCell ref="D20:D22"/>
    <mergeCell ref="D24:D26"/>
    <mergeCell ref="B3:D3"/>
    <mergeCell ref="B7:D7"/>
    <mergeCell ref="B11:D11"/>
    <mergeCell ref="B15:D15"/>
    <mergeCell ref="D16:D18"/>
    <mergeCell ref="B19:D19"/>
    <mergeCell ref="B23:D23"/>
    <mergeCell ref="B27:D27"/>
    <mergeCell ref="B31:D31"/>
    <mergeCell ref="B35:D35"/>
    <mergeCell ref="D36:D38"/>
    <mergeCell ref="B39:D39"/>
    <mergeCell ref="B43:D43"/>
    <mergeCell ref="B47:D47"/>
    <mergeCell ref="B51:D51"/>
    <mergeCell ref="B55:D55"/>
    <mergeCell ref="B59:D59"/>
    <mergeCell ref="B63:D63"/>
    <mergeCell ref="B67:D67"/>
    <mergeCell ref="B71:D71"/>
    <mergeCell ref="D72:D74"/>
    <mergeCell ref="D92:D94"/>
    <mergeCell ref="D96:D98"/>
    <mergeCell ref="B99:D99"/>
    <mergeCell ref="B103:D103"/>
    <mergeCell ref="B107:D107"/>
    <mergeCell ref="B75:D75"/>
    <mergeCell ref="B79:D79"/>
    <mergeCell ref="B83:D83"/>
    <mergeCell ref="B87:D87"/>
    <mergeCell ref="D88:D90"/>
    <mergeCell ref="B91:D91"/>
    <mergeCell ref="B95:D95"/>
  </mergeCells>
  <conditionalFormatting sqref="A4:A6 A8:A10 A12:A14 A16:A18 A20:A22 A24:A26 A28:A30 A32:A34 A36:A38 A40:A42 A44:A46 A48:A50 A52:A54 A56:A58 A60:A62 A64:A66 A68:A70 A72:A74 A76:A78 A80:A82 A84:A86 A88:A90 A92:A94 A96:A98 A100:A102 A104:A106 A108:A110">
    <cfRule type="cellIs" dxfId="1" priority="1" operator="equal">
      <formula>"Y"</formula>
    </cfRule>
  </conditionalFormatting>
  <conditionalFormatting sqref="A4:A6 A8:A10 A12:A14 A16:A18 A20:A22 A24:A26 A28:A30 A32:A34 A36:A38 A40:A42 A44:A46 A48:A50 A52:A54 A56:A58 A60:A62 A64:A66 A68:A70 A72:A74 A76:A78 A80:A82 A84:A86 A88:A90 A92:A94 A96:A98 A100:A102 A104:A106 A108:A110">
    <cfRule type="cellIs" dxfId="4" priority="2" operator="equal">
      <formula>"N"</formula>
    </cfRule>
  </conditionalFormatting>
  <conditionalFormatting sqref="A4:A6 A8:A10 A12:A14 A16:A18 A20:A22 A24:A26 A28:A30 A32:A34 A36:A38 A40:A42 A44:A46 A48:A50 A52:A54 A56:A58 A60:A62 A64:A66 A68:A70 A72:A74 A76:A78 A80:A82 A84:A86 A88:A90 A92:A94 A96:A98 A100:A102 A104:A106 A108:A110">
    <cfRule type="cellIs" dxfId="5" priority="3" operator="equal">
      <formula>"*"</formula>
    </cfRule>
  </conditionalFormatting>
  <conditionalFormatting sqref="A4:A110">
    <cfRule type="cellIs" dxfId="6" priority="4" operator="equal">
      <formula>"N"</formula>
    </cfRule>
  </conditionalFormatting>
  <conditionalFormatting sqref="A4:A110">
    <cfRule type="cellIs" dxfId="7" priority="5" operator="equal">
      <formula>"Y"</formula>
    </cfRule>
  </conditionalFormatting>
  <printOptions/>
  <pageMargins bottom="0.75" footer="0.0" header="0.0" left="0.7" right="0.7" top="0.75"/>
  <pageSetup orientation="portrait"/>
  <headerFooter>
    <oddFooter>&amp;CD R A G O N    S H O U T    C H E C K L I S T&amp;Rpage &amp;P of </oddFooter>
  </headerFooter>
  <rowBreaks count="1" manualBreakCount="1">
    <brk id="82"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0"/>
    <col customWidth="1" min="2" max="2" width="22.29"/>
    <col customWidth="1" min="3" max="3" width="14.57"/>
    <col customWidth="1" min="4" max="6" width="20.14"/>
    <col customWidth="1" hidden="1" min="7" max="7" width="20.14"/>
  </cols>
  <sheetData>
    <row r="1">
      <c r="A1" s="36" t="s">
        <v>2211</v>
      </c>
      <c r="B1" s="36" t="s">
        <v>2212</v>
      </c>
      <c r="C1" s="36" t="s">
        <v>2213</v>
      </c>
      <c r="D1" s="36" t="s">
        <v>2214</v>
      </c>
      <c r="E1" s="36" t="s">
        <v>2215</v>
      </c>
      <c r="F1" s="36" t="s">
        <v>2216</v>
      </c>
      <c r="G1" s="360"/>
    </row>
    <row r="2">
      <c r="A2" s="361" t="s">
        <v>2217</v>
      </c>
      <c r="B2" s="362"/>
      <c r="C2" s="362"/>
      <c r="D2" s="362"/>
      <c r="E2" s="362"/>
      <c r="F2" s="363"/>
      <c r="G2" s="364" t="s">
        <v>2218</v>
      </c>
    </row>
    <row r="3">
      <c r="A3" s="365" t="s">
        <v>2219</v>
      </c>
      <c r="F3" s="148"/>
      <c r="G3" s="366" t="s">
        <v>2220</v>
      </c>
    </row>
    <row r="4">
      <c r="A4" s="36" t="s">
        <v>2211</v>
      </c>
      <c r="B4" s="36" t="s">
        <v>2212</v>
      </c>
      <c r="C4" s="36" t="s">
        <v>2213</v>
      </c>
      <c r="D4" s="36" t="s">
        <v>2214</v>
      </c>
      <c r="E4" s="36" t="s">
        <v>2215</v>
      </c>
      <c r="F4" s="36" t="s">
        <v>2216</v>
      </c>
      <c r="G4" s="367">
        <f>countif(D6:F478,"Y")/(countif(D6:F478,"Y") + countif(D6:F478,"N"))</f>
        <v>0</v>
      </c>
    </row>
    <row r="5" ht="12.75" customHeight="1">
      <c r="A5" s="368" t="s">
        <v>1524</v>
      </c>
      <c r="B5" s="368" t="s">
        <v>1524</v>
      </c>
      <c r="C5" s="368" t="s">
        <v>1524</v>
      </c>
      <c r="D5" s="369">
        <f t="shared" ref="D5:F5" si="1">COUNTIF(D6:D365,"Y")/(COUNTIF(D6:D365,"Y") + COUNTIF(D6:D365,"N"))</f>
        <v>0</v>
      </c>
      <c r="E5" s="369">
        <f t="shared" si="1"/>
        <v>0</v>
      </c>
      <c r="F5" s="369">
        <f t="shared" si="1"/>
        <v>0</v>
      </c>
      <c r="G5" s="370"/>
    </row>
    <row r="6">
      <c r="A6" s="371" t="str">
        <f>HYPERLINK("https://en.uesp.net/wiki/Skyrim:Abandoned_Prison","Abandoned Prison")</f>
        <v>Abandoned Prison</v>
      </c>
      <c r="B6" s="316" t="s">
        <v>2221</v>
      </c>
      <c r="C6" s="316" t="s">
        <v>2222</v>
      </c>
      <c r="D6" s="63" t="s">
        <v>132</v>
      </c>
      <c r="E6" s="63" t="s">
        <v>132</v>
      </c>
      <c r="F6" s="63" t="s">
        <v>132</v>
      </c>
      <c r="G6" s="372"/>
    </row>
    <row r="7">
      <c r="A7" s="371" t="str">
        <f>HYPERLINK("https://en.uesp.net/wiki/Skyrim:Abandoned_Shack","Abandoned Shack")</f>
        <v>Abandoned Shack</v>
      </c>
      <c r="B7" s="316" t="s">
        <v>2223</v>
      </c>
      <c r="C7" s="316" t="s">
        <v>2224</v>
      </c>
      <c r="D7" s="63" t="s">
        <v>132</v>
      </c>
      <c r="E7" s="63" t="s">
        <v>132</v>
      </c>
      <c r="F7" s="316" t="s">
        <v>1524</v>
      </c>
      <c r="G7" s="373"/>
    </row>
    <row r="8">
      <c r="A8" s="371" t="str">
        <f>HYPERLINK("https://en.uesp.net/wiki/Skyrim:Alchemist%27s_Shack","Alchemist's Shack")</f>
        <v>Alchemist's Shack</v>
      </c>
      <c r="B8" s="316" t="s">
        <v>2223</v>
      </c>
      <c r="C8" s="316" t="s">
        <v>2225</v>
      </c>
      <c r="D8" s="63" t="s">
        <v>132</v>
      </c>
      <c r="E8" s="63" t="s">
        <v>132</v>
      </c>
      <c r="F8" s="316" t="s">
        <v>1524</v>
      </c>
      <c r="G8" s="373"/>
    </row>
    <row r="9">
      <c r="A9" s="371" t="str">
        <f>HYPERLINK("https://en.uesp.net/wiki/Skyrim:Alftand","Alftand")</f>
        <v>Alftand</v>
      </c>
      <c r="B9" s="316" t="s">
        <v>2226</v>
      </c>
      <c r="C9" s="316" t="s">
        <v>954</v>
      </c>
      <c r="D9" s="63" t="s">
        <v>132</v>
      </c>
      <c r="E9" s="63" t="s">
        <v>132</v>
      </c>
      <c r="F9" s="63" t="s">
        <v>132</v>
      </c>
      <c r="G9" s="372"/>
    </row>
    <row r="10">
      <c r="A10" s="371" t="str">
        <f>HYPERLINK("https://en.uesp.net/wiki/Skyrim:Ancient%27s_Ascent","Ancient's Ascent")</f>
        <v>Ancient's Ascent</v>
      </c>
      <c r="B10" s="316" t="s">
        <v>2227</v>
      </c>
      <c r="C10" s="316" t="s">
        <v>2228</v>
      </c>
      <c r="D10" s="63" t="s">
        <v>132</v>
      </c>
      <c r="E10" s="63" t="s">
        <v>132</v>
      </c>
      <c r="F10" s="63" t="s">
        <v>132</v>
      </c>
      <c r="G10" s="372"/>
    </row>
    <row r="11">
      <c r="A11" s="371" t="str">
        <f>HYPERLINK("https://en.uesp.net/wiki/Skyrim:Anga%27s_Mill","Anga's Mill")</f>
        <v>Anga's Mill</v>
      </c>
      <c r="B11" s="316" t="s">
        <v>2229</v>
      </c>
      <c r="C11" s="316" t="s">
        <v>2230</v>
      </c>
      <c r="D11" s="63" t="s">
        <v>132</v>
      </c>
      <c r="E11" s="63" t="s">
        <v>132</v>
      </c>
      <c r="F11" s="316" t="s">
        <v>1524</v>
      </c>
      <c r="G11" s="373"/>
    </row>
    <row r="12">
      <c r="A12" s="371" t="str">
        <f>HYPERLINK("https://en.uesp.net/wiki/Skyrim:Angarvunde","Angarvunde")</f>
        <v>Angarvunde</v>
      </c>
      <c r="B12" s="316" t="s">
        <v>2231</v>
      </c>
      <c r="C12" s="316" t="s">
        <v>2222</v>
      </c>
      <c r="D12" s="63" t="s">
        <v>132</v>
      </c>
      <c r="E12" s="63" t="s">
        <v>132</v>
      </c>
      <c r="F12" s="63" t="s">
        <v>132</v>
      </c>
      <c r="G12" s="372"/>
    </row>
    <row r="13">
      <c r="A13" s="371" t="str">
        <f>HYPERLINK("https://en.uesp.net/wiki/Skyrim:Angi%27s_Camp","Angi's Camp")</f>
        <v>Angi's Camp</v>
      </c>
      <c r="B13" s="316" t="s">
        <v>2223</v>
      </c>
      <c r="C13" s="316" t="s">
        <v>2228</v>
      </c>
      <c r="D13" s="63" t="s">
        <v>132</v>
      </c>
      <c r="E13" s="63" t="s">
        <v>132</v>
      </c>
      <c r="F13" s="316" t="s">
        <v>1524</v>
      </c>
      <c r="G13" s="373"/>
    </row>
    <row r="14">
      <c r="A14" s="371" t="str">
        <f>HYPERLINK("https://en.uesp.net/wiki/Skyrim:Anise%27s_Cabin","Anise's Cabin")</f>
        <v>Anise's Cabin</v>
      </c>
      <c r="B14" s="316" t="s">
        <v>2223</v>
      </c>
      <c r="C14" s="316" t="s">
        <v>2228</v>
      </c>
      <c r="D14" s="63" t="s">
        <v>132</v>
      </c>
      <c r="E14" s="63" t="s">
        <v>132</v>
      </c>
      <c r="F14" s="316" t="s">
        <v>1524</v>
      </c>
      <c r="G14" s="373"/>
    </row>
    <row r="15">
      <c r="A15" s="371" t="str">
        <f>HYPERLINK("https://en.uesp.net/wiki/Skyrim:Ansilvund","Ansilvund")</f>
        <v>Ansilvund</v>
      </c>
      <c r="B15" s="316" t="s">
        <v>2231</v>
      </c>
      <c r="C15" s="316" t="s">
        <v>2222</v>
      </c>
      <c r="D15" s="63" t="s">
        <v>132</v>
      </c>
      <c r="E15" s="63" t="s">
        <v>132</v>
      </c>
      <c r="F15" s="63" t="s">
        <v>132</v>
      </c>
      <c r="G15" s="372"/>
    </row>
    <row r="16">
      <c r="A16" s="371" t="str">
        <f>HYPERLINK("https://en.uesp.net/wiki/Skyrim:Arcwind_Point","Arcwind Point")</f>
        <v>Arcwind Point</v>
      </c>
      <c r="B16" s="316" t="s">
        <v>2231</v>
      </c>
      <c r="C16" s="316" t="s">
        <v>2225</v>
      </c>
      <c r="D16" s="63" t="s">
        <v>132</v>
      </c>
      <c r="E16" s="63" t="s">
        <v>132</v>
      </c>
      <c r="F16" s="63" t="s">
        <v>132</v>
      </c>
      <c r="G16" s="372"/>
    </row>
    <row r="17">
      <c r="A17" s="371" t="str">
        <f>HYPERLINK("https://en.uesp.net/wiki/Skyrim:Autumnshade_Clearing","Autumnshade Clearing")</f>
        <v>Autumnshade Clearing</v>
      </c>
      <c r="B17" s="316" t="s">
        <v>2232</v>
      </c>
      <c r="C17" s="316" t="s">
        <v>2225</v>
      </c>
      <c r="D17" s="63" t="s">
        <v>132</v>
      </c>
      <c r="E17" s="63" t="s">
        <v>132</v>
      </c>
      <c r="F17" s="63" t="s">
        <v>132</v>
      </c>
      <c r="G17" s="372"/>
    </row>
    <row r="18">
      <c r="A18" s="371" t="str">
        <f>HYPERLINK("https://en.uesp.net/wiki/Skyrim:Autumnwatch_Tower","Autumnwatch Tower")</f>
        <v>Autumnwatch Tower</v>
      </c>
      <c r="B18" s="316" t="s">
        <v>2227</v>
      </c>
      <c r="C18" s="316" t="s">
        <v>2225</v>
      </c>
      <c r="D18" s="63" t="s">
        <v>132</v>
      </c>
      <c r="E18" s="63" t="s">
        <v>132</v>
      </c>
      <c r="F18" s="63" t="s">
        <v>132</v>
      </c>
      <c r="G18" s="372"/>
    </row>
    <row r="19">
      <c r="A19" s="371" t="str">
        <f>HYPERLINK("https://en.uesp.net/wiki/Skyrim:Avanchnzel","Avanchnzel")</f>
        <v>Avanchnzel</v>
      </c>
      <c r="B19" s="316" t="s">
        <v>2226</v>
      </c>
      <c r="C19" s="316" t="s">
        <v>2225</v>
      </c>
      <c r="D19" s="63" t="s">
        <v>132</v>
      </c>
      <c r="E19" s="63" t="s">
        <v>132</v>
      </c>
      <c r="F19" s="63" t="s">
        <v>132</v>
      </c>
      <c r="G19" s="372"/>
    </row>
    <row r="20">
      <c r="A20" s="371" t="str">
        <f>HYPERLINK("https://en.uesp.net/wiki/Skyrim:Bannermist_Tower","Bannermist Tower")</f>
        <v>Bannermist Tower</v>
      </c>
      <c r="B20" s="316" t="s">
        <v>2233</v>
      </c>
      <c r="C20" s="316" t="s">
        <v>2228</v>
      </c>
      <c r="D20" s="63" t="s">
        <v>132</v>
      </c>
      <c r="E20" s="63" t="s">
        <v>132</v>
      </c>
      <c r="F20" s="63" t="s">
        <v>132</v>
      </c>
      <c r="G20" s="372"/>
    </row>
    <row r="21">
      <c r="A21" s="371" t="str">
        <f>HYPERLINK("https://en.uesp.net/wiki/Skyrim:Bard%27s_Leap_Summit","Bard's Leap Summit")</f>
        <v>Bard's Leap Summit</v>
      </c>
      <c r="B21" s="316" t="s">
        <v>2234</v>
      </c>
      <c r="C21" s="316" t="s">
        <v>2235</v>
      </c>
      <c r="D21" s="63" t="s">
        <v>132</v>
      </c>
      <c r="E21" s="63" t="s">
        <v>132</v>
      </c>
      <c r="F21" s="316" t="s">
        <v>1524</v>
      </c>
      <c r="G21" s="373"/>
    </row>
    <row r="22">
      <c r="A22" s="371" t="str">
        <f>HYPERLINK("https://en.uesp.net/wiki/Skyrim:Battle-Born_Farm","Battle-Born Farm")</f>
        <v>Battle-Born Farm</v>
      </c>
      <c r="B22" s="316" t="s">
        <v>2236</v>
      </c>
      <c r="C22" s="316" t="s">
        <v>993</v>
      </c>
      <c r="D22" s="63" t="s">
        <v>132</v>
      </c>
      <c r="E22" s="63" t="s">
        <v>132</v>
      </c>
      <c r="F22" s="316" t="s">
        <v>1524</v>
      </c>
      <c r="G22" s="373"/>
    </row>
    <row r="23">
      <c r="A23" s="371" t="str">
        <f>HYPERLINK("https://en.uesp.net/wiki/Skyrim:Bilegulch_Mine","Bilegulch Mine")</f>
        <v>Bilegulch Mine</v>
      </c>
      <c r="B23" s="316" t="s">
        <v>2237</v>
      </c>
      <c r="C23" s="316" t="s">
        <v>2228</v>
      </c>
      <c r="D23" s="63" t="s">
        <v>132</v>
      </c>
      <c r="E23" s="63" t="s">
        <v>132</v>
      </c>
      <c r="F23" s="63" t="s">
        <v>132</v>
      </c>
      <c r="G23" s="372"/>
    </row>
    <row r="24">
      <c r="A24" s="371" t="str">
        <f>HYPERLINK("https://en.uesp.net/wiki/Skyrim:Black-Briar_Lodge","Black-Briar Lodge")</f>
        <v>Black-Briar Lodge</v>
      </c>
      <c r="B24" s="316" t="s">
        <v>2238</v>
      </c>
      <c r="C24" s="316" t="s">
        <v>2225</v>
      </c>
      <c r="D24" s="63" t="s">
        <v>132</v>
      </c>
      <c r="E24" s="63" t="s">
        <v>132</v>
      </c>
      <c r="F24" s="316" t="s">
        <v>1524</v>
      </c>
      <c r="G24" s="373"/>
    </row>
    <row r="25">
      <c r="A25" s="371" t="str">
        <f>HYPERLINK("https://en.uesp.net/wiki/Skyrim:Bleak_Falls_Barrow_(place)","Bleak Falls Barrow")</f>
        <v>Bleak Falls Barrow</v>
      </c>
      <c r="B25" s="316" t="s">
        <v>2231</v>
      </c>
      <c r="C25" s="316" t="s">
        <v>2228</v>
      </c>
      <c r="D25" s="63" t="s">
        <v>132</v>
      </c>
      <c r="E25" s="63" t="s">
        <v>132</v>
      </c>
      <c r="F25" s="63" t="s">
        <v>132</v>
      </c>
      <c r="G25" s="372"/>
    </row>
    <row r="26">
      <c r="A26" s="371" t="str">
        <f>HYPERLINK("https://en.uesp.net/wiki/Skyrim:Bleakcoast_Cave","Bleakcoast Cave")</f>
        <v>Bleakcoast Cave</v>
      </c>
      <c r="B26" s="316" t="s">
        <v>2239</v>
      </c>
      <c r="C26" s="316" t="s">
        <v>954</v>
      </c>
      <c r="D26" s="63" t="s">
        <v>132</v>
      </c>
      <c r="E26" s="63" t="s">
        <v>132</v>
      </c>
      <c r="F26" s="63" t="s">
        <v>132</v>
      </c>
      <c r="G26" s="372"/>
    </row>
    <row r="27">
      <c r="A27" s="371" t="str">
        <f>HYPERLINK("https://en.uesp.net/wiki/Skyrim:Bleakwind_Basin","Bleakwind Basin")</f>
        <v>Bleakwind Basin</v>
      </c>
      <c r="B27" s="316" t="s">
        <v>2240</v>
      </c>
      <c r="C27" s="316" t="s">
        <v>993</v>
      </c>
      <c r="D27" s="63" t="s">
        <v>132</v>
      </c>
      <c r="E27" s="63" t="s">
        <v>132</v>
      </c>
      <c r="F27" s="63" t="s">
        <v>132</v>
      </c>
      <c r="G27" s="372"/>
    </row>
    <row r="28">
      <c r="A28" s="371" t="str">
        <f>HYPERLINK("https://en.uesp.net/wiki/Skyrim:Bleakwind_Bluff","Bleakwind Bluff")</f>
        <v>Bleakwind Bluff</v>
      </c>
      <c r="B28" s="316" t="s">
        <v>2233</v>
      </c>
      <c r="C28" s="316" t="s">
        <v>2235</v>
      </c>
      <c r="D28" s="63" t="s">
        <v>132</v>
      </c>
      <c r="E28" s="63" t="s">
        <v>132</v>
      </c>
      <c r="F28" s="63" t="s">
        <v>132</v>
      </c>
      <c r="G28" s="372"/>
    </row>
    <row r="29">
      <c r="A29" s="371" t="str">
        <f>HYPERLINK("https://en.uesp.net/wiki/Skyrim:Blind_Cliff_Cave","Blind Cliff Cave")</f>
        <v>Blind Cliff Cave</v>
      </c>
      <c r="B29" s="316" t="s">
        <v>2239</v>
      </c>
      <c r="C29" s="316" t="s">
        <v>2235</v>
      </c>
      <c r="D29" s="63" t="s">
        <v>132</v>
      </c>
      <c r="E29" s="63" t="s">
        <v>132</v>
      </c>
      <c r="F29" s="63" t="s">
        <v>132</v>
      </c>
      <c r="G29" s="372"/>
    </row>
    <row r="30">
      <c r="A30" s="371" t="str">
        <f>HYPERLINK("https://en.uesp.net/wiki/Skyrim:Blizzard_Rest","Blizzard Rest")</f>
        <v>Blizzard Rest</v>
      </c>
      <c r="B30" s="316" t="s">
        <v>2240</v>
      </c>
      <c r="C30" s="316" t="s">
        <v>2230</v>
      </c>
      <c r="D30" s="63" t="s">
        <v>132</v>
      </c>
      <c r="E30" s="63" t="s">
        <v>132</v>
      </c>
      <c r="F30" s="63" t="s">
        <v>132</v>
      </c>
      <c r="G30" s="372"/>
    </row>
    <row r="31">
      <c r="A31" s="371" t="str">
        <f>HYPERLINK("https://en.uesp.net/wiki/Skyrim:Bloated_Man%27s_Grotto","Bloated Man's Grotto")</f>
        <v>Bloated Man's Grotto</v>
      </c>
      <c r="B31" s="316" t="s">
        <v>2239</v>
      </c>
      <c r="C31" s="316" t="s">
        <v>2228</v>
      </c>
      <c r="D31" s="63" t="s">
        <v>132</v>
      </c>
      <c r="E31" s="63" t="s">
        <v>132</v>
      </c>
      <c r="F31" s="63" t="s">
        <v>132</v>
      </c>
      <c r="G31" s="372"/>
    </row>
    <row r="32">
      <c r="A32" s="371" t="str">
        <f>HYPERLINK("https://en.uesp.net/wiki/Skyrim:Bloodlet_Throne","Bloodlet Throne")</f>
        <v>Bloodlet Throne</v>
      </c>
      <c r="B32" s="316" t="s">
        <v>2241</v>
      </c>
      <c r="C32" s="316" t="s">
        <v>2228</v>
      </c>
      <c r="D32" s="63" t="s">
        <v>132</v>
      </c>
      <c r="E32" s="63" t="s">
        <v>132</v>
      </c>
      <c r="F32" s="63" t="s">
        <v>132</v>
      </c>
      <c r="G32" s="372"/>
    </row>
    <row r="33">
      <c r="A33" s="371" t="str">
        <f>HYPERLINK("https://en.uesp.net/wiki/Skyrim:Blue_Palace","Blue Palace")</f>
        <v>Blue Palace</v>
      </c>
      <c r="B33" s="316" t="s">
        <v>2242</v>
      </c>
      <c r="C33" s="316" t="s">
        <v>2243</v>
      </c>
      <c r="D33" s="63" t="s">
        <v>132</v>
      </c>
      <c r="E33" s="63" t="s">
        <v>132</v>
      </c>
      <c r="F33" s="316" t="s">
        <v>1524</v>
      </c>
      <c r="G33" s="373"/>
    </row>
    <row r="34">
      <c r="A34" s="371" t="str">
        <f>HYPERLINK("https://en.uesp.net/wiki/Skyrim:Bonechill_Passage","Bonechill Passage")</f>
        <v>Bonechill Passage</v>
      </c>
      <c r="B34" s="316" t="s">
        <v>2239</v>
      </c>
      <c r="C34" s="316" t="s">
        <v>2228</v>
      </c>
      <c r="D34" s="63" t="s">
        <v>132</v>
      </c>
      <c r="E34" s="63" t="s">
        <v>132</v>
      </c>
      <c r="F34" s="63" t="s">
        <v>132</v>
      </c>
      <c r="G34" s="372"/>
    </row>
    <row r="35">
      <c r="A35" s="371" t="str">
        <f>HYPERLINK("https://en.uesp.net/wiki/Skyrim:Bonestrewn_Crest","Bonestrewn Crest")</f>
        <v>Bonestrewn Crest</v>
      </c>
      <c r="B35" s="316" t="s">
        <v>2227</v>
      </c>
      <c r="C35" s="316" t="s">
        <v>2222</v>
      </c>
      <c r="D35" s="63" t="s">
        <v>132</v>
      </c>
      <c r="E35" s="63" t="s">
        <v>132</v>
      </c>
      <c r="F35" s="63" t="s">
        <v>132</v>
      </c>
      <c r="G35" s="372"/>
    </row>
    <row r="36">
      <c r="A36" s="371" t="str">
        <f>HYPERLINK("https://en.uesp.net/wiki/Skyrim:Boulderfall_Cave","Boulderfall Cave")</f>
        <v>Boulderfall Cave</v>
      </c>
      <c r="B36" s="316" t="s">
        <v>2239</v>
      </c>
      <c r="C36" s="316" t="s">
        <v>2225</v>
      </c>
      <c r="D36" s="63" t="s">
        <v>132</v>
      </c>
      <c r="E36" s="63" t="s">
        <v>132</v>
      </c>
      <c r="F36" s="63" t="s">
        <v>132</v>
      </c>
      <c r="G36" s="372"/>
    </row>
    <row r="37">
      <c r="A37" s="371" t="str">
        <f>HYPERLINK("https://en.uesp.net/wiki/Skyrim:Brandy-Mug_Farm","Brandy-Mug Farm")</f>
        <v>Brandy-Mug Farm</v>
      </c>
      <c r="B37" s="316" t="s">
        <v>2244</v>
      </c>
      <c r="C37" s="316" t="s">
        <v>2222</v>
      </c>
      <c r="D37" s="63" t="s">
        <v>132</v>
      </c>
      <c r="E37" s="63" t="s">
        <v>132</v>
      </c>
      <c r="F37" s="316" t="s">
        <v>1524</v>
      </c>
      <c r="G37" s="373"/>
    </row>
    <row r="38">
      <c r="A38" s="371" t="str">
        <f>HYPERLINK("https://en.uesp.net/wiki/Skyrim:Brinewater_Grotto","Brinewater Grotto")</f>
        <v>Brinewater Grotto</v>
      </c>
      <c r="B38" s="316" t="s">
        <v>2239</v>
      </c>
      <c r="C38" s="316" t="s">
        <v>2243</v>
      </c>
      <c r="D38" s="63" t="s">
        <v>132</v>
      </c>
      <c r="E38" s="63" t="s">
        <v>132</v>
      </c>
      <c r="F38" s="316" t="s">
        <v>1524</v>
      </c>
      <c r="G38" s="373"/>
    </row>
    <row r="39">
      <c r="A39" s="371" t="str">
        <f>HYPERLINK("https://en.uesp.net/wiki/Skyrim:Broken_Fang_Cave","Broken Fang Cave")</f>
        <v>Broken Fang Cave</v>
      </c>
      <c r="B39" s="316" t="s">
        <v>2239</v>
      </c>
      <c r="C39" s="316" t="s">
        <v>993</v>
      </c>
      <c r="D39" s="63" t="s">
        <v>132</v>
      </c>
      <c r="E39" s="63" t="s">
        <v>132</v>
      </c>
      <c r="F39" s="63" t="s">
        <v>132</v>
      </c>
      <c r="G39" s="372"/>
    </row>
    <row r="40">
      <c r="A40" s="371" t="str">
        <f>HYPERLINK("https://en.uesp.net/wiki/Skyrim:Broken_Helm_Hollow","Broken Helm Hollow")</f>
        <v>Broken Helm Hollow</v>
      </c>
      <c r="B40" s="316" t="s">
        <v>2239</v>
      </c>
      <c r="C40" s="316" t="s">
        <v>2225</v>
      </c>
      <c r="D40" s="63" t="s">
        <v>132</v>
      </c>
      <c r="E40" s="63" t="s">
        <v>132</v>
      </c>
      <c r="F40" s="63" t="s">
        <v>132</v>
      </c>
      <c r="G40" s="372"/>
    </row>
    <row r="41">
      <c r="A41" s="371" t="str">
        <f>HYPERLINK("https://en.uesp.net/wiki/Skyrim:Broken_Limb_Camp","Broken Limb Camp")</f>
        <v>Broken Limb Camp</v>
      </c>
      <c r="B41" s="316" t="s">
        <v>2240</v>
      </c>
      <c r="C41" s="316" t="s">
        <v>2222</v>
      </c>
      <c r="D41" s="63" t="s">
        <v>132</v>
      </c>
      <c r="E41" s="63" t="s">
        <v>132</v>
      </c>
      <c r="F41" s="63" t="s">
        <v>132</v>
      </c>
      <c r="G41" s="372"/>
    </row>
    <row r="42">
      <c r="A42" s="371" t="str">
        <f>HYPERLINK("https://en.uesp.net/wiki/Skyrim:Broken_Oar_Grotto","Broken Oar Grotto")</f>
        <v>Broken Oar Grotto</v>
      </c>
      <c r="B42" s="316" t="s">
        <v>2239</v>
      </c>
      <c r="C42" s="316" t="s">
        <v>2243</v>
      </c>
      <c r="D42" s="63" t="s">
        <v>132</v>
      </c>
      <c r="E42" s="63" t="s">
        <v>132</v>
      </c>
      <c r="F42" s="63" t="s">
        <v>132</v>
      </c>
      <c r="G42" s="372"/>
    </row>
    <row r="43">
      <c r="A43" s="371" t="str">
        <f>HYPERLINK("https://en.uesp.net/wiki/Skyrim:Broken_Tower_Redoubt","Broken Tower Redoubt")</f>
        <v>Broken Tower Redoubt</v>
      </c>
      <c r="B43" s="316" t="s">
        <v>2241</v>
      </c>
      <c r="C43" s="316" t="s">
        <v>2235</v>
      </c>
      <c r="D43" s="63" t="s">
        <v>132</v>
      </c>
      <c r="E43" s="63" t="s">
        <v>132</v>
      </c>
      <c r="F43" s="63" t="s">
        <v>132</v>
      </c>
      <c r="G43" s="372"/>
    </row>
    <row r="44">
      <c r="A44" s="371" t="str">
        <f>HYPERLINK("https://en.uesp.net/wiki/Skyrim:Bronze_Water_Cave","Bronze Water Cave")</f>
        <v>Bronze Water Cave</v>
      </c>
      <c r="B44" s="316" t="s">
        <v>2239</v>
      </c>
      <c r="C44" s="316" t="s">
        <v>2230</v>
      </c>
      <c r="D44" s="63" t="s">
        <v>132</v>
      </c>
      <c r="E44" s="63" t="s">
        <v>132</v>
      </c>
      <c r="F44" s="63" t="s">
        <v>132</v>
      </c>
      <c r="G44" s="372"/>
    </row>
    <row r="45">
      <c r="A45" s="371" t="str">
        <f>HYPERLINK("https://en.uesp.net/wiki/Skyrim:Brood_Cavern","Brood Cavern")</f>
        <v>Brood Cavern</v>
      </c>
      <c r="B45" s="316" t="s">
        <v>2239</v>
      </c>
      <c r="C45" s="316" t="s">
        <v>2224</v>
      </c>
      <c r="D45" s="63" t="s">
        <v>132</v>
      </c>
      <c r="E45" s="63" t="s">
        <v>132</v>
      </c>
      <c r="F45" s="63" t="s">
        <v>132</v>
      </c>
      <c r="G45" s="372"/>
    </row>
    <row r="46">
      <c r="A46" s="371" t="str">
        <f>HYPERLINK("https://en.uesp.net/wiki/Skyrim:Bruca%27s_Leap_Redoubt","Bruca's Leap Redoubt")</f>
        <v>Bruca's Leap Redoubt</v>
      </c>
      <c r="B46" s="316" t="s">
        <v>2239</v>
      </c>
      <c r="C46" s="316" t="s">
        <v>2235</v>
      </c>
      <c r="D46" s="63" t="s">
        <v>132</v>
      </c>
      <c r="E46" s="63" t="s">
        <v>132</v>
      </c>
      <c r="F46" s="63" t="s">
        <v>132</v>
      </c>
      <c r="G46" s="372"/>
    </row>
    <row r="47">
      <c r="A47" s="371" t="str">
        <f>HYPERLINK("https://en.uesp.net/wiki/Skyrim:Bthardamz","Bthardamz")</f>
        <v>Bthardamz</v>
      </c>
      <c r="B47" s="316" t="s">
        <v>2226</v>
      </c>
      <c r="C47" s="316" t="s">
        <v>2235</v>
      </c>
      <c r="D47" s="63" t="s">
        <v>132</v>
      </c>
      <c r="E47" s="63" t="s">
        <v>132</v>
      </c>
      <c r="F47" s="63" t="s">
        <v>132</v>
      </c>
      <c r="G47" s="372"/>
    </row>
    <row r="48">
      <c r="A48" s="371" t="str">
        <f>HYPERLINK("https://en.uesp.net/wiki/Skyrim:Chillfurrow_Farm","Chillfurrow Farm")</f>
        <v>Chillfurrow Farm</v>
      </c>
      <c r="B48" s="316" t="s">
        <v>2236</v>
      </c>
      <c r="C48" s="316" t="s">
        <v>993</v>
      </c>
      <c r="D48" s="63" t="s">
        <v>132</v>
      </c>
      <c r="E48" s="63" t="s">
        <v>132</v>
      </c>
      <c r="F48" s="316" t="s">
        <v>1524</v>
      </c>
      <c r="G48" s="373"/>
    </row>
    <row r="49">
      <c r="A49" s="371" t="str">
        <f>HYPERLINK("https://en.uesp.net/wiki/Skyrim:Chillwind_Depths","Chillwind Depths")</f>
        <v>Chillwind Depths</v>
      </c>
      <c r="B49" s="316" t="s">
        <v>2239</v>
      </c>
      <c r="C49" s="316" t="s">
        <v>2224</v>
      </c>
      <c r="D49" s="63" t="s">
        <v>132</v>
      </c>
      <c r="E49" s="63" t="s">
        <v>132</v>
      </c>
      <c r="F49" s="63" t="s">
        <v>132</v>
      </c>
      <c r="G49" s="372"/>
    </row>
    <row r="50">
      <c r="A50" s="371" t="str">
        <f>HYPERLINK("https://en.uesp.net/wiki/Skyrim:Clearpine_Pond","Clearpine Pond")</f>
        <v>Clearpine Pond</v>
      </c>
      <c r="B50" s="316" t="s">
        <v>2232</v>
      </c>
      <c r="C50" s="316" t="s">
        <v>2243</v>
      </c>
      <c r="D50" s="63" t="s">
        <v>132</v>
      </c>
      <c r="E50" s="63" t="s">
        <v>132</v>
      </c>
      <c r="F50" s="63" t="s">
        <v>132</v>
      </c>
      <c r="G50" s="372"/>
    </row>
    <row r="51">
      <c r="A51" s="371" t="str">
        <f>HYPERLINK("https://en.uesp.net/wiki/Skyrim:Clearspring_Tarn","Clearspring Tarn")</f>
        <v>Clearspring Tarn</v>
      </c>
      <c r="B51" s="316" t="s">
        <v>2232</v>
      </c>
      <c r="C51" s="316" t="s">
        <v>2225</v>
      </c>
      <c r="D51" s="63" t="s">
        <v>132</v>
      </c>
      <c r="E51" s="63" t="s">
        <v>132</v>
      </c>
      <c r="F51" s="63" t="s">
        <v>132</v>
      </c>
      <c r="G51" s="372"/>
    </row>
    <row r="52">
      <c r="A52" s="371" t="str">
        <f>HYPERLINK("https://en.uesp.net/wiki/Skyrim:Cliffside_Retreat","Cliffside Retreat")</f>
        <v>Cliffside Retreat</v>
      </c>
      <c r="B52" s="316" t="s">
        <v>2223</v>
      </c>
      <c r="C52" s="316" t="s">
        <v>2235</v>
      </c>
      <c r="D52" s="63" t="s">
        <v>132</v>
      </c>
      <c r="E52" s="63" t="s">
        <v>132</v>
      </c>
      <c r="F52" s="316" t="s">
        <v>1524</v>
      </c>
      <c r="G52" s="373"/>
    </row>
    <row r="53">
      <c r="A53" s="371" t="str">
        <f>HYPERLINK("https://en.uesp.net/wiki/Skyrim:College_of_Winterhold_(place)","College of Winterhold")</f>
        <v>College of Winterhold</v>
      </c>
      <c r="B53" s="316" t="s">
        <v>2245</v>
      </c>
      <c r="C53" s="316" t="s">
        <v>954</v>
      </c>
      <c r="D53" s="63" t="s">
        <v>132</v>
      </c>
      <c r="E53" s="63" t="s">
        <v>132</v>
      </c>
      <c r="F53" s="316" t="s">
        <v>1524</v>
      </c>
      <c r="G53" s="373"/>
    </row>
    <row r="54">
      <c r="A54" s="371" t="str">
        <f>HYPERLINK("https://en.uesp.net/wiki/Skyrim:Crabber%27s_Shanty","Crabber's Shanty")</f>
        <v>Crabber's Shanty</v>
      </c>
      <c r="B54" s="316" t="s">
        <v>2223</v>
      </c>
      <c r="C54" s="316" t="s">
        <v>2224</v>
      </c>
      <c r="D54" s="63" t="s">
        <v>132</v>
      </c>
      <c r="E54" s="63" t="s">
        <v>132</v>
      </c>
      <c r="F54" s="316" t="s">
        <v>1524</v>
      </c>
      <c r="G54" s="373"/>
    </row>
    <row r="55">
      <c r="A55" s="371" t="str">
        <f>HYPERLINK("https://en.uesp.net/wiki/Skyrim:Cracked_Tusk_Keep","Cracked Tusk Keep")</f>
        <v>Cracked Tusk Keep</v>
      </c>
      <c r="B55" s="316" t="s">
        <v>2241</v>
      </c>
      <c r="C55" s="316" t="s">
        <v>2228</v>
      </c>
      <c r="D55" s="63" t="s">
        <v>132</v>
      </c>
      <c r="E55" s="63" t="s">
        <v>132</v>
      </c>
      <c r="F55" s="63" t="s">
        <v>132</v>
      </c>
      <c r="G55" s="372"/>
    </row>
    <row r="56">
      <c r="A56" s="371" t="str">
        <f>HYPERLINK("https://en.uesp.net/wiki/Skyrim:Cradle_Stone_Tower","Cradle Stone Tower")</f>
        <v>Cradle Stone Tower</v>
      </c>
      <c r="B56" s="316" t="s">
        <v>2233</v>
      </c>
      <c r="C56" s="316" t="s">
        <v>2235</v>
      </c>
      <c r="D56" s="63" t="s">
        <v>132</v>
      </c>
      <c r="E56" s="63" t="s">
        <v>132</v>
      </c>
      <c r="F56" s="63" t="s">
        <v>132</v>
      </c>
      <c r="G56" s="372"/>
    </row>
    <row r="57">
      <c r="A57" s="374" t="str">
        <f>HYPERLINK("https://en.uesp.net/wiki/Skyrim:Cradlecrush_Rock","Cradlecrush Rock")</f>
        <v>Cradlecrush Rock</v>
      </c>
      <c r="B57" s="316" t="s">
        <v>2240</v>
      </c>
      <c r="C57" s="316" t="s">
        <v>2222</v>
      </c>
      <c r="D57" s="63" t="s">
        <v>132</v>
      </c>
      <c r="E57" s="63" t="s">
        <v>132</v>
      </c>
      <c r="F57" s="63" t="s">
        <v>132</v>
      </c>
      <c r="G57" s="372"/>
    </row>
    <row r="58">
      <c r="A58" s="371" t="str">
        <f>HYPERLINK("https://en.uesp.net/wiki/Skyrim:Cragslane_Cavern","Cragslane Cavern")</f>
        <v>Cragslane Cavern</v>
      </c>
      <c r="B58" s="316" t="s">
        <v>2239</v>
      </c>
      <c r="C58" s="316" t="s">
        <v>2222</v>
      </c>
      <c r="D58" s="63" t="s">
        <v>132</v>
      </c>
      <c r="E58" s="63" t="s">
        <v>132</v>
      </c>
      <c r="F58" s="63" t="s">
        <v>132</v>
      </c>
      <c r="G58" s="372"/>
    </row>
    <row r="59">
      <c r="A59" s="371" t="str">
        <f>HYPERLINK("https://en.uesp.net/wiki/Skyrim:Cragwallow_Slope","Cragwallow Slope")</f>
        <v>Cragwallow Slope</v>
      </c>
      <c r="B59" s="316" t="s">
        <v>2239</v>
      </c>
      <c r="C59" s="316" t="s">
        <v>2222</v>
      </c>
      <c r="D59" s="63" t="s">
        <v>132</v>
      </c>
      <c r="E59" s="63" t="s">
        <v>132</v>
      </c>
      <c r="F59" s="63" t="s">
        <v>132</v>
      </c>
      <c r="G59" s="372"/>
    </row>
    <row r="60">
      <c r="A60" s="371" t="str">
        <f>HYPERLINK("https://en.uesp.net/wiki/Skyrim:Cronvangr_Cave","Cronvangr Cave")</f>
        <v>Cronvangr Cave</v>
      </c>
      <c r="B60" s="316" t="s">
        <v>2239</v>
      </c>
      <c r="C60" s="316" t="s">
        <v>2222</v>
      </c>
      <c r="D60" s="63" t="s">
        <v>132</v>
      </c>
      <c r="E60" s="63" t="s">
        <v>132</v>
      </c>
      <c r="F60" s="63" t="s">
        <v>132</v>
      </c>
      <c r="G60" s="372"/>
    </row>
    <row r="61">
      <c r="A61" s="371" t="str">
        <f>HYPERLINK("https://en.uesp.net/wiki/Skyrim:Crystaldrift_Cave","Crystaldrift Cave")</f>
        <v>Crystaldrift Cave</v>
      </c>
      <c r="B61" s="316" t="s">
        <v>2239</v>
      </c>
      <c r="C61" s="316" t="s">
        <v>2225</v>
      </c>
      <c r="D61" s="63" t="s">
        <v>132</v>
      </c>
      <c r="E61" s="63" t="s">
        <v>132</v>
      </c>
      <c r="F61" s="63" t="s">
        <v>132</v>
      </c>
      <c r="G61" s="372"/>
    </row>
    <row r="62">
      <c r="A62" s="371" t="str">
        <f>HYPERLINK("https://en.uesp.net/wiki/Skyrim:Dainty_Sload","Dainty Sload")</f>
        <v>Dainty Sload</v>
      </c>
      <c r="B62" s="316" t="s">
        <v>2246</v>
      </c>
      <c r="C62" s="316" t="s">
        <v>2243</v>
      </c>
      <c r="D62" s="63" t="s">
        <v>132</v>
      </c>
      <c r="E62" s="63" t="s">
        <v>132</v>
      </c>
      <c r="F62" s="63" t="s">
        <v>132</v>
      </c>
      <c r="G62" s="372"/>
    </row>
    <row r="63">
      <c r="A63" s="371" t="str">
        <f>HYPERLINK("https://en.uesp.net/wiki/Skyrim:Dark_Brotherhood_Sanctuary","Dark Brotherhood Sanctuary")</f>
        <v>Dark Brotherhood Sanctuary</v>
      </c>
      <c r="B63" s="316" t="s">
        <v>2245</v>
      </c>
      <c r="C63" s="316" t="s">
        <v>2228</v>
      </c>
      <c r="D63" s="63" t="s">
        <v>132</v>
      </c>
      <c r="E63" s="63" t="s">
        <v>132</v>
      </c>
      <c r="F63" s="316" t="s">
        <v>1524</v>
      </c>
      <c r="G63" s="373"/>
    </row>
    <row r="64">
      <c r="A64" s="371" t="str">
        <f>HYPERLINK("https://en.uesp.net/wiki/Skyrim:Darklight_Tower","Darklight Tower")</f>
        <v>Darklight Tower</v>
      </c>
      <c r="B64" s="316" t="s">
        <v>2241</v>
      </c>
      <c r="C64" s="316" t="s">
        <v>2225</v>
      </c>
      <c r="D64" s="63" t="s">
        <v>132</v>
      </c>
      <c r="E64" s="63" t="s">
        <v>132</v>
      </c>
      <c r="F64" s="63" t="s">
        <v>132</v>
      </c>
      <c r="G64" s="372"/>
    </row>
    <row r="65">
      <c r="A65" s="371" t="str">
        <f>HYPERLINK("https://en.uesp.net/wiki/Skyrim:Darkshade","Darkshade")</f>
        <v>Darkshade</v>
      </c>
      <c r="B65" s="316" t="s">
        <v>2239</v>
      </c>
      <c r="C65" s="316" t="s">
        <v>2228</v>
      </c>
      <c r="D65" s="63" t="s">
        <v>132</v>
      </c>
      <c r="E65" s="63" t="s">
        <v>132</v>
      </c>
      <c r="F65" s="63" t="s">
        <v>132</v>
      </c>
      <c r="G65" s="372"/>
    </row>
    <row r="66">
      <c r="A66" s="371" t="str">
        <f>HYPERLINK("https://en.uesp.net/wiki/Skyrim:Darkwater_Crossing","Darkwater Crossing")</f>
        <v>Darkwater Crossing</v>
      </c>
      <c r="B66" s="316" t="s">
        <v>2247</v>
      </c>
      <c r="C66" s="316" t="s">
        <v>2222</v>
      </c>
      <c r="D66" s="63" t="s">
        <v>132</v>
      </c>
      <c r="E66" s="63" t="s">
        <v>132</v>
      </c>
      <c r="F66" s="316" t="s">
        <v>1524</v>
      </c>
      <c r="G66" s="373"/>
    </row>
    <row r="67">
      <c r="A67" s="371" t="str">
        <f>HYPERLINK("https://en.uesp.net/wiki/Skyrim:Darkwater_Pass","Darkwater Pass")</f>
        <v>Darkwater Pass</v>
      </c>
      <c r="B67" s="316" t="s">
        <v>2239</v>
      </c>
      <c r="C67" s="316" t="s">
        <v>2225</v>
      </c>
      <c r="D67" s="63" t="s">
        <v>132</v>
      </c>
      <c r="E67" s="63" t="s">
        <v>132</v>
      </c>
      <c r="F67" s="63" t="s">
        <v>132</v>
      </c>
      <c r="G67" s="372"/>
    </row>
    <row r="68">
      <c r="A68" s="371" t="str">
        <f>HYPERLINK("https://en.uesp.net/wiki/Skyrim:Dawnstar","Dawnstar")</f>
        <v>Dawnstar</v>
      </c>
      <c r="B68" s="316" t="s">
        <v>354</v>
      </c>
      <c r="C68" s="316" t="s">
        <v>2230</v>
      </c>
      <c r="D68" s="63" t="s">
        <v>132</v>
      </c>
      <c r="E68" s="63" t="s">
        <v>132</v>
      </c>
      <c r="F68" s="316" t="s">
        <v>1524</v>
      </c>
      <c r="G68" s="373"/>
    </row>
    <row r="69">
      <c r="A69" s="371" t="str">
        <f>HYPERLINK("https://en.uesp.net/wiki/Skyrim:Dawnstar_Sanctuary","Dawnstar Sanctuary")</f>
        <v>Dawnstar Sanctuary</v>
      </c>
      <c r="B69" s="316" t="s">
        <v>2245</v>
      </c>
      <c r="C69" s="316" t="s">
        <v>2230</v>
      </c>
      <c r="D69" s="63" t="s">
        <v>132</v>
      </c>
      <c r="E69" s="63" t="s">
        <v>132</v>
      </c>
      <c r="F69" s="316" t="s">
        <v>1524</v>
      </c>
      <c r="G69" s="373"/>
    </row>
    <row r="70">
      <c r="A70" s="371" t="str">
        <f>HYPERLINK("https://en.uesp.net/wiki/Skyrim:Dead_Crone_Rock","Dead Crone Rock")</f>
        <v>Dead Crone Rock</v>
      </c>
      <c r="B70" s="316" t="s">
        <v>2233</v>
      </c>
      <c r="C70" s="316" t="s">
        <v>2235</v>
      </c>
      <c r="D70" s="63" t="s">
        <v>132</v>
      </c>
      <c r="E70" s="63" t="s">
        <v>132</v>
      </c>
      <c r="F70" s="63" t="s">
        <v>132</v>
      </c>
      <c r="G70" s="372"/>
    </row>
    <row r="71">
      <c r="A71" s="371" t="str">
        <f>HYPERLINK("https://en.uesp.net/wiki/Skyrim:Dead_Men%27s_Respite","Dead Men's Respite")</f>
        <v>Dead Men's Respite</v>
      </c>
      <c r="B71" s="316" t="s">
        <v>2231</v>
      </c>
      <c r="C71" s="316" t="s">
        <v>2224</v>
      </c>
      <c r="D71" s="63" t="s">
        <v>132</v>
      </c>
      <c r="E71" s="63" t="s">
        <v>132</v>
      </c>
      <c r="F71" s="63" t="s">
        <v>132</v>
      </c>
      <c r="G71" s="372"/>
    </row>
    <row r="72">
      <c r="A72" s="371" t="str">
        <f>HYPERLINK("https://en.uesp.net/wiki/Skyrim:Deep_Folk_Crossing","Deep Folk Crossing")</f>
        <v>Deep Folk Crossing</v>
      </c>
      <c r="B72" s="316" t="s">
        <v>2234</v>
      </c>
      <c r="C72" s="316" t="s">
        <v>2235</v>
      </c>
      <c r="D72" s="63" t="s">
        <v>132</v>
      </c>
      <c r="E72" s="63" t="s">
        <v>132</v>
      </c>
      <c r="F72" s="316" t="s">
        <v>1524</v>
      </c>
      <c r="G72" s="373"/>
    </row>
    <row r="73">
      <c r="A73" s="371" t="str">
        <f>HYPERLINK("https://en.uesp.net/wiki/Skyrim:Deepwood_Redoubt","Deepwood Redoubt")</f>
        <v>Deepwood Redoubt</v>
      </c>
      <c r="B73" s="316" t="s">
        <v>2231</v>
      </c>
      <c r="C73" s="316" t="s">
        <v>2235</v>
      </c>
      <c r="D73" s="63" t="s">
        <v>132</v>
      </c>
      <c r="E73" s="63" t="s">
        <v>132</v>
      </c>
      <c r="F73" s="63" t="s">
        <v>132</v>
      </c>
      <c r="G73" s="372"/>
    </row>
    <row r="74">
      <c r="A74" s="371" t="str">
        <f>HYPERLINK("https://en.uesp.net/wiki/Skyrim:Dragon_Bridge","Dragon Bridge")</f>
        <v>Dragon Bridge</v>
      </c>
      <c r="B74" s="316" t="s">
        <v>2248</v>
      </c>
      <c r="C74" s="316" t="s">
        <v>2243</v>
      </c>
      <c r="D74" s="63" t="s">
        <v>132</v>
      </c>
      <c r="E74" s="63" t="s">
        <v>132</v>
      </c>
      <c r="F74" s="316" t="s">
        <v>1524</v>
      </c>
      <c r="G74" s="373"/>
    </row>
    <row r="75">
      <c r="A75" s="371" t="str">
        <f>HYPERLINK("https://en.uesp.net/wiki/Skyrim:Dragon_Bridge_Overlook","Dragon Bridge Overlook")</f>
        <v>Dragon Bridge Overlook</v>
      </c>
      <c r="B75" s="316" t="s">
        <v>2249</v>
      </c>
      <c r="C75" s="316" t="s">
        <v>2235</v>
      </c>
      <c r="D75" s="63" t="s">
        <v>132</v>
      </c>
      <c r="E75" s="63" t="s">
        <v>132</v>
      </c>
      <c r="F75" s="63" t="s">
        <v>132</v>
      </c>
      <c r="G75" s="372"/>
    </row>
    <row r="76">
      <c r="A76" s="371" t="str">
        <f>HYPERLINK("https://en.uesp.net/wiki/Skyrim:Dragonsreach","Dragonsreach")</f>
        <v>Dragonsreach</v>
      </c>
      <c r="B76" s="316" t="s">
        <v>2242</v>
      </c>
      <c r="C76" s="316" t="s">
        <v>993</v>
      </c>
      <c r="D76" s="63" t="s">
        <v>132</v>
      </c>
      <c r="E76" s="63" t="s">
        <v>132</v>
      </c>
      <c r="F76" s="316" t="s">
        <v>1524</v>
      </c>
      <c r="G76" s="373"/>
    </row>
    <row r="77">
      <c r="A77" s="371" t="str">
        <f>HYPERLINK("https://en.uesp.net/wiki/Skyrim:Dragontooth_Crater","Dragontooth Crater")</f>
        <v>Dragontooth Crater</v>
      </c>
      <c r="B77" s="316" t="s">
        <v>2227</v>
      </c>
      <c r="C77" s="316" t="s">
        <v>2235</v>
      </c>
      <c r="D77" s="63" t="s">
        <v>132</v>
      </c>
      <c r="E77" s="63" t="s">
        <v>132</v>
      </c>
      <c r="F77" s="63" t="s">
        <v>132</v>
      </c>
      <c r="G77" s="372"/>
    </row>
    <row r="78">
      <c r="A78" s="371" t="str">
        <f>HYPERLINK("https://en.uesp.net/wiki/Skyrim:Drelas%27_Cottage","Drelas' Cottage")</f>
        <v>Drelas' Cottage</v>
      </c>
      <c r="B78" s="316" t="s">
        <v>2223</v>
      </c>
      <c r="C78" s="316" t="s">
        <v>993</v>
      </c>
      <c r="D78" s="63" t="s">
        <v>132</v>
      </c>
      <c r="E78" s="63" t="s">
        <v>132</v>
      </c>
      <c r="F78" s="63" t="s">
        <v>132</v>
      </c>
      <c r="G78" s="372"/>
    </row>
    <row r="79">
      <c r="A79" s="371" t="str">
        <f>HYPERLINK("https://en.uesp.net/wiki/Skyrim:Driftshade_Refuge","Driftshade Refuge")</f>
        <v>Driftshade Refuge</v>
      </c>
      <c r="B79" s="316" t="s">
        <v>2241</v>
      </c>
      <c r="C79" s="316" t="s">
        <v>954</v>
      </c>
      <c r="D79" s="63" t="s">
        <v>132</v>
      </c>
      <c r="E79" s="63" t="s">
        <v>132</v>
      </c>
      <c r="F79" s="63" t="s">
        <v>132</v>
      </c>
      <c r="G79" s="372"/>
    </row>
    <row r="80">
      <c r="A80" s="371" t="str">
        <f>HYPERLINK("https://en.uesp.net/wiki/Skyrim:Druadach_Redoubt","Druadach Redoubt")</f>
        <v>Druadach Redoubt</v>
      </c>
      <c r="B80" s="316" t="s">
        <v>2249</v>
      </c>
      <c r="C80" s="316" t="s">
        <v>2235</v>
      </c>
      <c r="D80" s="63" t="s">
        <v>132</v>
      </c>
      <c r="E80" s="63" t="s">
        <v>132</v>
      </c>
      <c r="F80" s="63" t="s">
        <v>132</v>
      </c>
      <c r="G80" s="372"/>
    </row>
    <row r="81">
      <c r="A81" s="371" t="str">
        <f>HYPERLINK("https://en.uesp.net/wiki/Skyrim:Dushnikh_Yal","Dushnikh Yal")</f>
        <v>Dushnikh Yal</v>
      </c>
      <c r="B81" s="316" t="s">
        <v>2250</v>
      </c>
      <c r="C81" s="316" t="s">
        <v>2235</v>
      </c>
      <c r="D81" s="63" t="s">
        <v>132</v>
      </c>
      <c r="E81" s="63" t="s">
        <v>132</v>
      </c>
      <c r="F81" s="316" t="s">
        <v>1524</v>
      </c>
      <c r="G81" s="373"/>
    </row>
    <row r="82">
      <c r="A82" s="371" t="str">
        <f>HYPERLINK("https://en.uesp.net/wiki/Skyrim:Duskglow_Crevice","Duskglow Crevice")</f>
        <v>Duskglow Crevice</v>
      </c>
      <c r="B82" s="316" t="s">
        <v>2239</v>
      </c>
      <c r="C82" s="316" t="s">
        <v>2230</v>
      </c>
      <c r="D82" s="63" t="s">
        <v>132</v>
      </c>
      <c r="E82" s="63" t="s">
        <v>132</v>
      </c>
      <c r="F82" s="63" t="s">
        <v>132</v>
      </c>
      <c r="G82" s="372"/>
    </row>
    <row r="83">
      <c r="A83" s="371" t="str">
        <f>HYPERLINK("https://en.uesp.net/wiki/Skyrim:Dustman%27s_Cairn","Dustman's Cairn")</f>
        <v>Dustman's Cairn</v>
      </c>
      <c r="B83" s="316" t="s">
        <v>2231</v>
      </c>
      <c r="C83" s="316" t="s">
        <v>2235</v>
      </c>
      <c r="D83" s="63" t="s">
        <v>132</v>
      </c>
      <c r="E83" s="63" t="s">
        <v>132</v>
      </c>
      <c r="F83" s="63" t="s">
        <v>132</v>
      </c>
      <c r="G83" s="372"/>
    </row>
    <row r="84">
      <c r="A84" s="371" t="str">
        <f>HYPERLINK("https://en.uesp.net/wiki/Skyrim:East_Empire_Company_Warehouse", "East Empire Company Warehouse")</f>
        <v>East Empire Company Warehouse</v>
      </c>
      <c r="B84" s="316" t="s">
        <v>2251</v>
      </c>
      <c r="C84" s="316" t="s">
        <v>2224</v>
      </c>
      <c r="D84" s="63" t="s">
        <v>132</v>
      </c>
      <c r="E84" s="63" t="s">
        <v>132</v>
      </c>
      <c r="F84" s="316" t="s">
        <v>1524</v>
      </c>
      <c r="G84" s="373"/>
    </row>
    <row r="85">
      <c r="A85" s="371" t="str">
        <f>HYPERLINK("https://en.uesp.net/wiki/Skyrim:Eldergleam_Sanctuary","Eldergleam Sanctuary")</f>
        <v>Eldergleam Sanctuary</v>
      </c>
      <c r="B85" s="316" t="s">
        <v>2239</v>
      </c>
      <c r="C85" s="316" t="s">
        <v>2222</v>
      </c>
      <c r="D85" s="63" t="s">
        <v>132</v>
      </c>
      <c r="E85" s="63" t="s">
        <v>132</v>
      </c>
      <c r="F85" s="316" t="s">
        <v>1524</v>
      </c>
      <c r="G85" s="373"/>
    </row>
    <row r="86">
      <c r="A86" s="371" t="str">
        <f>HYPERLINK("https://en.uesp.net/wiki/Skyrim:Eldersblood_Peak","Eldersblood Peak")</f>
        <v>Eldersblood Peak</v>
      </c>
      <c r="B86" s="316" t="s">
        <v>2227</v>
      </c>
      <c r="C86" s="316" t="s">
        <v>2224</v>
      </c>
      <c r="D86" s="63" t="s">
        <v>132</v>
      </c>
      <c r="E86" s="63" t="s">
        <v>132</v>
      </c>
      <c r="F86" s="63" t="s">
        <v>132</v>
      </c>
      <c r="G86" s="372"/>
    </row>
    <row r="87">
      <c r="A87" s="371" t="str">
        <f>HYPERLINK("https://en.uesp.net/wiki/Skyrim:Embershard_Mine","Embershard Mine")</f>
        <v>Embershard Mine</v>
      </c>
      <c r="B87" s="316" t="s">
        <v>2237</v>
      </c>
      <c r="C87" s="316" t="s">
        <v>2228</v>
      </c>
      <c r="D87" s="63" t="s">
        <v>132</v>
      </c>
      <c r="E87" s="63" t="s">
        <v>132</v>
      </c>
      <c r="F87" s="63" t="s">
        <v>132</v>
      </c>
      <c r="G87" s="372"/>
    </row>
    <row r="88">
      <c r="A88" s="371" t="str">
        <f>HYPERLINK("https://en.uesp.net/wiki/Skyrim:Evergreen_Grove","Evergreen Grove")</f>
        <v>Evergreen Grove</v>
      </c>
      <c r="B88" s="316" t="s">
        <v>2252</v>
      </c>
      <c r="C88" s="316" t="s">
        <v>2228</v>
      </c>
      <c r="D88" s="63" t="s">
        <v>132</v>
      </c>
      <c r="E88" s="63" t="s">
        <v>132</v>
      </c>
      <c r="F88" s="63" t="s">
        <v>132</v>
      </c>
      <c r="G88" s="372"/>
    </row>
    <row r="89">
      <c r="A89" s="371" t="str">
        <f>HYPERLINK("https://en.uesp.net/wiki/Skyrim:Faldar%27s_Tooth","Faldar's Tooth")</f>
        <v>Faldar's Tooth</v>
      </c>
      <c r="B89" s="316" t="s">
        <v>2241</v>
      </c>
      <c r="C89" s="316" t="s">
        <v>2225</v>
      </c>
      <c r="D89" s="63" t="s">
        <v>132</v>
      </c>
      <c r="E89" s="63" t="s">
        <v>132</v>
      </c>
      <c r="F89" s="63" t="s">
        <v>132</v>
      </c>
      <c r="G89" s="372"/>
    </row>
    <row r="90">
      <c r="A90" s="371" t="str">
        <f>HYPERLINK("https://en.uesp.net/wiki/Skyrim:Falkreath","Falkreath")</f>
        <v>Falkreath</v>
      </c>
      <c r="B90" s="316" t="s">
        <v>354</v>
      </c>
      <c r="C90" s="316" t="s">
        <v>2228</v>
      </c>
      <c r="D90" s="63" t="s">
        <v>132</v>
      </c>
      <c r="E90" s="63" t="s">
        <v>132</v>
      </c>
      <c r="F90" s="316" t="s">
        <v>1524</v>
      </c>
      <c r="G90" s="373"/>
    </row>
    <row r="91">
      <c r="A91" s="371" t="str">
        <f>HYPERLINK("https://en.uesp.net/wiki/Skyrim:Falkreath_Watchtower","Falkreath Watchtower")</f>
        <v>Falkreath Watchtower</v>
      </c>
      <c r="B91" s="316" t="s">
        <v>2221</v>
      </c>
      <c r="C91" s="316" t="s">
        <v>2228</v>
      </c>
      <c r="D91" s="63" t="s">
        <v>132</v>
      </c>
      <c r="E91" s="63" t="s">
        <v>132</v>
      </c>
      <c r="F91" s="63" t="s">
        <v>132</v>
      </c>
      <c r="G91" s="372"/>
    </row>
    <row r="92">
      <c r="A92" s="371" t="str">
        <f>HYPERLINK("https://en.uesp.net/wiki/Skyrim:Fallowstone_Cave","Fallowstone Cave")</f>
        <v>Fallowstone Cave</v>
      </c>
      <c r="B92" s="316" t="s">
        <v>2239</v>
      </c>
      <c r="C92" s="316" t="s">
        <v>2225</v>
      </c>
      <c r="D92" s="63" t="s">
        <v>132</v>
      </c>
      <c r="E92" s="63" t="s">
        <v>132</v>
      </c>
      <c r="F92" s="63" t="s">
        <v>132</v>
      </c>
      <c r="G92" s="372"/>
    </row>
    <row r="93">
      <c r="A93" s="371" t="str">
        <f>HYPERLINK("https://en.uesp.net/wiki/Skyrim:Fellglow_Keep","Fellglow Keep")</f>
        <v>Fellglow Keep</v>
      </c>
      <c r="B93" s="316" t="s">
        <v>2241</v>
      </c>
      <c r="C93" s="316" t="s">
        <v>993</v>
      </c>
      <c r="D93" s="63" t="s">
        <v>132</v>
      </c>
      <c r="E93" s="63" t="s">
        <v>132</v>
      </c>
      <c r="F93" s="63" t="s">
        <v>132</v>
      </c>
      <c r="G93" s="372"/>
    </row>
    <row r="94">
      <c r="A94" s="371" t="str">
        <f>HYPERLINK("https://en.uesp.net/wiki/Skyrim:Folgunthur","Folgunthur")</f>
        <v>Folgunthur</v>
      </c>
      <c r="B94" s="316" t="s">
        <v>2231</v>
      </c>
      <c r="C94" s="316" t="s">
        <v>2224</v>
      </c>
      <c r="D94" s="63" t="s">
        <v>132</v>
      </c>
      <c r="E94" s="63" t="s">
        <v>132</v>
      </c>
      <c r="F94" s="63" t="s">
        <v>132</v>
      </c>
      <c r="G94" s="372"/>
    </row>
    <row r="95">
      <c r="A95" s="371" t="str">
        <f>HYPERLINK("https://en.uesp.net/wiki/Skyrim:Forelhost","Forelhost")</f>
        <v>Forelhost</v>
      </c>
      <c r="B95" s="316" t="s">
        <v>2231</v>
      </c>
      <c r="C95" s="316" t="s">
        <v>2225</v>
      </c>
      <c r="D95" s="63" t="s">
        <v>132</v>
      </c>
      <c r="E95" s="63" t="s">
        <v>132</v>
      </c>
      <c r="F95" s="63" t="s">
        <v>132</v>
      </c>
      <c r="G95" s="372"/>
    </row>
    <row r="96">
      <c r="A96" s="371" t="str">
        <f>HYPERLINK("https://en.uesp.net/wiki/Skyrim:Forsaken_Cave","Forsaken Cave")</f>
        <v>Forsaken Cave</v>
      </c>
      <c r="B96" s="316" t="s">
        <v>2239</v>
      </c>
      <c r="C96" s="316" t="s">
        <v>2230</v>
      </c>
      <c r="D96" s="63" t="s">
        <v>132</v>
      </c>
      <c r="E96" s="63" t="s">
        <v>132</v>
      </c>
      <c r="F96" s="63" t="s">
        <v>132</v>
      </c>
      <c r="G96" s="372"/>
    </row>
    <row r="97">
      <c r="A97" s="371" t="str">
        <f>HYPERLINK("https://en.uesp.net/wiki/Skyrim:Fort_Amol","Fort Amol")</f>
        <v>Fort Amol</v>
      </c>
      <c r="B97" s="316" t="s">
        <v>2241</v>
      </c>
      <c r="C97" s="316" t="s">
        <v>2222</v>
      </c>
      <c r="D97" s="63" t="s">
        <v>132</v>
      </c>
      <c r="E97" s="63" t="s">
        <v>132</v>
      </c>
      <c r="F97" s="316" t="s">
        <v>1524</v>
      </c>
      <c r="G97" s="373"/>
    </row>
    <row r="98">
      <c r="A98" s="371" t="str">
        <f>HYPERLINK("https://en.uesp.net/wiki/Skyrim:Fort_Dunstad","Fort Dunstad")</f>
        <v>Fort Dunstad</v>
      </c>
      <c r="B98" s="316" t="s">
        <v>2241</v>
      </c>
      <c r="C98" s="316" t="s">
        <v>2230</v>
      </c>
      <c r="D98" s="63" t="s">
        <v>132</v>
      </c>
      <c r="E98" s="63" t="s">
        <v>132</v>
      </c>
      <c r="F98" s="316" t="s">
        <v>1524</v>
      </c>
      <c r="G98" s="373"/>
    </row>
    <row r="99">
      <c r="A99" s="371" t="str">
        <f>HYPERLINK("https://en.uesp.net/wiki/Skyrim:Fort_Fellhammer","Fort Fellhammer")</f>
        <v>Fort Fellhammer</v>
      </c>
      <c r="B99" s="316" t="s">
        <v>2253</v>
      </c>
      <c r="C99" s="316" t="s">
        <v>954</v>
      </c>
      <c r="D99" s="63" t="s">
        <v>132</v>
      </c>
      <c r="E99" s="63" t="s">
        <v>132</v>
      </c>
      <c r="F99" s="63" t="s">
        <v>132</v>
      </c>
      <c r="G99" s="372"/>
    </row>
    <row r="100">
      <c r="A100" s="371" t="str">
        <f>HYPERLINK("https://en.uesp.net/wiki/Skyrim:Fort_Greenwall","Fort Greenwall")</f>
        <v>Fort Greenwall</v>
      </c>
      <c r="B100" s="316" t="s">
        <v>2241</v>
      </c>
      <c r="C100" s="316" t="s">
        <v>2225</v>
      </c>
      <c r="D100" s="63" t="s">
        <v>132</v>
      </c>
      <c r="E100" s="63" t="s">
        <v>132</v>
      </c>
      <c r="F100" s="316" t="s">
        <v>1524</v>
      </c>
      <c r="G100" s="373"/>
    </row>
    <row r="101">
      <c r="A101" s="371" t="str">
        <f>HYPERLINK("https://en.uesp.net/wiki/Skyrim:Fort_Greymoor","Fort Greymoor")</f>
        <v>Fort Greymoor</v>
      </c>
      <c r="B101" s="316" t="s">
        <v>2241</v>
      </c>
      <c r="C101" s="316" t="s">
        <v>993</v>
      </c>
      <c r="D101" s="63" t="s">
        <v>132</v>
      </c>
      <c r="E101" s="63" t="s">
        <v>132</v>
      </c>
      <c r="F101" s="316" t="s">
        <v>1524</v>
      </c>
      <c r="G101" s="373"/>
    </row>
    <row r="102">
      <c r="A102" s="371" t="str">
        <f>HYPERLINK("https://en.uesp.net/wiki/Skyrim:Fort_Hraggstad","Fort Hraggstad")</f>
        <v>Fort Hraggstad</v>
      </c>
      <c r="B102" s="316" t="s">
        <v>2241</v>
      </c>
      <c r="C102" s="316" t="s">
        <v>2243</v>
      </c>
      <c r="D102" s="63" t="s">
        <v>132</v>
      </c>
      <c r="E102" s="63" t="s">
        <v>132</v>
      </c>
      <c r="F102" s="316" t="s">
        <v>1524</v>
      </c>
      <c r="G102" s="373"/>
    </row>
    <row r="103">
      <c r="A103" s="371" t="str">
        <f>HYPERLINK("https://en.uesp.net/wiki/Skyrim:Fort_Kastav","Fort Kastav")</f>
        <v>Fort Kastav</v>
      </c>
      <c r="B103" s="316" t="s">
        <v>2241</v>
      </c>
      <c r="C103" s="316" t="s">
        <v>954</v>
      </c>
      <c r="D103" s="63" t="s">
        <v>132</v>
      </c>
      <c r="E103" s="63" t="s">
        <v>132</v>
      </c>
      <c r="F103" s="316" t="s">
        <v>1524</v>
      </c>
      <c r="G103" s="373"/>
    </row>
    <row r="104">
      <c r="A104" s="371" t="str">
        <f>HYPERLINK("https://en.uesp.net/wiki/Skyrim:Fort_Neugrad","Fort Neugrad")</f>
        <v>Fort Neugrad</v>
      </c>
      <c r="B104" s="316" t="s">
        <v>2241</v>
      </c>
      <c r="C104" s="316" t="s">
        <v>2228</v>
      </c>
      <c r="D104" s="63" t="s">
        <v>132</v>
      </c>
      <c r="E104" s="63" t="s">
        <v>132</v>
      </c>
      <c r="F104" s="316" t="s">
        <v>1524</v>
      </c>
      <c r="G104" s="373"/>
    </row>
    <row r="105">
      <c r="A105" s="371" t="str">
        <f>HYPERLINK("https://en.uesp.net/wiki/Skyrim:Fort_Snowhawk","Fort Snowhawk")</f>
        <v>Fort Snowhawk</v>
      </c>
      <c r="B105" s="316" t="s">
        <v>2241</v>
      </c>
      <c r="C105" s="316" t="s">
        <v>2224</v>
      </c>
      <c r="D105" s="63" t="s">
        <v>132</v>
      </c>
      <c r="E105" s="63" t="s">
        <v>132</v>
      </c>
      <c r="F105" s="316" t="s">
        <v>1524</v>
      </c>
      <c r="G105" s="373"/>
    </row>
    <row r="106">
      <c r="A106" s="371" t="str">
        <f>HYPERLINK("https://en.uesp.net/wiki/Skyrim:Fort_Sungard","Fort Sungard")</f>
        <v>Fort Sungard</v>
      </c>
      <c r="B106" s="316" t="s">
        <v>2241</v>
      </c>
      <c r="C106" s="316" t="s">
        <v>2235</v>
      </c>
      <c r="D106" s="63" t="s">
        <v>132</v>
      </c>
      <c r="E106" s="63" t="s">
        <v>132</v>
      </c>
      <c r="F106" s="316" t="s">
        <v>1524</v>
      </c>
      <c r="G106" s="373"/>
    </row>
    <row r="107">
      <c r="A107" s="371" t="str">
        <f>HYPERLINK("https://en.uesp.net/wiki/Skyrim:Four_Skull_Lookout","Four Skull Lookout")</f>
        <v>Four Skull Lookout</v>
      </c>
      <c r="B107" s="316" t="s">
        <v>2254</v>
      </c>
      <c r="C107" s="316" t="s">
        <v>2235</v>
      </c>
      <c r="D107" s="63" t="s">
        <v>132</v>
      </c>
      <c r="E107" s="63" t="s">
        <v>132</v>
      </c>
      <c r="F107" s="63" t="s">
        <v>132</v>
      </c>
      <c r="G107" s="372"/>
    </row>
    <row r="108">
      <c r="A108" s="371" t="str">
        <f>HYPERLINK("https://en.uesp.net/wiki/Skyrim:Froki%27s_Shack","Froki's Shack")</f>
        <v>Froki's Shack</v>
      </c>
      <c r="B108" s="316" t="s">
        <v>2223</v>
      </c>
      <c r="C108" s="316" t="s">
        <v>2225</v>
      </c>
      <c r="D108" s="63" t="s">
        <v>132</v>
      </c>
      <c r="E108" s="63" t="s">
        <v>132</v>
      </c>
      <c r="F108" s="316" t="s">
        <v>1524</v>
      </c>
      <c r="G108" s="373"/>
    </row>
    <row r="109">
      <c r="A109" s="371" t="str">
        <f>HYPERLINK("https://en.uesp.net/wiki/Skyrim:Frostflow_Lighthouse","Frostflow Lighthouse")</f>
        <v>Frostflow Lighthouse</v>
      </c>
      <c r="B109" s="316" t="s">
        <v>2255</v>
      </c>
      <c r="C109" s="316" t="s">
        <v>954</v>
      </c>
      <c r="D109" s="63" t="s">
        <v>132</v>
      </c>
      <c r="E109" s="63" t="s">
        <v>132</v>
      </c>
      <c r="F109" s="63" t="s">
        <v>132</v>
      </c>
      <c r="G109" s="372"/>
    </row>
    <row r="110">
      <c r="A110" s="371" t="str">
        <f>HYPERLINK("https://en.uesp.net/wiki/Skyrim:Frostmere_Crypt","Frostmere Crypt")</f>
        <v>Frostmere Crypt</v>
      </c>
      <c r="B110" s="316" t="s">
        <v>2231</v>
      </c>
      <c r="C110" s="316" t="s">
        <v>2230</v>
      </c>
      <c r="D110" s="63" t="s">
        <v>132</v>
      </c>
      <c r="E110" s="63" t="s">
        <v>132</v>
      </c>
      <c r="F110" s="63" t="s">
        <v>132</v>
      </c>
      <c r="G110" s="372"/>
    </row>
    <row r="111">
      <c r="A111" s="371" t="str">
        <f>HYPERLINK("https://en.uesp.net/wiki/Skyrim:Gallows_Rock","Gallows Rock")</f>
        <v>Gallows Rock</v>
      </c>
      <c r="B111" s="316" t="s">
        <v>2241</v>
      </c>
      <c r="C111" s="316" t="s">
        <v>2222</v>
      </c>
      <c r="D111" s="63" t="s">
        <v>132</v>
      </c>
      <c r="E111" s="63" t="s">
        <v>132</v>
      </c>
      <c r="F111" s="63" t="s">
        <v>132</v>
      </c>
      <c r="G111" s="372"/>
    </row>
    <row r="112">
      <c r="A112" s="371" t="str">
        <f>HYPERLINK("https://en.uesp.net/wiki/Skyrim:Geirmund%27s_Hall","Geirmund's Hall")</f>
        <v>Geirmund's Hall</v>
      </c>
      <c r="B112" s="316" t="s">
        <v>2231</v>
      </c>
      <c r="C112" s="316" t="s">
        <v>2225</v>
      </c>
      <c r="D112" s="63" t="s">
        <v>132</v>
      </c>
      <c r="E112" s="63" t="s">
        <v>132</v>
      </c>
      <c r="F112" s="63" t="s">
        <v>132</v>
      </c>
      <c r="G112" s="372"/>
    </row>
    <row r="113">
      <c r="A113" s="371" t="str">
        <f>HYPERLINK("https://en.uesp.net/wiki/Skyrim:Giant%27s_Grove","Giant's Grove")</f>
        <v>Giant's Grove</v>
      </c>
      <c r="B113" s="316" t="s">
        <v>2252</v>
      </c>
      <c r="C113" s="316" t="s">
        <v>2225</v>
      </c>
      <c r="D113" s="63" t="s">
        <v>132</v>
      </c>
      <c r="E113" s="63" t="s">
        <v>132</v>
      </c>
      <c r="F113" s="63" t="s">
        <v>132</v>
      </c>
      <c r="G113" s="372"/>
    </row>
    <row r="114">
      <c r="A114" s="371" t="str">
        <f>HYPERLINK("https://en.uesp.net/wiki/Skyrim:Gjukar%27s_Monument","Gjukar's Monument")</f>
        <v>Gjukar's Monument</v>
      </c>
      <c r="B114" s="316" t="s">
        <v>2234</v>
      </c>
      <c r="C114" s="316" t="s">
        <v>993</v>
      </c>
      <c r="D114" s="63" t="s">
        <v>132</v>
      </c>
      <c r="E114" s="63" t="s">
        <v>132</v>
      </c>
      <c r="F114" s="316" t="s">
        <v>1524</v>
      </c>
      <c r="G114" s="373"/>
    </row>
    <row r="115">
      <c r="A115" s="371" t="str">
        <f>HYPERLINK("https://en.uesp.net/wiki/Skyrim:Glenmoril_Coven","Glenmoril Coven")</f>
        <v>Glenmoril Coven</v>
      </c>
      <c r="B115" s="316" t="s">
        <v>2239</v>
      </c>
      <c r="C115" s="316" t="s">
        <v>2228</v>
      </c>
      <c r="D115" s="63" t="s">
        <v>132</v>
      </c>
      <c r="E115" s="63" t="s">
        <v>132</v>
      </c>
      <c r="F115" s="63" t="s">
        <v>132</v>
      </c>
      <c r="G115" s="372"/>
    </row>
    <row r="116">
      <c r="A116" s="371" t="str">
        <f>HYPERLINK("https://en.uesp.net/wiki/Skyrim:Gloombound_Mine","Gloombound Mine")</f>
        <v>Gloombound Mine</v>
      </c>
      <c r="B116" s="316" t="s">
        <v>2237</v>
      </c>
      <c r="C116" s="316" t="s">
        <v>2222</v>
      </c>
      <c r="D116" s="63" t="s">
        <v>132</v>
      </c>
      <c r="E116" s="63" t="s">
        <v>132</v>
      </c>
      <c r="F116" s="316" t="s">
        <v>1524</v>
      </c>
      <c r="G116" s="373"/>
    </row>
    <row r="117">
      <c r="A117" s="371" t="str">
        <f>HYPERLINK("https://en.uesp.net/wiki/Skyrim:Gloomreach","Gloomreach")</f>
        <v>Gloomreach</v>
      </c>
      <c r="B117" s="316" t="s">
        <v>2239</v>
      </c>
      <c r="C117" s="316" t="s">
        <v>2235</v>
      </c>
      <c r="D117" s="63" t="s">
        <v>132</v>
      </c>
      <c r="E117" s="63" t="s">
        <v>132</v>
      </c>
      <c r="F117" s="63" t="s">
        <v>132</v>
      </c>
      <c r="G117" s="372"/>
    </row>
    <row r="118">
      <c r="A118" s="371" t="str">
        <f>HYPERLINK("https://en.uesp.net/wiki/Skyrim:Goldenglow_Estate","Goldenglow Estate")</f>
        <v>Goldenglow Estate</v>
      </c>
      <c r="B118" s="316" t="s">
        <v>2238</v>
      </c>
      <c r="C118" s="316" t="s">
        <v>2225</v>
      </c>
      <c r="D118" s="63" t="s">
        <v>132</v>
      </c>
      <c r="E118" s="63" t="s">
        <v>132</v>
      </c>
      <c r="F118" s="316" t="s">
        <v>1524</v>
      </c>
      <c r="G118" s="373"/>
    </row>
    <row r="119">
      <c r="A119" s="371" t="str">
        <f>HYPERLINK("https://en.uesp.net/wiki/Skyrim:Graywinter_Watch","Graywinter Watch")</f>
        <v>Graywinter Watch</v>
      </c>
      <c r="B119" s="316" t="s">
        <v>2239</v>
      </c>
      <c r="C119" s="316" t="s">
        <v>993</v>
      </c>
      <c r="D119" s="63" t="s">
        <v>132</v>
      </c>
      <c r="E119" s="63" t="s">
        <v>132</v>
      </c>
      <c r="F119" s="63" t="s">
        <v>132</v>
      </c>
      <c r="G119" s="372"/>
    </row>
    <row r="120">
      <c r="A120" s="371" t="str">
        <f>HYPERLINK("https://en.uesp.net/wiki/Skyrim:Great_Lift_at_Alftand","Great Lift at Alftand")</f>
        <v>Great Lift at Alftand</v>
      </c>
      <c r="B120" s="316" t="s">
        <v>2226</v>
      </c>
      <c r="C120" s="316" t="s">
        <v>954</v>
      </c>
      <c r="D120" s="63" t="s">
        <v>132</v>
      </c>
      <c r="E120" s="63" t="s">
        <v>132</v>
      </c>
      <c r="F120" s="316" t="s">
        <v>1524</v>
      </c>
      <c r="G120" s="373"/>
    </row>
    <row r="121">
      <c r="A121" s="371" t="str">
        <f>HYPERLINK("https://en.uesp.net/wiki/Skyrim:Great_Lift_at_Mzinchaleft","Great Lift at Mzinchaleft")</f>
        <v>Great Lift at Mzinchaleft</v>
      </c>
      <c r="B121" s="316" t="s">
        <v>2226</v>
      </c>
      <c r="C121" s="316" t="s">
        <v>2224</v>
      </c>
      <c r="D121" s="63" t="s">
        <v>132</v>
      </c>
      <c r="E121" s="63" t="s">
        <v>132</v>
      </c>
      <c r="F121" s="316" t="s">
        <v>1524</v>
      </c>
      <c r="G121" s="373"/>
    </row>
    <row r="122">
      <c r="A122" s="371" t="str">
        <f>HYPERLINK("https://en.uesp.net/wiki/Skyrim:Great_Lift_at_Raldbthar","Great Lift at Raldbthar")</f>
        <v>Great Lift at Raldbthar</v>
      </c>
      <c r="B122" s="316" t="s">
        <v>2226</v>
      </c>
      <c r="C122" s="316" t="s">
        <v>2230</v>
      </c>
      <c r="D122" s="63" t="s">
        <v>132</v>
      </c>
      <c r="E122" s="63" t="s">
        <v>132</v>
      </c>
      <c r="F122" s="316" t="s">
        <v>1524</v>
      </c>
      <c r="G122" s="373"/>
    </row>
    <row r="123">
      <c r="A123" s="371" t="str">
        <f>HYPERLINK("https://en.uesp.net/wiki/Skyrim:Greenspring_Hollow","Greenspring Hollow")</f>
        <v>Greenspring Hollow</v>
      </c>
      <c r="B123" s="316" t="s">
        <v>2252</v>
      </c>
      <c r="C123" s="316" t="s">
        <v>993</v>
      </c>
      <c r="D123" s="63" t="s">
        <v>132</v>
      </c>
      <c r="E123" s="63" t="s">
        <v>132</v>
      </c>
      <c r="F123" s="63" t="s">
        <v>132</v>
      </c>
      <c r="G123" s="372"/>
    </row>
    <row r="124">
      <c r="A124" s="371" t="str">
        <f>HYPERLINK("https://en.uesp.net/wiki/Skyrim:Greywater_Grotto","Greywater Grotto")</f>
        <v>Greywater Grotto</v>
      </c>
      <c r="B124" s="316" t="s">
        <v>2239</v>
      </c>
      <c r="C124" s="316" t="s">
        <v>2228</v>
      </c>
      <c r="D124" s="63" t="s">
        <v>132</v>
      </c>
      <c r="E124" s="63" t="s">
        <v>132</v>
      </c>
      <c r="F124" s="63" t="s">
        <v>132</v>
      </c>
      <c r="G124" s="372"/>
    </row>
    <row r="125">
      <c r="A125" s="371" t="str">
        <f>HYPERLINK("https://en.uesp.net/wiki/Skyrim:Guldun_Rock","Guldun Rock")</f>
        <v>Guldun Rock</v>
      </c>
      <c r="B125" s="316" t="s">
        <v>2240</v>
      </c>
      <c r="C125" s="316" t="s">
        <v>993</v>
      </c>
      <c r="D125" s="63" t="s">
        <v>132</v>
      </c>
      <c r="E125" s="63" t="s">
        <v>132</v>
      </c>
      <c r="F125" s="63" t="s">
        <v>132</v>
      </c>
      <c r="G125" s="372"/>
    </row>
    <row r="126">
      <c r="A126" s="371" t="str">
        <f>HYPERLINK("https://en.uesp.net/wiki/Skyrim:Haemar%27s_Shame","Haemar's Shame")</f>
        <v>Haemar's Shame</v>
      </c>
      <c r="B126" s="316" t="s">
        <v>2239</v>
      </c>
      <c r="C126" s="316" t="s">
        <v>2228</v>
      </c>
      <c r="D126" s="63" t="s">
        <v>132</v>
      </c>
      <c r="E126" s="63" t="s">
        <v>132</v>
      </c>
      <c r="F126" s="63" t="s">
        <v>132</v>
      </c>
      <c r="G126" s="372"/>
    </row>
    <row r="127">
      <c r="A127" s="371" t="str">
        <f>HYPERLINK("https://en.uesp.net/wiki/Skyrim:Hag_Rock_Redoubt","Hag Rock Redoubt")</f>
        <v>Hag Rock Redoubt</v>
      </c>
      <c r="B127" s="316" t="s">
        <v>2231</v>
      </c>
      <c r="C127" s="316" t="s">
        <v>2235</v>
      </c>
      <c r="D127" s="63" t="s">
        <v>132</v>
      </c>
      <c r="E127" s="63" t="s">
        <v>132</v>
      </c>
      <c r="F127" s="63" t="s">
        <v>132</v>
      </c>
      <c r="G127" s="372"/>
    </row>
    <row r="128">
      <c r="A128" s="371" t="str">
        <f>HYPERLINK("https://en.uesp.net/wiki/Skyrim:Hag%27s_End","Hag's End")</f>
        <v>Hag's End</v>
      </c>
      <c r="B128" s="316" t="s">
        <v>2231</v>
      </c>
      <c r="C128" s="316" t="s">
        <v>2235</v>
      </c>
      <c r="D128" s="63" t="s">
        <v>132</v>
      </c>
      <c r="E128" s="63" t="s">
        <v>132</v>
      </c>
      <c r="F128" s="63" t="s">
        <v>132</v>
      </c>
      <c r="G128" s="372"/>
    </row>
    <row r="129">
      <c r="A129" s="371" t="str">
        <f>HYPERLINK("https://en.uesp.net/wiki/Skyrim:Half-Moon_Mill","Half-Moon Mill")</f>
        <v>Half-Moon Mill</v>
      </c>
      <c r="B129" s="316" t="s">
        <v>2229</v>
      </c>
      <c r="C129" s="316" t="s">
        <v>2228</v>
      </c>
      <c r="D129" s="63" t="s">
        <v>132</v>
      </c>
      <c r="E129" s="63" t="s">
        <v>132</v>
      </c>
      <c r="F129" s="316" t="s">
        <v>1524</v>
      </c>
      <c r="G129" s="373"/>
    </row>
    <row r="130">
      <c r="A130" s="371" t="str">
        <f>HYPERLINK("https://en.uesp.net/wiki/Skyrim:Hall_of_the_Vigilant","Hall of the Vigilant*")</f>
        <v>Hall of the Vigilant*</v>
      </c>
      <c r="B130" s="316" t="s">
        <v>2223</v>
      </c>
      <c r="C130" s="316" t="s">
        <v>2230</v>
      </c>
      <c r="D130" s="63" t="s">
        <v>132</v>
      </c>
      <c r="E130" s="63" t="s">
        <v>132</v>
      </c>
      <c r="F130" s="316" t="s">
        <v>2256</v>
      </c>
      <c r="G130" s="373"/>
    </row>
    <row r="131">
      <c r="A131" s="371" t="str">
        <f>HYPERLINK("https://en.uesp.net/wiki/Skyrim:Halldir%27s_Cairn","Halldir's Cairn")</f>
        <v>Halldir's Cairn</v>
      </c>
      <c r="B131" s="316" t="s">
        <v>2239</v>
      </c>
      <c r="C131" s="316" t="s">
        <v>2228</v>
      </c>
      <c r="D131" s="63" t="s">
        <v>132</v>
      </c>
      <c r="E131" s="63" t="s">
        <v>132</v>
      </c>
      <c r="F131" s="63" t="s">
        <v>132</v>
      </c>
      <c r="G131" s="372"/>
    </row>
    <row r="132">
      <c r="A132" s="371" t="str">
        <f>HYPERLINK("https://en.uesp.net/wiki/Skyrim:Halted_Stream_Camp","Halted Stream Camp")</f>
        <v>Halted Stream Camp</v>
      </c>
      <c r="B132" s="316" t="s">
        <v>2257</v>
      </c>
      <c r="C132" s="316" t="s">
        <v>993</v>
      </c>
      <c r="D132" s="63" t="s">
        <v>132</v>
      </c>
      <c r="E132" s="63" t="s">
        <v>132</v>
      </c>
      <c r="F132" s="63" t="s">
        <v>132</v>
      </c>
      <c r="G132" s="372"/>
    </row>
    <row r="133">
      <c r="A133" s="371" t="str">
        <f>HYPERLINK("https://en.uesp.net/wiki/Skyrim:Hamvir%27s_Rest","Hamvir's Rest")</f>
        <v>Hamvir's Rest</v>
      </c>
      <c r="B133" s="316" t="s">
        <v>2254</v>
      </c>
      <c r="C133" s="316" t="s">
        <v>993</v>
      </c>
      <c r="D133" s="63" t="s">
        <v>132</v>
      </c>
      <c r="E133" s="63" t="s">
        <v>132</v>
      </c>
      <c r="F133" s="63" t="s">
        <v>132</v>
      </c>
      <c r="G133" s="372"/>
    </row>
    <row r="134">
      <c r="A134" s="371" t="str">
        <f>HYPERLINK("https://en.uesp.net/wiki/Skyrim:Harmugstahl","Harmugstahl")</f>
        <v>Harmugstahl</v>
      </c>
      <c r="B134" s="316" t="s">
        <v>2241</v>
      </c>
      <c r="C134" s="316" t="s">
        <v>2235</v>
      </c>
      <c r="D134" s="63" t="s">
        <v>132</v>
      </c>
      <c r="E134" s="63" t="s">
        <v>132</v>
      </c>
      <c r="F134" s="63" t="s">
        <v>132</v>
      </c>
      <c r="G134" s="372"/>
    </row>
    <row r="135">
      <c r="A135" s="371" t="str">
        <f>HYPERLINK("https://en.uesp.net/wiki/Skyrim:Heartwood_Mill","Heartwood Mill")</f>
        <v>Heartwood Mill</v>
      </c>
      <c r="B135" s="316" t="s">
        <v>2229</v>
      </c>
      <c r="C135" s="316" t="s">
        <v>2225</v>
      </c>
      <c r="D135" s="63" t="s">
        <v>132</v>
      </c>
      <c r="E135" s="63" t="s">
        <v>132</v>
      </c>
      <c r="F135" s="316" t="s">
        <v>1524</v>
      </c>
      <c r="G135" s="373"/>
    </row>
    <row r="136">
      <c r="A136" s="371" t="str">
        <f>HYPERLINK("https://en.uesp.net/wiki/Skyrim:Hela%27s_Folly","Hela's Folly")</f>
        <v>Hela's Folly</v>
      </c>
      <c r="B136" s="316" t="s">
        <v>2246</v>
      </c>
      <c r="C136" s="316" t="s">
        <v>954</v>
      </c>
      <c r="D136" s="63" t="s">
        <v>132</v>
      </c>
      <c r="E136" s="63" t="s">
        <v>132</v>
      </c>
      <c r="F136" s="316" t="s">
        <v>1524</v>
      </c>
      <c r="G136" s="373"/>
    </row>
    <row r="137">
      <c r="A137" s="371" t="str">
        <f>HYPERLINK("https://en.uesp.net/wiki/Skyrim:Helgen","Helgen")</f>
        <v>Helgen</v>
      </c>
      <c r="B137" s="316" t="s">
        <v>2248</v>
      </c>
      <c r="C137" s="316" t="s">
        <v>2228</v>
      </c>
      <c r="D137" s="63" t="s">
        <v>132</v>
      </c>
      <c r="E137" s="63" t="s">
        <v>132</v>
      </c>
      <c r="F137" s="316" t="s">
        <v>1524</v>
      </c>
      <c r="G137" s="373"/>
    </row>
    <row r="138">
      <c r="A138" s="371" t="str">
        <f>HYPERLINK("https://en.uesp.net/wiki/Skyrim:High_Gate_Ruins","High Gate Ruins")</f>
        <v>High Gate Ruins</v>
      </c>
      <c r="B138" s="316" t="s">
        <v>2231</v>
      </c>
      <c r="C138" s="316" t="s">
        <v>2230</v>
      </c>
      <c r="D138" s="63" t="s">
        <v>132</v>
      </c>
      <c r="E138" s="63" t="s">
        <v>132</v>
      </c>
      <c r="F138" s="63" t="s">
        <v>132</v>
      </c>
      <c r="G138" s="372"/>
    </row>
    <row r="139">
      <c r="A139" s="371" t="str">
        <f>HYPERLINK("https://en.uesp.net/wiki/Skyrim:High_Hrothgar","High Hrothgar")</f>
        <v>High Hrothgar</v>
      </c>
      <c r="B139" s="316" t="s">
        <v>2258</v>
      </c>
      <c r="C139" s="316" t="s">
        <v>993</v>
      </c>
      <c r="D139" s="63" t="s">
        <v>132</v>
      </c>
      <c r="E139" s="63" t="s">
        <v>132</v>
      </c>
      <c r="F139" s="316" t="s">
        <v>1524</v>
      </c>
      <c r="G139" s="373"/>
    </row>
    <row r="140">
      <c r="A140" s="371" t="str">
        <f>HYPERLINK("https://en.uesp.net/wiki/Skyrim:Hillgrund%27s_Tomb","Hillgrund's Tomb")</f>
        <v>Hillgrund's Tomb</v>
      </c>
      <c r="B140" s="316" t="s">
        <v>2231</v>
      </c>
      <c r="C140" s="316" t="s">
        <v>2230</v>
      </c>
      <c r="D140" s="63" t="s">
        <v>132</v>
      </c>
      <c r="E140" s="63" t="s">
        <v>132</v>
      </c>
      <c r="F140" s="63" t="s">
        <v>132</v>
      </c>
      <c r="G140" s="372"/>
    </row>
    <row r="141">
      <c r="A141" s="371" t="str">
        <f>HYPERLINK("https://en.uesp.net/wiki/Skyrim:Hlaalu_Farm","Hlaalu Farm")</f>
        <v>Hlaalu Farm</v>
      </c>
      <c r="B141" s="316" t="s">
        <v>2259</v>
      </c>
      <c r="C141" s="316" t="s">
        <v>2222</v>
      </c>
      <c r="D141" s="63" t="s">
        <v>132</v>
      </c>
      <c r="E141" s="63" t="s">
        <v>132</v>
      </c>
      <c r="F141" s="316" t="s">
        <v>1524</v>
      </c>
      <c r="G141" s="373"/>
    </row>
    <row r="142">
      <c r="A142" s="371" t="str">
        <f>HYPERLINK("https://en.uesp.net/wiki/Skyrim:Hob%27s_Fall_Cave","Hob's Fall Cave")</f>
        <v>Hob's Fall Cave</v>
      </c>
      <c r="B142" s="316" t="s">
        <v>2239</v>
      </c>
      <c r="C142" s="316" t="s">
        <v>954</v>
      </c>
      <c r="D142" s="63" t="s">
        <v>132</v>
      </c>
      <c r="E142" s="63" t="s">
        <v>132</v>
      </c>
      <c r="F142" s="63" t="s">
        <v>132</v>
      </c>
      <c r="G142" s="372"/>
    </row>
    <row r="143">
      <c r="A143" s="371" t="str">
        <f>HYPERLINK("https://en.uesp.net/wiki/Skyrim:Hollyfrost_Farm","Hollyfrost Farm")</f>
        <v>Hollyfrost Farm</v>
      </c>
      <c r="B143" s="316" t="s">
        <v>2259</v>
      </c>
      <c r="C143" s="316" t="s">
        <v>2222</v>
      </c>
      <c r="D143" s="63" t="s">
        <v>132</v>
      </c>
      <c r="E143" s="63" t="s">
        <v>132</v>
      </c>
      <c r="F143" s="316" t="s">
        <v>1524</v>
      </c>
      <c r="G143" s="373"/>
    </row>
    <row r="144">
      <c r="A144" s="371" t="str">
        <f>HYPERLINK("https://en.uesp.net/wiki/Skyrim:Honeystrand_Cave","Honeystrand Cave")</f>
        <v>Honeystrand Cave</v>
      </c>
      <c r="B144" s="316" t="s">
        <v>2239</v>
      </c>
      <c r="C144" s="316" t="s">
        <v>2225</v>
      </c>
      <c r="D144" s="63" t="s">
        <v>132</v>
      </c>
      <c r="E144" s="63" t="s">
        <v>132</v>
      </c>
      <c r="F144" s="63" t="s">
        <v>132</v>
      </c>
      <c r="G144" s="372"/>
    </row>
    <row r="145">
      <c r="A145" s="371" t="str">
        <f>HYPERLINK("https://en.uesp.net/wiki/Skyrim:Honningbrew_Meadery","Honningbrew Meadery")</f>
        <v>Honningbrew Meadery</v>
      </c>
      <c r="B145" s="316" t="s">
        <v>2238</v>
      </c>
      <c r="C145" s="316" t="s">
        <v>993</v>
      </c>
      <c r="D145" s="63" t="s">
        <v>132</v>
      </c>
      <c r="E145" s="63" t="s">
        <v>132</v>
      </c>
      <c r="F145" s="316" t="s">
        <v>1524</v>
      </c>
      <c r="G145" s="373"/>
    </row>
    <row r="146">
      <c r="A146" s="375" t="str">
        <f>HYPERLINK("https://en.uesp.net/wiki/Skyrim:Hunter's_Rest","Hunter's Rest")</f>
        <v>Hunter's Rest</v>
      </c>
      <c r="B146" s="316" t="s">
        <v>2223</v>
      </c>
      <c r="C146" s="316" t="s">
        <v>2228</v>
      </c>
      <c r="D146" s="63" t="s">
        <v>132</v>
      </c>
      <c r="E146" s="63" t="s">
        <v>132</v>
      </c>
      <c r="F146" s="316" t="s">
        <v>1524</v>
      </c>
      <c r="G146" s="373"/>
    </row>
    <row r="147">
      <c r="A147" s="371" t="str">
        <f>HYPERLINK("https://en.uesp.net/wiki/Skyrim:Ilinalta%27s_Deep","Ilinalta's Deep")</f>
        <v>Ilinalta's Deep</v>
      </c>
      <c r="B147" s="316" t="s">
        <v>2241</v>
      </c>
      <c r="C147" s="316" t="s">
        <v>2228</v>
      </c>
      <c r="D147" s="63" t="s">
        <v>132</v>
      </c>
      <c r="E147" s="63" t="s">
        <v>132</v>
      </c>
      <c r="F147" s="63" t="s">
        <v>132</v>
      </c>
      <c r="G147" s="372"/>
    </row>
    <row r="148">
      <c r="A148" s="371" t="str">
        <f>HYPERLINK("https://en.uesp.net/wiki/Skyrim:Irkngthand","Irkngthand")</f>
        <v>Irkngthand</v>
      </c>
      <c r="B148" s="316" t="s">
        <v>2226</v>
      </c>
      <c r="C148" s="316" t="s">
        <v>2230</v>
      </c>
      <c r="D148" s="63" t="s">
        <v>132</v>
      </c>
      <c r="E148" s="63" t="s">
        <v>132</v>
      </c>
      <c r="F148" s="316" t="s">
        <v>1524</v>
      </c>
      <c r="G148" s="373"/>
    </row>
    <row r="149">
      <c r="A149" s="371" t="str">
        <f>HYPERLINK("https://en.uesp.net/wiki/Skyrim:Ironback_Hideout","Ironback Hideout")</f>
        <v>Ironback Hideout</v>
      </c>
      <c r="B149" s="316" t="s">
        <v>2223</v>
      </c>
      <c r="C149" s="316" t="s">
        <v>2243</v>
      </c>
      <c r="D149" s="63" t="s">
        <v>132</v>
      </c>
      <c r="E149" s="63" t="s">
        <v>132</v>
      </c>
      <c r="F149" s="63" t="s">
        <v>132</v>
      </c>
      <c r="G149" s="372"/>
    </row>
    <row r="150">
      <c r="A150" s="371" t="str">
        <f>HYPERLINK("https://en.uesp.net/wiki/Skyrim:Ironbind_Barrow","Ironbind Barrow")</f>
        <v>Ironbind Barrow</v>
      </c>
      <c r="B150" s="316" t="s">
        <v>2231</v>
      </c>
      <c r="C150" s="316" t="s">
        <v>954</v>
      </c>
      <c r="D150" s="63" t="s">
        <v>132</v>
      </c>
      <c r="E150" s="63" t="s">
        <v>132</v>
      </c>
      <c r="F150" s="63" t="s">
        <v>132</v>
      </c>
      <c r="G150" s="372"/>
    </row>
    <row r="151">
      <c r="A151" s="371" t="str">
        <f>HYPERLINK("https://en.uesp.net/wiki/Skyrim:Ivarstead","Ivarstead")</f>
        <v>Ivarstead</v>
      </c>
      <c r="B151" s="316" t="s">
        <v>2248</v>
      </c>
      <c r="C151" s="316" t="s">
        <v>2225</v>
      </c>
      <c r="D151" s="63" t="s">
        <v>132</v>
      </c>
      <c r="E151" s="63" t="s">
        <v>132</v>
      </c>
      <c r="F151" s="316" t="s">
        <v>1524</v>
      </c>
      <c r="G151" s="373"/>
    </row>
    <row r="152">
      <c r="A152" s="371" t="str">
        <f>HYPERLINK("https://en.uesp.net/wiki/Skyrim:Japhet%27s_Folly","Japhet's Folly*")</f>
        <v>Japhet's Folly*</v>
      </c>
      <c r="B152" s="316" t="s">
        <v>2238</v>
      </c>
      <c r="C152" s="316" t="s">
        <v>954</v>
      </c>
      <c r="D152" s="316" t="s">
        <v>2256</v>
      </c>
      <c r="E152" s="63" t="s">
        <v>132</v>
      </c>
      <c r="F152" s="316" t="s">
        <v>1524</v>
      </c>
      <c r="G152" s="373"/>
    </row>
    <row r="153">
      <c r="A153" s="371" t="str">
        <f>HYPERLINK("https://en.uesp.net/wiki/Skyrim:Journeyman%27s_Nook","Journeyman's Nook")</f>
        <v>Journeyman's Nook</v>
      </c>
      <c r="B153" s="316" t="s">
        <v>2254</v>
      </c>
      <c r="C153" s="316" t="s">
        <v>954</v>
      </c>
      <c r="D153" s="63" t="s">
        <v>132</v>
      </c>
      <c r="E153" s="63" t="s">
        <v>132</v>
      </c>
      <c r="F153" s="63" t="s">
        <v>132</v>
      </c>
      <c r="G153" s="372"/>
    </row>
    <row r="154">
      <c r="A154" s="371" t="str">
        <f>HYPERLINK("https://en.uesp.net/wiki/Skyrim:Kagrenzel","Kagrenzel")</f>
        <v>Kagrenzel</v>
      </c>
      <c r="B154" s="316" t="s">
        <v>2226</v>
      </c>
      <c r="C154" s="316" t="s">
        <v>2222</v>
      </c>
      <c r="D154" s="63" t="s">
        <v>132</v>
      </c>
      <c r="E154" s="63" t="s">
        <v>132</v>
      </c>
      <c r="F154" s="63" t="s">
        <v>132</v>
      </c>
      <c r="G154" s="372"/>
    </row>
    <row r="155">
      <c r="A155" s="371" t="str">
        <f>HYPERLINK("https://en.uesp.net/wiki/Skyrim:Karthspire","Karthspire")</f>
        <v>Karthspire</v>
      </c>
      <c r="B155" s="316" t="s">
        <v>2249</v>
      </c>
      <c r="C155" s="316" t="s">
        <v>2235</v>
      </c>
      <c r="D155" s="63" t="s">
        <v>132</v>
      </c>
      <c r="E155" s="63" t="s">
        <v>132</v>
      </c>
      <c r="F155" s="316" t="s">
        <v>1524</v>
      </c>
      <c r="G155" s="373"/>
    </row>
    <row r="156">
      <c r="A156" s="371" t="str">
        <f>HYPERLINK("https://en.uesp.net/wiki/Skyrim:Karthspire_Camp","Karthspire Camp")</f>
        <v>Karthspire Camp</v>
      </c>
      <c r="B156" s="316" t="s">
        <v>2249</v>
      </c>
      <c r="C156" s="316" t="s">
        <v>2235</v>
      </c>
      <c r="D156" s="63" t="s">
        <v>132</v>
      </c>
      <c r="E156" s="63" t="s">
        <v>132</v>
      </c>
      <c r="F156" s="316" t="s">
        <v>1524</v>
      </c>
      <c r="G156" s="373"/>
    </row>
    <row r="157">
      <c r="A157" s="371" t="str">
        <f>HYPERLINK("https://en.uesp.net/wiki/Skyrim:Karthwasten","Karthwasten")</f>
        <v>Karthwasten</v>
      </c>
      <c r="B157" s="316" t="s">
        <v>2248</v>
      </c>
      <c r="C157" s="316" t="s">
        <v>2235</v>
      </c>
      <c r="D157" s="63" t="s">
        <v>132</v>
      </c>
      <c r="E157" s="63" t="s">
        <v>132</v>
      </c>
      <c r="F157" s="316" t="s">
        <v>1524</v>
      </c>
      <c r="G157" s="373"/>
    </row>
    <row r="158">
      <c r="A158" s="371" t="str">
        <f>HYPERLINK("https://en.uesp.net/wiki/Skyrim:Katla%27s_Farm","Katla's Farm")</f>
        <v>Katla's Farm</v>
      </c>
      <c r="B158" s="316" t="s">
        <v>2259</v>
      </c>
      <c r="C158" s="316" t="s">
        <v>2243</v>
      </c>
      <c r="D158" s="63" t="s">
        <v>132</v>
      </c>
      <c r="E158" s="63" t="s">
        <v>132</v>
      </c>
      <c r="F158" s="316" t="s">
        <v>1524</v>
      </c>
      <c r="G158" s="373"/>
    </row>
    <row r="159">
      <c r="A159" s="371" t="str">
        <f>HYPERLINK("https://en.uesp.net/wiki/Skyrim:Kjenstag_Ruins","Kjenstag Ruins")</f>
        <v>Kjenstag Ruins</v>
      </c>
      <c r="B159" s="316" t="s">
        <v>2254</v>
      </c>
      <c r="C159" s="316" t="s">
        <v>2224</v>
      </c>
      <c r="D159" s="63" t="s">
        <v>132</v>
      </c>
      <c r="E159" s="63" t="s">
        <v>132</v>
      </c>
      <c r="F159" s="316" t="s">
        <v>1524</v>
      </c>
      <c r="G159" s="373"/>
    </row>
    <row r="160">
      <c r="A160" s="371" t="str">
        <f>HYPERLINK("https://en.uesp.net/wiki/Skyrim:Knifepoint_Ridge","Knifepoint Ridge")</f>
        <v>Knifepoint Ridge</v>
      </c>
      <c r="B160" s="316" t="s">
        <v>2249</v>
      </c>
      <c r="C160" s="316" t="s">
        <v>2228</v>
      </c>
      <c r="D160" s="63" t="s">
        <v>132</v>
      </c>
      <c r="E160" s="63" t="s">
        <v>132</v>
      </c>
      <c r="F160" s="63" t="s">
        <v>132</v>
      </c>
      <c r="G160" s="372"/>
    </row>
    <row r="161">
      <c r="A161" s="371" t="str">
        <f>HYPERLINK("https://en.uesp.net/wiki/Skyrim:Kolskeggr_Mine","Kolskeggr Mine")</f>
        <v>Kolskeggr Mine</v>
      </c>
      <c r="B161" s="316" t="s">
        <v>2237</v>
      </c>
      <c r="C161" s="316" t="s">
        <v>2235</v>
      </c>
      <c r="D161" s="63" t="s">
        <v>132</v>
      </c>
      <c r="E161" s="63" t="s">
        <v>132</v>
      </c>
      <c r="F161" s="316" t="s">
        <v>1524</v>
      </c>
      <c r="G161" s="373"/>
    </row>
    <row r="162">
      <c r="A162" s="371" t="str">
        <f>HYPERLINK("https://en.uesp.net/wiki/Skyrim:Korvanjund","Korvanjund")</f>
        <v>Korvanjund</v>
      </c>
      <c r="B162" s="316" t="s">
        <v>2231</v>
      </c>
      <c r="C162" s="316" t="s">
        <v>2230</v>
      </c>
      <c r="D162" s="63" t="s">
        <v>132</v>
      </c>
      <c r="E162" s="63" t="s">
        <v>132</v>
      </c>
      <c r="F162" s="316" t="s">
        <v>1524</v>
      </c>
      <c r="G162" s="373"/>
    </row>
    <row r="163">
      <c r="A163" s="371" t="str">
        <f>HYPERLINK("https://en.uesp.net/wiki/Skyrim:Kynesgrove","Kynesgrove")</f>
        <v>Kynesgrove</v>
      </c>
      <c r="B163" s="316" t="s">
        <v>2238</v>
      </c>
      <c r="C163" s="316" t="s">
        <v>2222</v>
      </c>
      <c r="D163" s="63" t="s">
        <v>132</v>
      </c>
      <c r="E163" s="63" t="s">
        <v>132</v>
      </c>
      <c r="F163" s="316" t="s">
        <v>1524</v>
      </c>
      <c r="G163" s="373"/>
    </row>
    <row r="164">
      <c r="A164" s="371" t="str">
        <f>HYPERLINK("https://en.uesp.net/wiki/Skyrim:Labyrinthian","Labyrinthian")</f>
        <v>Labyrinthian</v>
      </c>
      <c r="B164" s="316" t="s">
        <v>2231</v>
      </c>
      <c r="C164" s="316" t="s">
        <v>2224</v>
      </c>
      <c r="D164" s="63" t="s">
        <v>132</v>
      </c>
      <c r="E164" s="63" t="s">
        <v>132</v>
      </c>
      <c r="F164" s="63" t="s">
        <v>132</v>
      </c>
      <c r="G164" s="372"/>
    </row>
    <row r="165">
      <c r="A165" s="371" t="str">
        <f>HYPERLINK("https://en.uesp.net/wiki/Skyrim:Largashbur","Largashbur")</f>
        <v>Largashbur</v>
      </c>
      <c r="B165" s="316" t="s">
        <v>2250</v>
      </c>
      <c r="C165" s="316" t="s">
        <v>2225</v>
      </c>
      <c r="D165" s="63" t="s">
        <v>132</v>
      </c>
      <c r="E165" s="63" t="s">
        <v>132</v>
      </c>
      <c r="F165" s="316" t="s">
        <v>1524</v>
      </c>
      <c r="G165" s="373"/>
    </row>
    <row r="166">
      <c r="A166" s="371" t="str">
        <f>HYPERLINK("https://en.uesp.net/wiki/Skyrim:Left_Hand_Mine","Left Hand Mine")</f>
        <v>Left Hand Mine</v>
      </c>
      <c r="B166" s="316" t="s">
        <v>2237</v>
      </c>
      <c r="C166" s="316" t="s">
        <v>2235</v>
      </c>
      <c r="D166" s="63" t="s">
        <v>132</v>
      </c>
      <c r="E166" s="63" t="s">
        <v>132</v>
      </c>
      <c r="F166" s="316" t="s">
        <v>1524</v>
      </c>
      <c r="G166" s="373"/>
    </row>
    <row r="167">
      <c r="A167" s="371" t="str">
        <f>HYPERLINK("https://en.uesp.net/wiki/Skyrim:Liar%27s_Retreat","Liar's Retreat")</f>
        <v>Liar's Retreat</v>
      </c>
      <c r="B167" s="316" t="s">
        <v>2239</v>
      </c>
      <c r="C167" s="316" t="s">
        <v>2235</v>
      </c>
      <c r="D167" s="63" t="s">
        <v>132</v>
      </c>
      <c r="E167" s="63" t="s">
        <v>132</v>
      </c>
      <c r="F167" s="63" t="s">
        <v>132</v>
      </c>
      <c r="G167" s="372"/>
    </row>
    <row r="168">
      <c r="A168" s="371" t="str">
        <f>HYPERLINK("https://en.uesp.net/wiki/Skyrim:Loreius_Farm","Loreius Farm")</f>
        <v>Loreius Farm</v>
      </c>
      <c r="B168" s="316" t="s">
        <v>2236</v>
      </c>
      <c r="C168" s="316" t="s">
        <v>2230</v>
      </c>
      <c r="D168" s="63" t="s">
        <v>132</v>
      </c>
      <c r="E168" s="63" t="s">
        <v>132</v>
      </c>
      <c r="F168" s="316" t="s">
        <v>1524</v>
      </c>
      <c r="G168" s="373"/>
    </row>
    <row r="169">
      <c r="A169" s="371" t="str">
        <f>HYPERLINK("https://en.uesp.net/wiki/Skyrim:Lost_Echo_Cave","Lost Echo Cave*")</f>
        <v>Lost Echo Cave*</v>
      </c>
      <c r="B169" s="316" t="s">
        <v>2239</v>
      </c>
      <c r="C169" s="316" t="s">
        <v>2260</v>
      </c>
      <c r="D169" s="63" t="s">
        <v>132</v>
      </c>
      <c r="E169" s="63" t="s">
        <v>132</v>
      </c>
      <c r="F169" s="63" t="s">
        <v>132</v>
      </c>
      <c r="G169" s="372"/>
    </row>
    <row r="170">
      <c r="A170" s="371" t="str">
        <f>HYPERLINK("https://en.uesp.net/wiki/Skyrim:Lost_Knife_Hideout","Lost Knife Hideout")</f>
        <v>Lost Knife Hideout</v>
      </c>
      <c r="B170" s="316" t="s">
        <v>2239</v>
      </c>
      <c r="C170" s="316" t="s">
        <v>2222</v>
      </c>
      <c r="D170" s="63" t="s">
        <v>132</v>
      </c>
      <c r="E170" s="63" t="s">
        <v>132</v>
      </c>
      <c r="F170" s="63" t="s">
        <v>132</v>
      </c>
      <c r="G170" s="372"/>
    </row>
    <row r="171">
      <c r="A171" s="371" t="str">
        <f>HYPERLINK("https://en.uesp.net/wiki/Skyrim:Lost_Prospect_Mine","Lost Prospect Mine")</f>
        <v>Lost Prospect Mine</v>
      </c>
      <c r="B171" s="316" t="s">
        <v>2237</v>
      </c>
      <c r="C171" s="316" t="s">
        <v>2225</v>
      </c>
      <c r="D171" s="63" t="s">
        <v>132</v>
      </c>
      <c r="E171" s="63" t="s">
        <v>132</v>
      </c>
      <c r="F171" s="316" t="s">
        <v>1524</v>
      </c>
      <c r="G171" s="373"/>
    </row>
    <row r="172">
      <c r="A172" s="371" t="str">
        <f>HYPERLINK("https://en.uesp.net/wiki/Skyrim:Lost_Tongue_Overlook","Lost Tongue Overlook")</f>
        <v>Lost Tongue Overlook</v>
      </c>
      <c r="B172" s="316" t="s">
        <v>2227</v>
      </c>
      <c r="C172" s="316" t="s">
        <v>2225</v>
      </c>
      <c r="D172" s="63" t="s">
        <v>132</v>
      </c>
      <c r="E172" s="63" t="s">
        <v>132</v>
      </c>
      <c r="F172" s="63" t="s">
        <v>132</v>
      </c>
      <c r="G172" s="372"/>
    </row>
    <row r="173">
      <c r="A173" s="371" t="str">
        <f>HYPERLINK("https://en.uesp.net/wiki/Skyrim:Lost_Valkygg","Lost Valkygg*")</f>
        <v>Lost Valkygg*</v>
      </c>
      <c r="B173" s="316" t="s">
        <v>2254</v>
      </c>
      <c r="C173" s="316" t="s">
        <v>2224</v>
      </c>
      <c r="D173" s="63" t="s">
        <v>132</v>
      </c>
      <c r="E173" s="63" t="s">
        <v>132</v>
      </c>
      <c r="F173" s="316" t="s">
        <v>2256</v>
      </c>
      <c r="G173" s="373"/>
    </row>
    <row r="174">
      <c r="A174" s="371" t="str">
        <f>HYPERLINK("https://en.uesp.net/wiki/Skyrim:Lost_Valley_Redoubt","Lost Valley Redoubt")</f>
        <v>Lost Valley Redoubt</v>
      </c>
      <c r="B174" s="316" t="s">
        <v>2231</v>
      </c>
      <c r="C174" s="316" t="s">
        <v>2235</v>
      </c>
      <c r="D174" s="63" t="s">
        <v>132</v>
      </c>
      <c r="E174" s="63" t="s">
        <v>132</v>
      </c>
      <c r="F174" s="63" t="s">
        <v>132</v>
      </c>
      <c r="G174" s="372"/>
    </row>
    <row r="175">
      <c r="A175" s="371" t="str">
        <f>HYPERLINK("https://en.uesp.net/w/index.php?title=Skyrim:Lower_Steepfall_Burrow","Lower Steepfall Burrow")</f>
        <v>Lower Steepfall Burrow</v>
      </c>
      <c r="B175" s="316" t="s">
        <v>2239</v>
      </c>
      <c r="C175" s="316" t="s">
        <v>2243</v>
      </c>
      <c r="D175" s="63" t="s">
        <v>132</v>
      </c>
      <c r="E175" s="63" t="s">
        <v>132</v>
      </c>
      <c r="F175" s="63" t="s">
        <v>132</v>
      </c>
      <c r="G175" s="372"/>
    </row>
    <row r="176">
      <c r="A176" s="371" t="str">
        <f>HYPERLINK("https://en.uesp.net/wiki/Skyrim:Lund%27s_Hut","Lund's Hut")</f>
        <v>Lund's Hut</v>
      </c>
      <c r="B176" s="316" t="s">
        <v>2223</v>
      </c>
      <c r="C176" s="316" t="s">
        <v>993</v>
      </c>
      <c r="D176" s="63" t="s">
        <v>132</v>
      </c>
      <c r="E176" s="63" t="s">
        <v>132</v>
      </c>
      <c r="F176" s="316" t="s">
        <v>1524</v>
      </c>
      <c r="G176" s="373"/>
    </row>
    <row r="177">
      <c r="A177" s="376" t="str">
        <f>HYPERLINK("https://en.uesp.net/wiki/Skyrim:Mara%27s_Eye_Den","Mara's Eye Den*")</f>
        <v>Mara's Eye Den*</v>
      </c>
      <c r="B177" s="377" t="s">
        <v>2239</v>
      </c>
      <c r="C177" s="377" t="s">
        <v>2222</v>
      </c>
      <c r="D177" s="377" t="s">
        <v>1524</v>
      </c>
      <c r="E177" s="63" t="s">
        <v>132</v>
      </c>
      <c r="F177" s="63" t="s">
        <v>132</v>
      </c>
      <c r="G177" s="372"/>
    </row>
    <row r="178">
      <c r="A178" s="371" t="str">
        <f>HYPERLINK("https://en.uesp.net/wiki/Skyrim:Mara%27s_Eye_Pond","Mara's Eye Pond")</f>
        <v>Mara's Eye Pond</v>
      </c>
      <c r="B178" s="316" t="s">
        <v>2232</v>
      </c>
      <c r="C178" s="316" t="s">
        <v>2222</v>
      </c>
      <c r="D178" s="63" t="s">
        <v>132</v>
      </c>
      <c r="E178" s="63" t="s">
        <v>132</v>
      </c>
      <c r="F178" s="63" t="s">
        <v>132</v>
      </c>
      <c r="G178" s="372"/>
    </row>
    <row r="179">
      <c r="A179" s="371" t="str">
        <f>HYPERLINK("https://en.uesp.net/wiki/Skyrim:Markarth","Markarth")</f>
        <v>Markarth</v>
      </c>
      <c r="B179" s="316" t="s">
        <v>354</v>
      </c>
      <c r="C179" s="316" t="s">
        <v>2235</v>
      </c>
      <c r="D179" s="63" t="s">
        <v>132</v>
      </c>
      <c r="E179" s="63" t="s">
        <v>132</v>
      </c>
      <c r="F179" s="316" t="s">
        <v>1524</v>
      </c>
      <c r="G179" s="373"/>
    </row>
    <row r="180">
      <c r="A180" s="371" t="str">
        <f>HYPERLINK("https://en.uesp.net/wiki/Skyrim:Markarth_Stables","Markarth Stables")</f>
        <v>Markarth Stables</v>
      </c>
      <c r="B180" s="316" t="s">
        <v>2261</v>
      </c>
      <c r="C180" s="316" t="s">
        <v>2235</v>
      </c>
      <c r="D180" s="63" t="s">
        <v>132</v>
      </c>
      <c r="E180" s="63" t="s">
        <v>132</v>
      </c>
      <c r="F180" s="316" t="s">
        <v>1524</v>
      </c>
      <c r="G180" s="373"/>
    </row>
    <row r="181">
      <c r="A181" s="371" t="str">
        <f>HYPERLINK("https://en.uesp.net/wiki/Skyrim:Meeko%27s_Shack","Meeko's Shack")</f>
        <v>Meeko's Shack</v>
      </c>
      <c r="B181" s="316" t="s">
        <v>2223</v>
      </c>
      <c r="C181" s="316" t="s">
        <v>2224</v>
      </c>
      <c r="D181" s="63" t="s">
        <v>132</v>
      </c>
      <c r="E181" s="63" t="s">
        <v>132</v>
      </c>
      <c r="F181" s="316" t="s">
        <v>1524</v>
      </c>
      <c r="G181" s="373"/>
    </row>
    <row r="182">
      <c r="A182" s="371" t="str">
        <f>HYPERLINK("https://en.uesp.net/wiki/Skyrim:Merryfair_Farm","Merryfair Farm")</f>
        <v>Merryfair Farm</v>
      </c>
      <c r="B182" s="316" t="s">
        <v>2259</v>
      </c>
      <c r="C182" s="316" t="s">
        <v>2225</v>
      </c>
      <c r="D182" s="63" t="s">
        <v>132</v>
      </c>
      <c r="E182" s="63" t="s">
        <v>132</v>
      </c>
      <c r="F182" s="316" t="s">
        <v>1524</v>
      </c>
      <c r="G182" s="373"/>
    </row>
    <row r="183">
      <c r="A183" s="371" t="str">
        <f>HYPERLINK("https://en.uesp.net/wiki/Skyrim:Mistveil_Keep","Mistveil Keep")</f>
        <v>Mistveil Keep</v>
      </c>
      <c r="B183" s="316" t="s">
        <v>2242</v>
      </c>
      <c r="C183" s="316" t="s">
        <v>2225</v>
      </c>
      <c r="D183" s="63" t="s">
        <v>132</v>
      </c>
      <c r="E183" s="63" t="s">
        <v>132</v>
      </c>
      <c r="F183" s="316" t="s">
        <v>1524</v>
      </c>
      <c r="G183" s="373"/>
    </row>
    <row r="184">
      <c r="A184" s="371" t="str">
        <f>HYPERLINK("https://en.uesp.net/wiki/Skyrim:Mistwatch","Mistwatch")</f>
        <v>Mistwatch</v>
      </c>
      <c r="B184" s="316" t="s">
        <v>2241</v>
      </c>
      <c r="C184" s="316" t="s">
        <v>2222</v>
      </c>
      <c r="D184" s="63" t="s">
        <v>132</v>
      </c>
      <c r="E184" s="63" t="s">
        <v>132</v>
      </c>
      <c r="F184" s="63" t="s">
        <v>132</v>
      </c>
      <c r="G184" s="372"/>
    </row>
    <row r="185">
      <c r="A185" s="371" t="str">
        <f>HYPERLINK("https://en.uesp.net/wiki/Skyrim:Mixwater_Mill","Mixwater Mill")</f>
        <v>Mixwater Mill</v>
      </c>
      <c r="B185" s="316" t="s">
        <v>2229</v>
      </c>
      <c r="C185" s="316" t="s">
        <v>2222</v>
      </c>
      <c r="D185" s="63" t="s">
        <v>132</v>
      </c>
      <c r="E185" s="63" t="s">
        <v>132</v>
      </c>
      <c r="F185" s="316" t="s">
        <v>1524</v>
      </c>
      <c r="G185" s="373"/>
    </row>
    <row r="186">
      <c r="A186" s="371" t="str">
        <f>HYPERLINK("https://en.uesp.net/wiki/Skyrim:Mor_Khazgur","Mor Khazgur")</f>
        <v>Mor Khazgur</v>
      </c>
      <c r="B186" s="316" t="s">
        <v>2250</v>
      </c>
      <c r="C186" s="316" t="s">
        <v>2235</v>
      </c>
      <c r="D186" s="63" t="s">
        <v>132</v>
      </c>
      <c r="E186" s="63" t="s">
        <v>132</v>
      </c>
      <c r="F186" s="316" t="s">
        <v>1524</v>
      </c>
      <c r="G186" s="373"/>
    </row>
    <row r="187">
      <c r="A187" s="371" t="str">
        <f>HYPERLINK("https://en.uesp.net/wiki/Skyrim:Morthal","Morthal")</f>
        <v>Morthal</v>
      </c>
      <c r="B187" s="316" t="s">
        <v>354</v>
      </c>
      <c r="C187" s="316" t="s">
        <v>2224</v>
      </c>
      <c r="D187" s="63" t="s">
        <v>132</v>
      </c>
      <c r="E187" s="63" t="s">
        <v>132</v>
      </c>
      <c r="F187" s="316" t="s">
        <v>1524</v>
      </c>
      <c r="G187" s="373"/>
    </row>
    <row r="188">
      <c r="A188" s="371" t="str">
        <f>HYPERLINK("https://en.uesp.net/wiki/Skyrim:Morvunskar","Morvunskar")</f>
        <v>Morvunskar</v>
      </c>
      <c r="B188" s="316" t="s">
        <v>2241</v>
      </c>
      <c r="C188" s="316" t="s">
        <v>2222</v>
      </c>
      <c r="D188" s="63" t="s">
        <v>132</v>
      </c>
      <c r="E188" s="63" t="s">
        <v>132</v>
      </c>
      <c r="F188" s="63" t="s">
        <v>132</v>
      </c>
      <c r="G188" s="372"/>
    </row>
    <row r="189">
      <c r="A189" s="371" t="str">
        <f>HYPERLINK("https://en.uesp.net/wiki/Skyrim:Moss_Mother_Cavern","Moss Mother Cavern")</f>
        <v>Moss Mother Cavern</v>
      </c>
      <c r="B189" s="316" t="s">
        <v>2239</v>
      </c>
      <c r="C189" s="316" t="s">
        <v>2228</v>
      </c>
      <c r="D189" s="63" t="s">
        <v>132</v>
      </c>
      <c r="E189" s="63" t="s">
        <v>132</v>
      </c>
      <c r="F189" s="63" t="s">
        <v>132</v>
      </c>
      <c r="G189" s="372"/>
    </row>
    <row r="190">
      <c r="A190" s="371" t="str">
        <f>HYPERLINK("https://en.uesp.net/wiki/Skyrim:Mount_Anthor","Mount Anthor")</f>
        <v>Mount Anthor</v>
      </c>
      <c r="B190" s="316" t="s">
        <v>2227</v>
      </c>
      <c r="C190" s="316" t="s">
        <v>954</v>
      </c>
      <c r="D190" s="63" t="s">
        <v>132</v>
      </c>
      <c r="E190" s="63" t="s">
        <v>132</v>
      </c>
      <c r="F190" s="63" t="s">
        <v>132</v>
      </c>
      <c r="G190" s="372"/>
    </row>
    <row r="191">
      <c r="A191" s="371" t="str">
        <f>HYPERLINK("https://en.uesp.net/wiki/Skyrim:Movarth%27s_Lair","Movarth's Lair*")</f>
        <v>Movarth's Lair*</v>
      </c>
      <c r="B191" s="316" t="s">
        <v>2239</v>
      </c>
      <c r="C191" s="316" t="s">
        <v>2224</v>
      </c>
      <c r="D191" s="63" t="s">
        <v>132</v>
      </c>
      <c r="E191" s="63" t="s">
        <v>132</v>
      </c>
      <c r="F191" s="316" t="s">
        <v>2256</v>
      </c>
      <c r="G191" s="373"/>
    </row>
    <row r="192">
      <c r="A192" s="371" t="str">
        <f>HYPERLINK("https://en.uesp.net/wiki/Skyrim:Mzinchaleft","Mzinchaleft")</f>
        <v>Mzinchaleft</v>
      </c>
      <c r="B192" s="316" t="s">
        <v>2226</v>
      </c>
      <c r="C192" s="316" t="s">
        <v>2224</v>
      </c>
      <c r="D192" s="63" t="s">
        <v>132</v>
      </c>
      <c r="E192" s="63" t="s">
        <v>132</v>
      </c>
      <c r="F192" s="63" t="s">
        <v>132</v>
      </c>
      <c r="G192" s="372"/>
    </row>
    <row r="193">
      <c r="A193" s="371" t="str">
        <f>HYPERLINK("https://en.uesp.net/wiki/Skyrim:Mzulft","Mzulft")</f>
        <v>Mzulft</v>
      </c>
      <c r="B193" s="316" t="s">
        <v>2226</v>
      </c>
      <c r="C193" s="316" t="s">
        <v>2222</v>
      </c>
      <c r="D193" s="63" t="s">
        <v>132</v>
      </c>
      <c r="E193" s="63" t="s">
        <v>132</v>
      </c>
      <c r="F193" s="63" t="s">
        <v>132</v>
      </c>
      <c r="G193" s="372"/>
    </row>
    <row r="194">
      <c r="A194" s="371" t="str">
        <f>HYPERLINK("https://en.uesp.net/wiki/Skyrim:Narzulbur","Narzulbur")</f>
        <v>Narzulbur</v>
      </c>
      <c r="B194" s="316" t="s">
        <v>2250</v>
      </c>
      <c r="C194" s="316" t="s">
        <v>2222</v>
      </c>
      <c r="D194" s="63" t="s">
        <v>132</v>
      </c>
      <c r="E194" s="63" t="s">
        <v>132</v>
      </c>
      <c r="F194" s="316" t="s">
        <v>1524</v>
      </c>
      <c r="G194" s="373"/>
    </row>
    <row r="195">
      <c r="A195" s="376" t="str">
        <f>HYPERLINK("https://en.uesp.net/wiki/Skyrim:Nchuand-Zel","Nchuand-Zel*")</f>
        <v>Nchuand-Zel*</v>
      </c>
      <c r="B195" s="377" t="s">
        <v>2226</v>
      </c>
      <c r="C195" s="377" t="s">
        <v>2235</v>
      </c>
      <c r="D195" s="378" t="s">
        <v>1524</v>
      </c>
      <c r="E195" s="63" t="s">
        <v>132</v>
      </c>
      <c r="F195" s="63" t="s">
        <v>132</v>
      </c>
      <c r="G195" s="372"/>
    </row>
    <row r="196">
      <c r="A196" s="371" t="str">
        <f>HYPERLINK("https://en.uesp.net/wiki/Skyrim:Nightcaller_Temple","Nightcaller Temple")</f>
        <v>Nightcaller Temple</v>
      </c>
      <c r="B196" s="316" t="s">
        <v>2241</v>
      </c>
      <c r="C196" s="316" t="s">
        <v>2230</v>
      </c>
      <c r="D196" s="63" t="s">
        <v>132</v>
      </c>
      <c r="E196" s="63" t="s">
        <v>132</v>
      </c>
      <c r="F196" s="379" t="s">
        <v>1524</v>
      </c>
      <c r="G196" s="373"/>
    </row>
    <row r="197">
      <c r="A197" s="376" t="str">
        <f>hyperlink("https://en.uesp.net/wiki/Skyrim:Nightgate_Inn","Nightgate Inn")</f>
        <v>Nightgate Inn</v>
      </c>
      <c r="B197" s="377" t="s">
        <v>2262</v>
      </c>
      <c r="C197" s="377" t="s">
        <v>2230</v>
      </c>
      <c r="D197" s="63" t="s">
        <v>132</v>
      </c>
      <c r="E197" s="63" t="s">
        <v>132</v>
      </c>
      <c r="F197" s="378" t="s">
        <v>1524</v>
      </c>
      <c r="G197" s="380"/>
    </row>
    <row r="198">
      <c r="A198" s="371" t="str">
        <f>HYPERLINK("https://en.uesp.net/wiki/Skyrim:Nightingale_Hall","Nightingale Hall")</f>
        <v>Nightingale Hall</v>
      </c>
      <c r="B198" s="316" t="s">
        <v>2239</v>
      </c>
      <c r="C198" s="316" t="s">
        <v>2225</v>
      </c>
      <c r="D198" s="63" t="s">
        <v>132</v>
      </c>
      <c r="E198" s="63" t="s">
        <v>132</v>
      </c>
      <c r="F198" s="316" t="s">
        <v>1524</v>
      </c>
      <c r="G198" s="373"/>
    </row>
    <row r="199">
      <c r="A199" s="371" t="str">
        <f>HYPERLINK("https://en.uesp.net/wiki/Skyrim:Nilheim","Nilheim")</f>
        <v>Nilheim</v>
      </c>
      <c r="B199" s="316" t="s">
        <v>2233</v>
      </c>
      <c r="C199" s="316" t="s">
        <v>2225</v>
      </c>
      <c r="D199" s="63" t="s">
        <v>132</v>
      </c>
      <c r="E199" s="63" t="s">
        <v>132</v>
      </c>
      <c r="F199" s="63" t="s">
        <v>132</v>
      </c>
      <c r="G199" s="372"/>
    </row>
    <row r="200">
      <c r="A200" s="371" t="str">
        <f>HYPERLINK("https://en.uesp.net/wiki/Skyrim:Brittleshin_Pass","North Brittleshin Pass")</f>
        <v>North Brittleshin Pass</v>
      </c>
      <c r="B200" s="316" t="s">
        <v>2239</v>
      </c>
      <c r="C200" s="316" t="s">
        <v>2228</v>
      </c>
      <c r="D200" s="63" t="s">
        <v>132</v>
      </c>
      <c r="E200" s="63" t="s">
        <v>132</v>
      </c>
      <c r="F200" s="63" t="s">
        <v>132</v>
      </c>
      <c r="G200" s="372"/>
    </row>
    <row r="201">
      <c r="A201" s="371" t="str">
        <f>HYPERLINK("https://en.uesp.net/wiki/Skyrim:Cold_Rock_Pass","North Cold Rock Pass")</f>
        <v>North Cold Rock Pass</v>
      </c>
      <c r="B201" s="316" t="s">
        <v>2263</v>
      </c>
      <c r="C201" s="316" t="s">
        <v>993</v>
      </c>
      <c r="D201" s="63" t="s">
        <v>132</v>
      </c>
      <c r="E201" s="63" t="s">
        <v>132</v>
      </c>
      <c r="F201" s="63" t="s">
        <v>132</v>
      </c>
      <c r="G201" s="372"/>
    </row>
    <row r="202">
      <c r="A202" s="371" t="str">
        <f>HYPERLINK("https://en.uesp.net/wiki/Skyrim:Shriekwind_Bastion","North Shriekwind Bastion")</f>
        <v>North Shriekwind Bastion</v>
      </c>
      <c r="B202" s="316" t="s">
        <v>2231</v>
      </c>
      <c r="C202" s="316" t="s">
        <v>2228</v>
      </c>
      <c r="D202" s="63" t="s">
        <v>132</v>
      </c>
      <c r="E202" s="63" t="s">
        <v>132</v>
      </c>
      <c r="F202" s="63" t="s">
        <v>132</v>
      </c>
      <c r="G202" s="372"/>
    </row>
    <row r="203">
      <c r="A203" s="371" t="str">
        <f>HYPERLINK("https://en.uesp.net/wiki/Skyrim:South_Skybound_Watch","North Skybound Watch")</f>
        <v>North Skybound Watch</v>
      </c>
      <c r="B203" s="316" t="s">
        <v>2254</v>
      </c>
      <c r="C203" s="316" t="s">
        <v>993</v>
      </c>
      <c r="D203" s="63" t="s">
        <v>132</v>
      </c>
      <c r="E203" s="63" t="s">
        <v>132</v>
      </c>
      <c r="F203" s="63" t="s">
        <v>132</v>
      </c>
      <c r="G203" s="372"/>
    </row>
    <row r="204">
      <c r="A204" s="371" t="str">
        <f>HYPERLINK("https://en.uesp.net/wiki/Skyrim:Northwatch_Keep","Northwatch Keep")</f>
        <v>Northwatch Keep</v>
      </c>
      <c r="B204" s="316" t="s">
        <v>2241</v>
      </c>
      <c r="C204" s="316" t="s">
        <v>2243</v>
      </c>
      <c r="D204" s="63" t="s">
        <v>132</v>
      </c>
      <c r="E204" s="63" t="s">
        <v>132</v>
      </c>
      <c r="F204" s="63" t="s">
        <v>132</v>
      </c>
      <c r="G204" s="372"/>
    </row>
    <row r="205">
      <c r="A205" s="371" t="str">
        <f>HYPERLINK("https://en.uesp.net/wiki/Skyrim:Northwind_Mine","Northwind Mine")</f>
        <v>Northwind Mine</v>
      </c>
      <c r="B205" s="316" t="s">
        <v>2237</v>
      </c>
      <c r="C205" s="316" t="s">
        <v>2225</v>
      </c>
      <c r="D205" s="63" t="s">
        <v>132</v>
      </c>
      <c r="E205" s="63" t="s">
        <v>132</v>
      </c>
      <c r="F205" s="63" t="s">
        <v>132</v>
      </c>
      <c r="G205" s="372"/>
    </row>
    <row r="206">
      <c r="A206" s="371" t="str">
        <f>HYPERLINK("https://en.uesp.net/wiki/Skyrim:Northwind_Summit","Northwind Summit")</f>
        <v>Northwind Summit</v>
      </c>
      <c r="B206" s="316" t="s">
        <v>2227</v>
      </c>
      <c r="C206" s="316" t="s">
        <v>2225</v>
      </c>
      <c r="D206" s="63" t="s">
        <v>132</v>
      </c>
      <c r="E206" s="63" t="s">
        <v>132</v>
      </c>
      <c r="F206" s="63" t="s">
        <v>132</v>
      </c>
      <c r="G206" s="372"/>
    </row>
    <row r="207">
      <c r="A207" s="371" t="str">
        <f>HYPERLINK("https://en.uesp.net/wiki/Skyrim:Old_Hroldan_Inn", "Old Hroldan Inn")</f>
        <v>Old Hroldan Inn</v>
      </c>
      <c r="B207" s="316" t="s">
        <v>2262</v>
      </c>
      <c r="C207" s="316" t="s">
        <v>2235</v>
      </c>
      <c r="D207" s="63" t="s">
        <v>132</v>
      </c>
      <c r="E207" s="63" t="s">
        <v>132</v>
      </c>
      <c r="F207" s="316" t="s">
        <v>1524</v>
      </c>
      <c r="G207" s="373"/>
    </row>
    <row r="208">
      <c r="A208" s="371" t="str">
        <f>HYPERLINK("https://en.uesp.net/wiki/Skyrim:Orotheim","Orotheim")</f>
        <v>Orotheim</v>
      </c>
      <c r="B208" s="316" t="s">
        <v>2239</v>
      </c>
      <c r="C208" s="316" t="s">
        <v>2224</v>
      </c>
      <c r="D208" s="63" t="s">
        <v>132</v>
      </c>
      <c r="E208" s="63" t="s">
        <v>132</v>
      </c>
      <c r="F208" s="63" t="s">
        <v>132</v>
      </c>
      <c r="G208" s="372"/>
    </row>
    <row r="209">
      <c r="A209" s="371" t="str">
        <f>HYPERLINK("https://en.uesp.net/wiki/Skyrim:Orphan_Rock","Orphan Rock")</f>
        <v>Orphan Rock</v>
      </c>
      <c r="B209" s="316" t="s">
        <v>2234</v>
      </c>
      <c r="C209" s="316" t="s">
        <v>2228</v>
      </c>
      <c r="D209" s="63" t="s">
        <v>132</v>
      </c>
      <c r="E209" s="63" t="s">
        <v>132</v>
      </c>
      <c r="F209" s="63" t="s">
        <v>132</v>
      </c>
      <c r="G209" s="372"/>
    </row>
    <row r="210">
      <c r="A210" s="371" t="str">
        <f>HYPERLINK("https://en.uesp.net/wiki/Skyrim:Orphan%27s_Tear","Orphan's Tear")</f>
        <v>Orphan's Tear</v>
      </c>
      <c r="B210" s="316" t="s">
        <v>2246</v>
      </c>
      <c r="C210" s="316" t="s">
        <v>2243</v>
      </c>
      <c r="D210" s="63" t="s">
        <v>132</v>
      </c>
      <c r="E210" s="63" t="s">
        <v>132</v>
      </c>
      <c r="F210" s="63" t="s">
        <v>132</v>
      </c>
      <c r="G210" s="372"/>
    </row>
    <row r="211">
      <c r="A211" s="371" t="str">
        <f>HYPERLINK("https://en.uesp.net/wiki/Skyrim:Palace_of_the_Kings","Palace of the Kings")</f>
        <v>Palace of the Kings</v>
      </c>
      <c r="B211" s="316" t="s">
        <v>2242</v>
      </c>
      <c r="C211" s="316" t="s">
        <v>2222</v>
      </c>
      <c r="D211" s="63" t="s">
        <v>132</v>
      </c>
      <c r="E211" s="63" t="s">
        <v>132</v>
      </c>
      <c r="F211" s="316" t="s">
        <v>1524</v>
      </c>
      <c r="G211" s="373"/>
    </row>
    <row r="212">
      <c r="A212" s="371" t="str">
        <f>HYPERLINK("https://en.uesp.net/wiki/Skyrim:Peak%27s_Shade_Tower","Peak's Shade Tower")</f>
        <v>Peak's Shade Tower</v>
      </c>
      <c r="B212" s="316" t="s">
        <v>2233</v>
      </c>
      <c r="C212" s="316" t="s">
        <v>2228</v>
      </c>
      <c r="D212" s="63" t="s">
        <v>132</v>
      </c>
      <c r="E212" s="63" t="s">
        <v>132</v>
      </c>
      <c r="F212" s="63" t="s">
        <v>132</v>
      </c>
      <c r="G212" s="372"/>
    </row>
    <row r="213">
      <c r="A213" s="371" t="str">
        <f>HYPERLINK("https://en.uesp.net/wiki/Skyrim:Pelagia_Farm","Pelagia Farm")</f>
        <v>Pelagia Farm</v>
      </c>
      <c r="B213" s="316" t="s">
        <v>2236</v>
      </c>
      <c r="C213" s="316" t="s">
        <v>993</v>
      </c>
      <c r="D213" s="63" t="s">
        <v>132</v>
      </c>
      <c r="E213" s="63" t="s">
        <v>132</v>
      </c>
      <c r="F213" s="316" t="s">
        <v>1524</v>
      </c>
      <c r="G213" s="373"/>
    </row>
    <row r="214">
      <c r="A214" s="371" t="str">
        <f>HYPERLINK("https://en.uesp.net/wiki/Skyrim:Pilgrim%27s_Trench","Pilgrim's Trench")</f>
        <v>Pilgrim's Trench</v>
      </c>
      <c r="B214" s="316" t="s">
        <v>2246</v>
      </c>
      <c r="C214" s="316" t="s">
        <v>954</v>
      </c>
      <c r="D214" s="63" t="s">
        <v>132</v>
      </c>
      <c r="E214" s="63" t="s">
        <v>132</v>
      </c>
      <c r="F214" s="316" t="s">
        <v>1524</v>
      </c>
      <c r="G214" s="373"/>
    </row>
    <row r="215">
      <c r="A215" s="371" t="str">
        <f>HYPERLINK("https://en.uesp.net/wiki/Skyrim:Pinefrost_Tower","Pinefrost Tower")</f>
        <v>Pinefrost Tower</v>
      </c>
      <c r="B215" s="316" t="s">
        <v>2221</v>
      </c>
      <c r="C215" s="316" t="s">
        <v>2243</v>
      </c>
      <c r="D215" s="63" t="s">
        <v>132</v>
      </c>
      <c r="E215" s="63" t="s">
        <v>132</v>
      </c>
      <c r="F215" s="63" t="s">
        <v>132</v>
      </c>
      <c r="G215" s="372"/>
    </row>
    <row r="216">
      <c r="A216" s="371" t="str">
        <f>HYPERLINK("https://en.uesp.net/wiki/Skyrim:Pinemoon_Cave","Pinemoon Cave")</f>
        <v>Pinemoon Cave</v>
      </c>
      <c r="B216" s="316" t="s">
        <v>2239</v>
      </c>
      <c r="C216" s="316" t="s">
        <v>2243</v>
      </c>
      <c r="D216" s="63" t="s">
        <v>132</v>
      </c>
      <c r="E216" s="63" t="s">
        <v>132</v>
      </c>
      <c r="F216" s="63" t="s">
        <v>132</v>
      </c>
      <c r="G216" s="372"/>
    </row>
    <row r="217">
      <c r="A217" s="371" t="str">
        <f>HYPERLINK("https://en.uesp.net/wiki/Skyrim:Pinepeak_Cavern","Pinepeak Cavern")</f>
        <v>Pinepeak Cavern</v>
      </c>
      <c r="B217" s="316" t="s">
        <v>2239</v>
      </c>
      <c r="C217" s="316" t="s">
        <v>2225</v>
      </c>
      <c r="D217" s="63" t="s">
        <v>132</v>
      </c>
      <c r="E217" s="63" t="s">
        <v>132</v>
      </c>
      <c r="F217" s="63" t="s">
        <v>132</v>
      </c>
      <c r="G217" s="372"/>
    </row>
    <row r="218">
      <c r="A218" s="371" t="str">
        <f>HYPERLINK("https://en.uesp.net/wiki/Skyrim:Pinewatch","Pinewatch")</f>
        <v>Pinewatch</v>
      </c>
      <c r="B218" s="316" t="s">
        <v>2223</v>
      </c>
      <c r="C218" s="316" t="s">
        <v>2228</v>
      </c>
      <c r="D218" s="63" t="s">
        <v>132</v>
      </c>
      <c r="E218" s="63" t="s">
        <v>132</v>
      </c>
      <c r="F218" s="63" t="s">
        <v>132</v>
      </c>
      <c r="G218" s="372"/>
    </row>
    <row r="219">
      <c r="A219" s="371" t="str">
        <f>HYPERLINK("https://en.uesp.net/wiki/Skyrim:Purewater_Run","Purewater Run")</f>
        <v>Purewater Run</v>
      </c>
      <c r="B219" s="316" t="s">
        <v>2239</v>
      </c>
      <c r="C219" s="316" t="s">
        <v>2235</v>
      </c>
      <c r="D219" s="63" t="s">
        <v>132</v>
      </c>
      <c r="E219" s="63" t="s">
        <v>132</v>
      </c>
      <c r="F219" s="316" t="s">
        <v>1524</v>
      </c>
      <c r="G219" s="373"/>
    </row>
    <row r="220">
      <c r="A220" s="371" t="str">
        <f>HYPERLINK("https://en.uesp.net/wiki/Skyrim:Ragnvald","Ragnvald")</f>
        <v>Ragnvald</v>
      </c>
      <c r="B220" s="316" t="s">
        <v>2231</v>
      </c>
      <c r="C220" s="316" t="s">
        <v>2235</v>
      </c>
      <c r="D220" s="63" t="s">
        <v>132</v>
      </c>
      <c r="E220" s="63" t="s">
        <v>132</v>
      </c>
      <c r="F220" s="63" t="s">
        <v>132</v>
      </c>
      <c r="G220" s="372"/>
    </row>
    <row r="221">
      <c r="A221" s="371" t="str">
        <f>HYPERLINK("https://en.uesp.net/wiki/Skyrim:Raldbthar","Raldbthar")</f>
        <v>Raldbthar</v>
      </c>
      <c r="B221" s="316" t="s">
        <v>2226</v>
      </c>
      <c r="C221" s="316" t="s">
        <v>2230</v>
      </c>
      <c r="D221" s="63" t="s">
        <v>132</v>
      </c>
      <c r="E221" s="63" t="s">
        <v>132</v>
      </c>
      <c r="F221" s="63" t="s">
        <v>132</v>
      </c>
      <c r="G221" s="372"/>
    </row>
    <row r="222">
      <c r="A222" s="371" t="str">
        <f>HYPERLINK("https://en.uesp.net/wiki/Skyrim:Rannveig%27s_Fast","Rannveig's Fast")</f>
        <v>Rannveig's Fast</v>
      </c>
      <c r="B222" s="316" t="s">
        <v>2231</v>
      </c>
      <c r="C222" s="316" t="s">
        <v>993</v>
      </c>
      <c r="D222" s="63" t="s">
        <v>132</v>
      </c>
      <c r="E222" s="63" t="s">
        <v>132</v>
      </c>
      <c r="F222" s="63" t="s">
        <v>132</v>
      </c>
      <c r="G222" s="372"/>
    </row>
    <row r="223">
      <c r="A223" s="371" t="str">
        <f>HYPERLINK("https://en.uesp.net/wiki/Skyrim:Ravenscar_Hollow","Ravenscar Hollow")</f>
        <v>Ravenscar Hollow</v>
      </c>
      <c r="B223" s="316" t="s">
        <v>2239</v>
      </c>
      <c r="C223" s="316" t="s">
        <v>2243</v>
      </c>
      <c r="D223" s="63" t="s">
        <v>132</v>
      </c>
      <c r="E223" s="63" t="s">
        <v>132</v>
      </c>
      <c r="F223" s="63" t="s">
        <v>132</v>
      </c>
      <c r="G223" s="372"/>
    </row>
    <row r="224">
      <c r="A224" s="371" t="str">
        <f>HYPERLINK("https://en.uesp.net/wiki/Skyrim:Reachcliff_Cave","Reachcliff Cave")</f>
        <v>Reachcliff Cave</v>
      </c>
      <c r="B224" s="316" t="s">
        <v>2239</v>
      </c>
      <c r="C224" s="316" t="s">
        <v>2235</v>
      </c>
      <c r="D224" s="63" t="s">
        <v>132</v>
      </c>
      <c r="E224" s="63" t="s">
        <v>132</v>
      </c>
      <c r="F224" s="63" t="s">
        <v>132</v>
      </c>
      <c r="G224" s="372"/>
    </row>
    <row r="225">
      <c r="A225" s="371" t="str">
        <f>HYPERLINK("https://en.uesp.net/wiki/Skyrim:Reachcliff_Cave","Reachcliff Secret Entrance")</f>
        <v>Reachcliff Secret Entrance</v>
      </c>
      <c r="B225" s="316" t="s">
        <v>2239</v>
      </c>
      <c r="C225" s="316" t="s">
        <v>2235</v>
      </c>
      <c r="D225" s="63" t="s">
        <v>132</v>
      </c>
      <c r="E225" s="63" t="s">
        <v>132</v>
      </c>
      <c r="F225" s="63" t="s">
        <v>132</v>
      </c>
      <c r="G225" s="372"/>
    </row>
    <row r="226">
      <c r="A226" s="371" t="str">
        <f>HYPERLINK("https://en.uesp.net/wiki/Skyrim:Reachwater_Rock","Reachwater Rock")</f>
        <v>Reachwater Rock</v>
      </c>
      <c r="B226" s="316" t="s">
        <v>2239</v>
      </c>
      <c r="C226" s="316" t="s">
        <v>2235</v>
      </c>
      <c r="D226" s="63" t="s">
        <v>132</v>
      </c>
      <c r="E226" s="63" t="s">
        <v>132</v>
      </c>
      <c r="F226" s="63" t="s">
        <v>132</v>
      </c>
      <c r="G226" s="372"/>
    </row>
    <row r="227">
      <c r="A227" s="371" t="str">
        <f>HYPERLINK("https://en.uesp.net/wiki/Skyrim:Reachwind_Eyrie","Reachwind Eyrie")</f>
        <v>Reachwind Eyrie</v>
      </c>
      <c r="B227" s="316" t="s">
        <v>2264</v>
      </c>
      <c r="C227" s="316" t="s">
        <v>2235</v>
      </c>
      <c r="D227" s="63" t="s">
        <v>132</v>
      </c>
      <c r="E227" s="63" t="s">
        <v>132</v>
      </c>
      <c r="F227" s="316" t="s">
        <v>1524</v>
      </c>
      <c r="G227" s="373"/>
    </row>
    <row r="228">
      <c r="A228" s="371" t="str">
        <f>HYPERLINK("https://en.uesp.net/wiki/Skyrim:Rebel%27s_Cairn","Rebel's Cairn")</f>
        <v>Rebel's Cairn</v>
      </c>
      <c r="B228" s="316" t="s">
        <v>2239</v>
      </c>
      <c r="C228" s="316" t="s">
        <v>2235</v>
      </c>
      <c r="D228" s="63" t="s">
        <v>132</v>
      </c>
      <c r="E228" s="63" t="s">
        <v>132</v>
      </c>
      <c r="F228" s="63" t="s">
        <v>132</v>
      </c>
      <c r="G228" s="372"/>
    </row>
    <row r="229">
      <c r="A229" s="371" t="str">
        <f>HYPERLINK("https://en.uesp.net/wiki/Skyrim:Red_Eagle_Redoubt","Red Eagle Redoubt")</f>
        <v>Red Eagle Redoubt</v>
      </c>
      <c r="B229" s="316" t="s">
        <v>2239</v>
      </c>
      <c r="C229" s="316" t="s">
        <v>2235</v>
      </c>
      <c r="D229" s="63" t="s">
        <v>132</v>
      </c>
      <c r="E229" s="63" t="s">
        <v>132</v>
      </c>
      <c r="F229" s="63" t="s">
        <v>132</v>
      </c>
      <c r="G229" s="372"/>
    </row>
    <row r="230">
      <c r="A230" s="371" t="str">
        <f>HYPERLINK("https://en.uesp.net/wiki/Skyrim:Red_Road_Pass","Red Road Pass")</f>
        <v>Red Road Pass</v>
      </c>
      <c r="B230" s="316" t="s">
        <v>2240</v>
      </c>
      <c r="C230" s="316" t="s">
        <v>2230</v>
      </c>
      <c r="D230" s="63" t="s">
        <v>132</v>
      </c>
      <c r="E230" s="63" t="s">
        <v>132</v>
      </c>
      <c r="F230" s="63" t="s">
        <v>132</v>
      </c>
      <c r="G230" s="372"/>
    </row>
    <row r="231">
      <c r="A231" s="371" t="str">
        <f>HYPERLINK("https://en.uesp.net/wiki/Skyrim:Redoran%27s_Retreat","Redoran's Retreat")</f>
        <v>Redoran's Retreat</v>
      </c>
      <c r="B231" s="316" t="s">
        <v>2239</v>
      </c>
      <c r="C231" s="316" t="s">
        <v>993</v>
      </c>
      <c r="D231" s="63" t="s">
        <v>132</v>
      </c>
      <c r="E231" s="63" t="s">
        <v>132</v>
      </c>
      <c r="F231" s="63" t="s">
        <v>132</v>
      </c>
      <c r="G231" s="372"/>
    </row>
    <row r="232">
      <c r="A232" s="371" t="str">
        <f>HYPERLINK("https://en.uesp.net/wiki/Skyrim:Refugees%27_Rest","Refugees' Rest")</f>
        <v>Refugees' Rest</v>
      </c>
      <c r="B232" s="316" t="s">
        <v>2221</v>
      </c>
      <c r="C232" s="316" t="s">
        <v>2222</v>
      </c>
      <c r="D232" s="63" t="s">
        <v>132</v>
      </c>
      <c r="E232" s="63" t="s">
        <v>132</v>
      </c>
      <c r="F232" s="63" t="s">
        <v>132</v>
      </c>
      <c r="G232" s="372"/>
    </row>
    <row r="233">
      <c r="A233" s="371" t="str">
        <f>HYPERLINK("https://en.uesp.net/wiki/Skyrim:Rift_Watchtower","Rift Watchtower")</f>
        <v>Rift Watchtower</v>
      </c>
      <c r="B233" s="316" t="s">
        <v>2221</v>
      </c>
      <c r="C233" s="316" t="s">
        <v>2225</v>
      </c>
      <c r="D233" s="63" t="s">
        <v>132</v>
      </c>
      <c r="E233" s="63" t="s">
        <v>132</v>
      </c>
      <c r="F233" s="63" t="s">
        <v>132</v>
      </c>
      <c r="G233" s="372"/>
    </row>
    <row r="234">
      <c r="A234" s="371" t="str">
        <f>HYPERLINK("https://en.uesp.net/wiki/Skyrim:Riften","Riften")</f>
        <v>Riften</v>
      </c>
      <c r="B234" s="316" t="s">
        <v>354</v>
      </c>
      <c r="C234" s="316" t="s">
        <v>2225</v>
      </c>
      <c r="D234" s="63" t="s">
        <v>132</v>
      </c>
      <c r="E234" s="63" t="s">
        <v>132</v>
      </c>
      <c r="F234" s="316" t="s">
        <v>1524</v>
      </c>
      <c r="G234" s="373"/>
    </row>
    <row r="235">
      <c r="A235" s="371" t="str">
        <f>HYPERLINK("https://en.uesp.net/wiki/Skyrim:Riften_Stables","Riften Stables")</f>
        <v>Riften Stables</v>
      </c>
      <c r="B235" s="316" t="s">
        <v>2261</v>
      </c>
      <c r="C235" s="316" t="s">
        <v>2225</v>
      </c>
      <c r="D235" s="63" t="s">
        <v>132</v>
      </c>
      <c r="E235" s="63" t="s">
        <v>132</v>
      </c>
      <c r="F235" s="316" t="s">
        <v>1524</v>
      </c>
      <c r="G235" s="373"/>
    </row>
    <row r="236">
      <c r="A236" s="371" t="str">
        <f>HYPERLINK("https://en.uesp.net/wiki/Skyrim:Rimerock_Burrow","Rimerock Burrow")</f>
        <v>Rimerock Burrow</v>
      </c>
      <c r="B236" s="316" t="s">
        <v>2239</v>
      </c>
      <c r="C236" s="316" t="s">
        <v>2243</v>
      </c>
      <c r="D236" s="63" t="s">
        <v>132</v>
      </c>
      <c r="E236" s="63" t="s">
        <v>132</v>
      </c>
      <c r="F236" s="63" t="s">
        <v>132</v>
      </c>
      <c r="G236" s="372"/>
    </row>
    <row r="237">
      <c r="A237" s="371" t="str">
        <f>HYPERLINK("https://en.uesp.net/wiki/Skyrim:Riverside_Shack","Riverside Shack")</f>
        <v>Riverside Shack</v>
      </c>
      <c r="B237" s="316" t="s">
        <v>2223</v>
      </c>
      <c r="C237" s="316" t="s">
        <v>2222</v>
      </c>
      <c r="D237" s="63" t="s">
        <v>132</v>
      </c>
      <c r="E237" s="63" t="s">
        <v>132</v>
      </c>
      <c r="F237" s="63" t="s">
        <v>132</v>
      </c>
      <c r="G237" s="372"/>
    </row>
    <row r="238">
      <c r="A238" s="371" t="str">
        <f>HYPERLINK("https://en.uesp.net/wiki/Skyrim:Riverwood","Riverwood")</f>
        <v>Riverwood</v>
      </c>
      <c r="B238" s="316" t="s">
        <v>2248</v>
      </c>
      <c r="C238" s="316" t="s">
        <v>993</v>
      </c>
      <c r="D238" s="63" t="s">
        <v>132</v>
      </c>
      <c r="E238" s="63" t="s">
        <v>132</v>
      </c>
      <c r="F238" s="316" t="s">
        <v>1524</v>
      </c>
      <c r="G238" s="373"/>
    </row>
    <row r="239">
      <c r="A239" s="371" t="str">
        <f>HYPERLINK("https://en.uesp.net/wiki/Skyrim:Roadside_Ruins","Roadside Ruins")</f>
        <v>Roadside Ruins</v>
      </c>
      <c r="B239" s="316" t="s">
        <v>2254</v>
      </c>
      <c r="C239" s="316" t="s">
        <v>2228</v>
      </c>
      <c r="D239" s="63" t="s">
        <v>132</v>
      </c>
      <c r="E239" s="63" t="s">
        <v>132</v>
      </c>
      <c r="F239" s="63" t="s">
        <v>132</v>
      </c>
      <c r="G239" s="372"/>
    </row>
    <row r="240">
      <c r="A240" s="371" t="str">
        <f>HYPERLINK("https://en.uesp.net/wiki/Skyrim:Robber%27s_Gorge","Robber's Gorge")</f>
        <v>Robber's Gorge</v>
      </c>
      <c r="B240" s="316" t="s">
        <v>2249</v>
      </c>
      <c r="C240" s="316" t="s">
        <v>2224</v>
      </c>
      <c r="D240" s="63" t="s">
        <v>132</v>
      </c>
      <c r="E240" s="63" t="s">
        <v>132</v>
      </c>
      <c r="F240" s="63" t="s">
        <v>132</v>
      </c>
      <c r="G240" s="372"/>
    </row>
    <row r="241">
      <c r="A241" s="371" t="str">
        <f>HYPERLINK("https://en.uesp.net/wiki/Skyrim:Rorikstead","Rorikstead")</f>
        <v>Rorikstead</v>
      </c>
      <c r="B241" s="316" t="s">
        <v>2248</v>
      </c>
      <c r="C241" s="316" t="s">
        <v>993</v>
      </c>
      <c r="D241" s="63" t="s">
        <v>132</v>
      </c>
      <c r="E241" s="63" t="s">
        <v>132</v>
      </c>
      <c r="F241" s="316" t="s">
        <v>1524</v>
      </c>
      <c r="G241" s="373"/>
    </row>
    <row r="242">
      <c r="A242" s="371" t="str">
        <f>HYPERLINK("https://en.uesp.net/wiki/Skyrim:Ruins_of_Bthalft","Ruins of Bthalft")</f>
        <v>Ruins of Bthalft</v>
      </c>
      <c r="B242" s="316" t="s">
        <v>2264</v>
      </c>
      <c r="C242" s="316" t="s">
        <v>2225</v>
      </c>
      <c r="D242" s="63" t="s">
        <v>132</v>
      </c>
      <c r="E242" s="63" t="s">
        <v>132</v>
      </c>
      <c r="F242" s="63" t="s">
        <v>132</v>
      </c>
      <c r="G242" s="372"/>
    </row>
    <row r="243">
      <c r="A243" s="371" t="str">
        <f>HYPERLINK("https://en.uesp.net/wiki/Skyrim:Ruins_of_Rkund","Ruins of Rkund")</f>
        <v>Ruins of Rkund</v>
      </c>
      <c r="B243" s="316" t="s">
        <v>2226</v>
      </c>
      <c r="C243" s="316" t="s">
        <v>2225</v>
      </c>
      <c r="D243" s="63" t="s">
        <v>132</v>
      </c>
      <c r="E243" s="63" t="s">
        <v>132</v>
      </c>
      <c r="F243" s="63" t="s">
        <v>132</v>
      </c>
      <c r="G243" s="372"/>
    </row>
    <row r="244">
      <c r="A244" s="371" t="str">
        <f>HYPERLINK("https://en.uesp.net/wiki/Skyrim:Saarthal","Saarthal")</f>
        <v>Saarthal</v>
      </c>
      <c r="B244" s="316" t="s">
        <v>2231</v>
      </c>
      <c r="C244" s="316" t="s">
        <v>954</v>
      </c>
      <c r="D244" s="63" t="s">
        <v>132</v>
      </c>
      <c r="E244" s="63" t="s">
        <v>132</v>
      </c>
      <c r="F244" s="63" t="s">
        <v>132</v>
      </c>
      <c r="G244" s="372"/>
    </row>
    <row r="245">
      <c r="A245" s="371" t="str">
        <f>HYPERLINK("https://en.uesp.net/wiki/Skyrim:Shrine_of_Boethiah","Sacellum of Boethiah")</f>
        <v>Sacellum of Boethiah</v>
      </c>
      <c r="B245" s="316" t="s">
        <v>2265</v>
      </c>
      <c r="C245" s="316" t="s">
        <v>2222</v>
      </c>
      <c r="D245" s="63" t="s">
        <v>132</v>
      </c>
      <c r="E245" s="63" t="s">
        <v>132</v>
      </c>
      <c r="F245" s="316" t="s">
        <v>1524</v>
      </c>
      <c r="G245" s="373"/>
    </row>
    <row r="246">
      <c r="A246" s="371" t="str">
        <f>HYPERLINK("https://en.uesp.net/wiki/Skyrim:Salvius_Farm","Salvius Farm")</f>
        <v>Salvius Farm</v>
      </c>
      <c r="B246" s="316" t="s">
        <v>2236</v>
      </c>
      <c r="C246" s="316" t="s">
        <v>2235</v>
      </c>
      <c r="D246" s="63" t="s">
        <v>132</v>
      </c>
      <c r="E246" s="63" t="s">
        <v>132</v>
      </c>
      <c r="F246" s="316" t="s">
        <v>1524</v>
      </c>
      <c r="G246" s="373"/>
    </row>
    <row r="247">
      <c r="A247" s="371" t="str">
        <f>HYPERLINK("https://en.uesp.net/wiki/Skyrim:Sarethi_Farm","Sarethi Farm")</f>
        <v>Sarethi Farm</v>
      </c>
      <c r="B247" s="316" t="s">
        <v>2236</v>
      </c>
      <c r="C247" s="316" t="s">
        <v>2225</v>
      </c>
      <c r="D247" s="63" t="s">
        <v>132</v>
      </c>
      <c r="E247" s="63" t="s">
        <v>132</v>
      </c>
      <c r="F247" s="316" t="s">
        <v>1524</v>
      </c>
      <c r="G247" s="373"/>
    </row>
    <row r="248">
      <c r="A248" s="371" t="str">
        <f>HYPERLINK("https://en.uesp.net/wiki/Skyrim:Secunda%27s_Kiss","Secunda's Kiss")</f>
        <v>Secunda's Kiss</v>
      </c>
      <c r="B248" s="316" t="s">
        <v>2249</v>
      </c>
      <c r="C248" s="316" t="s">
        <v>2228</v>
      </c>
      <c r="D248" s="63" t="s">
        <v>132</v>
      </c>
      <c r="E248" s="63" t="s">
        <v>132</v>
      </c>
      <c r="F248" s="63" t="s">
        <v>132</v>
      </c>
      <c r="G248" s="372"/>
    </row>
    <row r="249">
      <c r="A249" s="371" t="str">
        <f>HYPERLINK("https://en.uesp.net/wiki/Skyrim:Septimus_Signus%27s_Outpost","Septimus Signus's Outpost")</f>
        <v>Septimus Signus's Outpost</v>
      </c>
      <c r="B249" s="316" t="s">
        <v>2239</v>
      </c>
      <c r="C249" s="316" t="s">
        <v>954</v>
      </c>
      <c r="D249" s="63" t="s">
        <v>132</v>
      </c>
      <c r="E249" s="63" t="s">
        <v>132</v>
      </c>
      <c r="F249" s="316" t="s">
        <v>1524</v>
      </c>
      <c r="G249" s="373"/>
    </row>
    <row r="250">
      <c r="A250" s="371" t="str">
        <f>HYPERLINK("https://en.uesp.net/wiki/Skyrim:Serpent%27s_Bluff_Redoubt","Serpent's Bluff Redoubt")</f>
        <v>Serpent's Bluff Redoubt</v>
      </c>
      <c r="B250" s="316" t="s">
        <v>2249</v>
      </c>
      <c r="C250" s="316" t="s">
        <v>993</v>
      </c>
      <c r="D250" s="63" t="s">
        <v>132</v>
      </c>
      <c r="E250" s="63" t="s">
        <v>132</v>
      </c>
      <c r="F250" s="63" t="s">
        <v>132</v>
      </c>
      <c r="G250" s="372"/>
    </row>
    <row r="251">
      <c r="A251" s="371" t="str">
        <f>HYPERLINK("https://en.uesp.net/wiki/Skyrim:Shadowgreen_Cavern","Shadowgreen Cavern")</f>
        <v>Shadowgreen Cavern</v>
      </c>
      <c r="B251" s="316" t="s">
        <v>2239</v>
      </c>
      <c r="C251" s="316" t="s">
        <v>2243</v>
      </c>
      <c r="D251" s="63" t="s">
        <v>132</v>
      </c>
      <c r="E251" s="63" t="s">
        <v>132</v>
      </c>
      <c r="F251" s="63" t="s">
        <v>132</v>
      </c>
      <c r="G251" s="372"/>
    </row>
    <row r="252">
      <c r="A252" s="371" t="str">
        <f>HYPERLINK("https://en.uesp.net/wiki/Skyrim:Shearpoint","Shearpoint")</f>
        <v>Shearpoint</v>
      </c>
      <c r="B252" s="316" t="s">
        <v>2227</v>
      </c>
      <c r="C252" s="316" t="s">
        <v>2230</v>
      </c>
      <c r="D252" s="63" t="s">
        <v>132</v>
      </c>
      <c r="E252" s="63" t="s">
        <v>132</v>
      </c>
      <c r="F252" s="63" t="s">
        <v>132</v>
      </c>
      <c r="G252" s="372"/>
    </row>
    <row r="253">
      <c r="A253" s="371" t="str">
        <f>HYPERLINK("https://en.uesp.net/wiki/Skyrim:Shimmermist_Cave","Shimmermist Cave")</f>
        <v>Shimmermist Cave</v>
      </c>
      <c r="B253" s="316" t="s">
        <v>2239</v>
      </c>
      <c r="C253" s="316" t="s">
        <v>993</v>
      </c>
      <c r="D253" s="63" t="s">
        <v>132</v>
      </c>
      <c r="E253" s="63" t="s">
        <v>132</v>
      </c>
      <c r="F253" s="63" t="s">
        <v>132</v>
      </c>
      <c r="G253" s="372"/>
    </row>
    <row r="254">
      <c r="A254" s="371" t="str">
        <f>HYPERLINK("https://en.uesp.net/wiki/Skyrim:Shor%27s_Stone","Shor's Stone")</f>
        <v>Shor's Stone</v>
      </c>
      <c r="B254" s="316" t="s">
        <v>2248</v>
      </c>
      <c r="C254" s="316" t="s">
        <v>2225</v>
      </c>
      <c r="D254" s="63" t="s">
        <v>132</v>
      </c>
      <c r="E254" s="63" t="s">
        <v>132</v>
      </c>
      <c r="F254" s="316" t="s">
        <v>1524</v>
      </c>
      <c r="G254" s="373"/>
    </row>
    <row r="255">
      <c r="A255" s="371" t="str">
        <f>HYPERLINK("https://en.uesp.net/wiki/Skyrim:Shor%27s_Watchtower","Shor's Watchtower")</f>
        <v>Shor's Watchtower</v>
      </c>
      <c r="B255" s="316" t="s">
        <v>2221</v>
      </c>
      <c r="C255" s="316" t="s">
        <v>2225</v>
      </c>
      <c r="D255" s="63" t="s">
        <v>132</v>
      </c>
      <c r="E255" s="63" t="s">
        <v>132</v>
      </c>
      <c r="F255" s="316" t="s">
        <v>1524</v>
      </c>
      <c r="G255" s="373"/>
    </row>
    <row r="256">
      <c r="A256" s="371" t="str">
        <f>HYPERLINK("https://en.uesp.net/wiki/Skyrim:Shrine_of_Azura","Shrine of Azura")</f>
        <v>Shrine of Azura</v>
      </c>
      <c r="B256" s="316" t="s">
        <v>2265</v>
      </c>
      <c r="C256" s="316" t="s">
        <v>954</v>
      </c>
      <c r="D256" s="63" t="s">
        <v>132</v>
      </c>
      <c r="E256" s="63" t="s">
        <v>132</v>
      </c>
      <c r="F256" s="316" t="s">
        <v>1524</v>
      </c>
      <c r="G256" s="373"/>
    </row>
    <row r="257">
      <c r="A257" s="371" t="str">
        <f>HYPERLINK("https://en.uesp.net/wiki/Skyrim:Shrine_of_Mehrunes_Dagon","Shrine of Mehrunes Dagon")</f>
        <v>Shrine of Mehrunes Dagon</v>
      </c>
      <c r="B257" s="316" t="s">
        <v>2265</v>
      </c>
      <c r="C257" s="316" t="s">
        <v>2230</v>
      </c>
      <c r="D257" s="63" t="s">
        <v>132</v>
      </c>
      <c r="E257" s="63" t="s">
        <v>132</v>
      </c>
      <c r="F257" s="316" t="s">
        <v>1524</v>
      </c>
      <c r="G257" s="373"/>
    </row>
    <row r="258">
      <c r="A258" s="371" t="str">
        <f>HYPERLINK("https://en.uesp.net/wiki/Skyrim:Shrine_to_Peryite","Shrine to Peryite")</f>
        <v>Shrine to Peryite</v>
      </c>
      <c r="B258" s="316" t="s">
        <v>2265</v>
      </c>
      <c r="C258" s="316" t="s">
        <v>2235</v>
      </c>
      <c r="D258" s="63" t="s">
        <v>132</v>
      </c>
      <c r="E258" s="63" t="s">
        <v>132</v>
      </c>
      <c r="F258" s="316" t="s">
        <v>1524</v>
      </c>
      <c r="G258" s="373"/>
    </row>
    <row r="259">
      <c r="A259" s="371" t="str">
        <f>HYPERLINK("https://en.uesp.net/wiki/Skyrim:Shroud_Hearth_Barrow","Shroud Hearth Barrow")</f>
        <v>Shroud Hearth Barrow</v>
      </c>
      <c r="B259" s="316" t="s">
        <v>2231</v>
      </c>
      <c r="C259" s="316" t="s">
        <v>2225</v>
      </c>
      <c r="D259" s="63" t="s">
        <v>132</v>
      </c>
      <c r="E259" s="63" t="s">
        <v>132</v>
      </c>
      <c r="F259" s="63" t="s">
        <v>132</v>
      </c>
      <c r="G259" s="372"/>
    </row>
    <row r="260">
      <c r="A260" s="371" t="str">
        <f>HYPERLINK("https://en.uesp.net/wiki/Skyrim:Shrouded_Grove","Shrouded Grove")</f>
        <v>Shrouded Grove</v>
      </c>
      <c r="B260" s="316" t="s">
        <v>2252</v>
      </c>
      <c r="C260" s="316" t="s">
        <v>2230</v>
      </c>
      <c r="D260" s="63" t="s">
        <v>132</v>
      </c>
      <c r="E260" s="63" t="s">
        <v>132</v>
      </c>
      <c r="F260" s="63" t="s">
        <v>132</v>
      </c>
      <c r="G260" s="372"/>
    </row>
    <row r="261">
      <c r="A261" s="371" t="str">
        <f>HYPERLINK("https://en.uesp.net/wiki/Skyrim:Sightless_Pit","Sightless Pit")</f>
        <v>Sightless Pit</v>
      </c>
      <c r="B261" s="316" t="s">
        <v>2266</v>
      </c>
      <c r="C261" s="316" t="s">
        <v>954</v>
      </c>
      <c r="D261" s="63" t="s">
        <v>132</v>
      </c>
      <c r="E261" s="63" t="s">
        <v>132</v>
      </c>
      <c r="F261" s="63" t="s">
        <v>132</v>
      </c>
      <c r="G261" s="372"/>
    </row>
    <row r="262">
      <c r="A262" s="371" t="str">
        <f>HYPERLINK("https://en.uesp.net/wiki/Skyrim:Silent_Moons_Camp","Silent Moons Camp")</f>
        <v>Silent Moons Camp</v>
      </c>
      <c r="B262" s="316" t="s">
        <v>2231</v>
      </c>
      <c r="C262" s="316" t="s">
        <v>993</v>
      </c>
      <c r="D262" s="63" t="s">
        <v>132</v>
      </c>
      <c r="E262" s="63" t="s">
        <v>132</v>
      </c>
      <c r="F262" s="63" t="s">
        <v>132</v>
      </c>
      <c r="G262" s="372"/>
    </row>
    <row r="263">
      <c r="A263" s="371" t="str">
        <f>HYPERLINK("https://en.uesp.net/wiki/Skyrim:Silverdrift_Lair","Silverdrift Lair")</f>
        <v>Silverdrift Lair</v>
      </c>
      <c r="B263" s="316" t="s">
        <v>2231</v>
      </c>
      <c r="C263" s="316" t="s">
        <v>2230</v>
      </c>
      <c r="D263" s="63" t="s">
        <v>132</v>
      </c>
      <c r="E263" s="63" t="s">
        <v>132</v>
      </c>
      <c r="F263" s="63" t="s">
        <v>132</v>
      </c>
      <c r="G263" s="372"/>
    </row>
    <row r="264">
      <c r="A264" s="371" t="str">
        <f>HYPERLINK("https://en.uesp.net/wiki/Skyrim:Skuldafn","Skuldafn*")</f>
        <v>Skuldafn*</v>
      </c>
      <c r="B264" s="316" t="s">
        <v>2231</v>
      </c>
      <c r="C264" s="316" t="s">
        <v>2222</v>
      </c>
      <c r="D264" s="316" t="s">
        <v>1524</v>
      </c>
      <c r="E264" s="63" t="s">
        <v>132</v>
      </c>
      <c r="F264" s="63" t="s">
        <v>132</v>
      </c>
      <c r="G264" s="372"/>
    </row>
    <row r="265">
      <c r="A265" s="371" t="str">
        <f>HYPERLINK("https://en.uesp.net/wiki/Skyrim:Sky_Haven_Temple","Sky Haven Temple")</f>
        <v>Sky Haven Temple</v>
      </c>
      <c r="B265" s="316" t="s">
        <v>2245</v>
      </c>
      <c r="C265" s="316" t="s">
        <v>2235</v>
      </c>
      <c r="D265" s="63" t="s">
        <v>132</v>
      </c>
      <c r="E265" s="63" t="s">
        <v>132</v>
      </c>
      <c r="F265" s="316" t="s">
        <v>1524</v>
      </c>
      <c r="G265" s="373"/>
    </row>
    <row r="266">
      <c r="A266" s="371" t="str">
        <f>HYPERLINK("https://en.uesp.net/wiki/Skyrim:Skyborn_Altar","Skyborn Altar")</f>
        <v>Skyborn Altar</v>
      </c>
      <c r="B266" s="316" t="s">
        <v>2227</v>
      </c>
      <c r="C266" s="316" t="s">
        <v>2224</v>
      </c>
      <c r="D266" s="63" t="s">
        <v>132</v>
      </c>
      <c r="E266" s="63" t="s">
        <v>132</v>
      </c>
      <c r="F266" s="63" t="s">
        <v>132</v>
      </c>
      <c r="G266" s="372"/>
    </row>
    <row r="267">
      <c r="A267" s="371" t="str">
        <f>HYPERLINK("https://en.uesp.net/wiki/Skyrim:Skytemple_Ruins","Skytemple Ruins")</f>
        <v>Skytemple Ruins</v>
      </c>
      <c r="B267" s="316" t="s">
        <v>2254</v>
      </c>
      <c r="C267" s="316" t="s">
        <v>954</v>
      </c>
      <c r="D267" s="63" t="s">
        <v>132</v>
      </c>
      <c r="E267" s="63" t="s">
        <v>132</v>
      </c>
      <c r="F267" s="63" t="s">
        <v>132</v>
      </c>
      <c r="G267" s="372"/>
    </row>
    <row r="268">
      <c r="A268" s="371" t="str">
        <f>HYPERLINK("https://en.uesp.net/wiki/Skyrim:Sleeping_Tree_Camp","Sleeping Tree Camp")</f>
        <v>Sleeping Tree Camp</v>
      </c>
      <c r="B268" s="316" t="s">
        <v>2240</v>
      </c>
      <c r="C268" s="316" t="s">
        <v>993</v>
      </c>
      <c r="D268" s="63" t="s">
        <v>132</v>
      </c>
      <c r="E268" s="63" t="s">
        <v>132</v>
      </c>
      <c r="F268" s="63" t="s">
        <v>132</v>
      </c>
      <c r="G268" s="372"/>
    </row>
    <row r="269">
      <c r="A269" s="371" t="str">
        <f>HYPERLINK("https://en.uesp.net/wiki/Skyrim:Snapleg_Cave","Snapleg Cave")</f>
        <v>Snapleg Cave</v>
      </c>
      <c r="B269" s="316" t="s">
        <v>2239</v>
      </c>
      <c r="C269" s="316" t="s">
        <v>2222</v>
      </c>
      <c r="D269" s="63" t="s">
        <v>132</v>
      </c>
      <c r="E269" s="63" t="s">
        <v>132</v>
      </c>
      <c r="F269" s="63" t="s">
        <v>132</v>
      </c>
      <c r="G269" s="372"/>
    </row>
    <row r="270">
      <c r="A270" s="371" t="str">
        <f>HYPERLINK("https://en.uesp.net/wiki/Skyrim:Snow_Veil_Sanctum","Snow Veil Sanctum*")</f>
        <v>Snow Veil Sanctum*</v>
      </c>
      <c r="B270" s="316" t="s">
        <v>2231</v>
      </c>
      <c r="C270" s="316" t="s">
        <v>954</v>
      </c>
      <c r="D270" s="63" t="s">
        <v>132</v>
      </c>
      <c r="E270" s="63" t="s">
        <v>132</v>
      </c>
      <c r="F270" s="316" t="s">
        <v>2256</v>
      </c>
      <c r="G270" s="373"/>
    </row>
    <row r="271">
      <c r="A271" s="371" t="str">
        <f>HYPERLINK("https://en.uesp.net/wiki/Skyrim:Snow-Shod_Farm","Snow-Shod Farm")</f>
        <v>Snow-Shod Farm</v>
      </c>
      <c r="B271" s="316" t="s">
        <v>2236</v>
      </c>
      <c r="C271" s="316" t="s">
        <v>2225</v>
      </c>
      <c r="D271" s="63" t="s">
        <v>132</v>
      </c>
      <c r="E271" s="63" t="s">
        <v>132</v>
      </c>
      <c r="F271" s="316" t="s">
        <v>1524</v>
      </c>
      <c r="G271" s="373"/>
    </row>
    <row r="272">
      <c r="A272" s="371" t="str">
        <f>HYPERLINK("https://en.uesp.net/wiki/Skyrim:Snowpoint_Beacon","Snowpoint Beacon")</f>
        <v>Snowpoint Beacon</v>
      </c>
      <c r="B272" s="316" t="s">
        <v>2221</v>
      </c>
      <c r="C272" s="316" t="s">
        <v>954</v>
      </c>
      <c r="D272" s="63" t="s">
        <v>132</v>
      </c>
      <c r="E272" s="63" t="s">
        <v>132</v>
      </c>
      <c r="F272" s="63" t="s">
        <v>132</v>
      </c>
      <c r="G272" s="372"/>
    </row>
    <row r="273">
      <c r="A273" s="371" t="str">
        <f>HYPERLINK("https://en.uesp.net/wiki/Skyrim:Solitude","Solitude")</f>
        <v>Solitude</v>
      </c>
      <c r="B273" s="316" t="s">
        <v>354</v>
      </c>
      <c r="C273" s="316" t="s">
        <v>2243</v>
      </c>
      <c r="D273" s="63" t="s">
        <v>132</v>
      </c>
      <c r="E273" s="63" t="s">
        <v>132</v>
      </c>
      <c r="F273" s="316" t="s">
        <v>1524</v>
      </c>
      <c r="G273" s="373"/>
    </row>
    <row r="274">
      <c r="A274" s="371" t="str">
        <f>HYPERLINK("https://en.uesp.net/wiki/Skyrim:Solitude_Lighthouse","Solitude Lighthouse")</f>
        <v>Solitude Lighthouse</v>
      </c>
      <c r="B274" s="316" t="s">
        <v>2255</v>
      </c>
      <c r="C274" s="316" t="s">
        <v>2243</v>
      </c>
      <c r="D274" s="63" t="s">
        <v>132</v>
      </c>
      <c r="E274" s="63" t="s">
        <v>132</v>
      </c>
      <c r="F274" s="316" t="s">
        <v>1524</v>
      </c>
      <c r="G274" s="373"/>
    </row>
    <row r="275">
      <c r="A275" s="371" t="str">
        <f>HYPERLINK("https://en.uesp.net/wiki/Skyrim:Solitude_Sawmill","Solitude Sawmill")</f>
        <v>Solitude Sawmill</v>
      </c>
      <c r="B275" s="316" t="s">
        <v>2229</v>
      </c>
      <c r="C275" s="316" t="s">
        <v>2243</v>
      </c>
      <c r="D275" s="63" t="s">
        <v>132</v>
      </c>
      <c r="E275" s="63" t="s">
        <v>132</v>
      </c>
      <c r="F275" s="316" t="s">
        <v>1524</v>
      </c>
      <c r="G275" s="373"/>
    </row>
    <row r="276">
      <c r="A276" s="371" t="str">
        <f>HYPERLINK("https://en.uesp.net/wiki/Skyrim:Soljund%27s_Sinkhole","Soljund's Sinkhole")</f>
        <v>Soljund's Sinkhole</v>
      </c>
      <c r="B276" s="316" t="s">
        <v>2267</v>
      </c>
      <c r="C276" s="316" t="s">
        <v>2235</v>
      </c>
      <c r="D276" s="63" t="s">
        <v>132</v>
      </c>
      <c r="E276" s="63" t="s">
        <v>132</v>
      </c>
      <c r="F276" s="63" t="s">
        <v>132</v>
      </c>
      <c r="G276" s="372"/>
    </row>
    <row r="277">
      <c r="A277" s="371" t="str">
        <f>HYPERLINK("https://en.uesp.net/wiki/Skyrim:Brittleshin_Pass","South Brittleshin Pass")</f>
        <v>South Brittleshin Pass</v>
      </c>
      <c r="B277" s="316" t="s">
        <v>2239</v>
      </c>
      <c r="C277" s="316" t="s">
        <v>2228</v>
      </c>
      <c r="D277" s="63" t="s">
        <v>132</v>
      </c>
      <c r="E277" s="63" t="s">
        <v>132</v>
      </c>
      <c r="F277" s="63" t="s">
        <v>132</v>
      </c>
      <c r="G277" s="372"/>
    </row>
    <row r="278">
      <c r="A278" s="371" t="str">
        <f>HYPERLINK("https://en.uesp.net/wiki/Skyrim:Cold_Rock_Pass","South Cold Rock Pass")</f>
        <v>South Cold Rock Pass</v>
      </c>
      <c r="B278" s="316" t="s">
        <v>2263</v>
      </c>
      <c r="C278" s="316" t="s">
        <v>993</v>
      </c>
      <c r="D278" s="63" t="s">
        <v>132</v>
      </c>
      <c r="E278" s="63" t="s">
        <v>132</v>
      </c>
      <c r="F278" s="63" t="s">
        <v>132</v>
      </c>
      <c r="G278" s="372"/>
    </row>
    <row r="279">
      <c r="A279" s="371" t="str">
        <f>HYPERLINK("https://en.uesp.net/wiki/Skyrim:Shriekwind_Bastion","South Shriekwind Bastion")</f>
        <v>South Shriekwind Bastion</v>
      </c>
      <c r="B279" s="316" t="s">
        <v>2231</v>
      </c>
      <c r="C279" s="316" t="s">
        <v>2228</v>
      </c>
      <c r="D279" s="63" t="s">
        <v>132</v>
      </c>
      <c r="E279" s="63" t="s">
        <v>132</v>
      </c>
      <c r="F279" s="63" t="s">
        <v>132</v>
      </c>
      <c r="G279" s="372"/>
    </row>
    <row r="280">
      <c r="A280" s="371" t="str">
        <f>HYPERLINK("https://en.uesp.net/wiki/Skyrim:South_Skybound_Watch","South Skybound Watch")</f>
        <v>South Skybound Watch</v>
      </c>
      <c r="B280" s="316" t="s">
        <v>2254</v>
      </c>
      <c r="C280" s="316" t="s">
        <v>2228</v>
      </c>
      <c r="D280" s="63" t="s">
        <v>132</v>
      </c>
      <c r="E280" s="63" t="s">
        <v>132</v>
      </c>
      <c r="F280" s="63" t="s">
        <v>132</v>
      </c>
      <c r="G280" s="372"/>
    </row>
    <row r="281">
      <c r="A281" s="371" t="str">
        <f>HYPERLINK("https://en.uesp.net/wiki/Skyrim:Soljund%27s_Sinkhole","Southfringe Sanctum")</f>
        <v>Southfringe Sanctum</v>
      </c>
      <c r="B281" s="316" t="s">
        <v>2239</v>
      </c>
      <c r="C281" s="316" t="s">
        <v>2235</v>
      </c>
      <c r="D281" s="63" t="s">
        <v>132</v>
      </c>
      <c r="E281" s="63" t="s">
        <v>132</v>
      </c>
      <c r="F281" s="63" t="s">
        <v>132</v>
      </c>
      <c r="G281" s="372"/>
    </row>
    <row r="282">
      <c r="A282" s="371" t="str">
        <f>HYPERLINK("https://en.uesp.net/wiki/Skyrim:Statue_to_Meridia","Statue to Meridia")</f>
        <v>Statue to Meridia</v>
      </c>
      <c r="B282" s="316" t="s">
        <v>2265</v>
      </c>
      <c r="C282" s="316" t="s">
        <v>2243</v>
      </c>
      <c r="D282" s="63" t="s">
        <v>132</v>
      </c>
      <c r="E282" s="63" t="s">
        <v>132</v>
      </c>
      <c r="F282" s="316" t="s">
        <v>1524</v>
      </c>
      <c r="G282" s="373"/>
    </row>
    <row r="283">
      <c r="A283" s="371" t="str">
        <f>HYPERLINK("https://en.uesp.net/wiki/Skyrim:Steamcrag_Camp","Steamcrag Camp")</f>
        <v>Steamcrag Camp</v>
      </c>
      <c r="B283" s="316" t="s">
        <v>2240</v>
      </c>
      <c r="C283" s="316" t="s">
        <v>2222</v>
      </c>
      <c r="D283" s="63" t="s">
        <v>132</v>
      </c>
      <c r="E283" s="63" t="s">
        <v>132</v>
      </c>
      <c r="F283" s="63" t="s">
        <v>132</v>
      </c>
      <c r="G283" s="372"/>
    </row>
    <row r="284">
      <c r="A284" s="371" t="str">
        <f>HYPERLINK("https://en.uesp.net/wiki/Skyrim:Steepfall_Burrow","Steepfall Burrow")</f>
        <v>Steepfall Burrow</v>
      </c>
      <c r="B284" s="316" t="s">
        <v>2239</v>
      </c>
      <c r="C284" s="316" t="s">
        <v>2243</v>
      </c>
      <c r="D284" s="63" t="s">
        <v>132</v>
      </c>
      <c r="E284" s="63" t="s">
        <v>132</v>
      </c>
      <c r="F284" s="63" t="s">
        <v>132</v>
      </c>
      <c r="G284" s="372"/>
    </row>
    <row r="285">
      <c r="A285" s="371" t="str">
        <f>HYPERLINK("https://en.uesp.net/wiki/Skyrim:Stendarr%27s_Beacon","Stendarr's Beacon")</f>
        <v>Stendarr's Beacon</v>
      </c>
      <c r="B285" s="316" t="s">
        <v>2221</v>
      </c>
      <c r="C285" s="316" t="s">
        <v>2225</v>
      </c>
      <c r="D285" s="63" t="s">
        <v>132</v>
      </c>
      <c r="E285" s="63" t="s">
        <v>132</v>
      </c>
      <c r="F285" s="63" t="s">
        <v>132</v>
      </c>
      <c r="G285" s="372"/>
    </row>
    <row r="286">
      <c r="A286" s="371" t="str">
        <f>HYPERLINK("https://en.uesp.net/wiki/Skyrim:Stillborn_Cave","Stillborn Cave")</f>
        <v>Stillborn Cave</v>
      </c>
      <c r="B286" s="316" t="s">
        <v>2239</v>
      </c>
      <c r="C286" s="316" t="s">
        <v>954</v>
      </c>
      <c r="D286" s="63" t="s">
        <v>132</v>
      </c>
      <c r="E286" s="63" t="s">
        <v>132</v>
      </c>
      <c r="F286" s="63" t="s">
        <v>132</v>
      </c>
      <c r="G286" s="372"/>
    </row>
    <row r="287">
      <c r="A287" s="371" t="str">
        <f>HYPERLINK("https://en.uesp.net/wiki/Skyrim:Stonehill_Bluff","Stonehill Bluff")</f>
        <v>Stonehill Bluff</v>
      </c>
      <c r="B287" s="316" t="s">
        <v>2240</v>
      </c>
      <c r="C287" s="316" t="s">
        <v>2230</v>
      </c>
      <c r="D287" s="63" t="s">
        <v>132</v>
      </c>
      <c r="E287" s="63" t="s">
        <v>132</v>
      </c>
      <c r="F287" s="63" t="s">
        <v>132</v>
      </c>
      <c r="G287" s="372"/>
    </row>
    <row r="288">
      <c r="A288" s="371" t="str">
        <f>HYPERLINK("https://en.uesp.net/wiki/Skyrim:Stonehills","Stonehills")</f>
        <v>Stonehills</v>
      </c>
      <c r="B288" s="316" t="s">
        <v>2247</v>
      </c>
      <c r="C288" s="316" t="s">
        <v>2224</v>
      </c>
      <c r="D288" s="63" t="s">
        <v>132</v>
      </c>
      <c r="E288" s="63" t="s">
        <v>132</v>
      </c>
      <c r="F288" s="316" t="s">
        <v>1524</v>
      </c>
      <c r="G288" s="373"/>
    </row>
    <row r="289">
      <c r="A289" s="371" t="str">
        <f>HYPERLINK("https://en.uesp.net/wiki/Skyrim:Stony_Creek_Cave","Stony Creek Cave")</f>
        <v>Stony Creek Cave</v>
      </c>
      <c r="B289" s="316" t="s">
        <v>2239</v>
      </c>
      <c r="C289" s="316" t="s">
        <v>2222</v>
      </c>
      <c r="D289" s="63" t="s">
        <v>132</v>
      </c>
      <c r="E289" s="63" t="s">
        <v>132</v>
      </c>
      <c r="F289" s="63" t="s">
        <v>132</v>
      </c>
      <c r="G289" s="372"/>
    </row>
    <row r="290">
      <c r="A290" s="371" t="str">
        <f>HYPERLINK("https://en.uesp.net/wiki/Skyrim:Sundered_Towers","Sundered Towers")</f>
        <v>Sundered Towers</v>
      </c>
      <c r="B290" s="316" t="s">
        <v>2233</v>
      </c>
      <c r="C290" s="316" t="s">
        <v>2235</v>
      </c>
      <c r="D290" s="63" t="s">
        <v>132</v>
      </c>
      <c r="E290" s="63" t="s">
        <v>132</v>
      </c>
      <c r="F290" s="316" t="s">
        <v>1524</v>
      </c>
      <c r="G290" s="373"/>
    </row>
    <row r="291">
      <c r="A291" s="371" t="str">
        <f>HYPERLINK("https://en.uesp.net/wiki/Skyrim:Sunderstone_Gorge","Sunderstone Gorge")</f>
        <v>Sunderstone Gorge</v>
      </c>
      <c r="B291" s="316" t="s">
        <v>2239</v>
      </c>
      <c r="C291" s="316" t="s">
        <v>2228</v>
      </c>
      <c r="D291" s="63" t="s">
        <v>132</v>
      </c>
      <c r="E291" s="63" t="s">
        <v>132</v>
      </c>
      <c r="F291" s="63" t="s">
        <v>132</v>
      </c>
      <c r="G291" s="372"/>
    </row>
    <row r="292">
      <c r="A292" s="371" t="str">
        <f>HYPERLINK("https://en.uesp.net/wiki/Skyrim:Swindler%27s_Den#Bugs","Swindler's Den")</f>
        <v>Swindler's Den</v>
      </c>
      <c r="B292" s="316" t="s">
        <v>2239</v>
      </c>
      <c r="C292" s="316" t="s">
        <v>993</v>
      </c>
      <c r="D292" s="63" t="s">
        <v>132</v>
      </c>
      <c r="E292" s="63" t="s">
        <v>132</v>
      </c>
      <c r="F292" s="63" t="s">
        <v>132</v>
      </c>
      <c r="G292" s="372"/>
    </row>
    <row r="293">
      <c r="A293" s="371" t="str">
        <f>HYPERLINK("https://en.uesp.net/wiki/Skyrim:Talking_Stone_Camp","Talking Stone Camp")</f>
        <v>Talking Stone Camp</v>
      </c>
      <c r="B293" s="316" t="s">
        <v>2240</v>
      </c>
      <c r="C293" s="316" t="s">
        <v>2224</v>
      </c>
      <c r="D293" s="63" t="s">
        <v>132</v>
      </c>
      <c r="E293" s="63" t="s">
        <v>132</v>
      </c>
      <c r="F293" s="63" t="s">
        <v>132</v>
      </c>
      <c r="G293" s="372"/>
    </row>
    <row r="294">
      <c r="A294" s="371" t="str">
        <f>HYPERLINK("https://en.uesp.net/wiki/Skyrim:Thalmor_Embassy","Thalmor Embassy")</f>
        <v>Thalmor Embassy</v>
      </c>
      <c r="B294" s="316" t="s">
        <v>2238</v>
      </c>
      <c r="C294" s="316" t="s">
        <v>2243</v>
      </c>
      <c r="D294" s="63" t="s">
        <v>132</v>
      </c>
      <c r="E294" s="63" t="s">
        <v>132</v>
      </c>
      <c r="F294" s="316" t="s">
        <v>1524</v>
      </c>
      <c r="G294" s="373"/>
    </row>
    <row r="295">
      <c r="A295" s="371" t="str">
        <f>HYPERLINK("https://en.uesp.net/wiki/Skyrim:The_Apprentice_Stone","The Apprentice Stone")</f>
        <v>The Apprentice Stone</v>
      </c>
      <c r="B295" s="316" t="s">
        <v>2268</v>
      </c>
      <c r="C295" s="316" t="s">
        <v>2224</v>
      </c>
      <c r="D295" s="63" t="s">
        <v>132</v>
      </c>
      <c r="E295" s="63" t="s">
        <v>132</v>
      </c>
      <c r="F295" s="316" t="s">
        <v>1524</v>
      </c>
      <c r="G295" s="373"/>
    </row>
    <row r="296">
      <c r="A296" s="371" t="str">
        <f>HYPERLINK("https://en.uesp.net/wiki/Skyrim:The_Atronach_Stone","The Atronach Stone")</f>
        <v>The Atronach Stone</v>
      </c>
      <c r="B296" s="316" t="s">
        <v>2268</v>
      </c>
      <c r="C296" s="316" t="s">
        <v>2222</v>
      </c>
      <c r="D296" s="63" t="s">
        <v>132</v>
      </c>
      <c r="E296" s="63" t="s">
        <v>132</v>
      </c>
      <c r="F296" s="316" t="s">
        <v>1524</v>
      </c>
      <c r="G296" s="373"/>
    </row>
    <row r="297">
      <c r="A297" s="381" t="str">
        <f>HYPERLINK("https://en.uesp.net/wiki/Skyrim:The_Chill","The Chill*")</f>
        <v>The Chill*</v>
      </c>
      <c r="B297" s="316" t="s">
        <v>2239</v>
      </c>
      <c r="C297" s="316" t="s">
        <v>954</v>
      </c>
      <c r="D297" s="316" t="s">
        <v>2256</v>
      </c>
      <c r="E297" s="63" t="s">
        <v>132</v>
      </c>
      <c r="F297" s="316" t="s">
        <v>1524</v>
      </c>
      <c r="G297" s="373"/>
    </row>
    <row r="298">
      <c r="A298" s="371" t="str">
        <f>HYPERLINK("https://en.uesp.net/wiki/Skyrim:The_Guardian_Stones","The Guardian Stones")</f>
        <v>The Guardian Stones</v>
      </c>
      <c r="B298" s="316" t="s">
        <v>2268</v>
      </c>
      <c r="C298" s="316" t="s">
        <v>2228</v>
      </c>
      <c r="D298" s="63" t="s">
        <v>132</v>
      </c>
      <c r="E298" s="63" t="s">
        <v>132</v>
      </c>
      <c r="F298" s="316" t="s">
        <v>1524</v>
      </c>
      <c r="G298" s="373"/>
    </row>
    <row r="299">
      <c r="A299" s="371" t="str">
        <f>HYPERLINK("https://en.uesp.net/wiki/Skyrim:The_Katariah","The Katariah")</f>
        <v>The Katariah</v>
      </c>
      <c r="B299" s="316" t="s">
        <v>2246</v>
      </c>
      <c r="C299" s="316" t="s">
        <v>2243</v>
      </c>
      <c r="D299" s="63" t="s">
        <v>132</v>
      </c>
      <c r="E299" s="63" t="s">
        <v>132</v>
      </c>
      <c r="F299" s="63" t="s">
        <v>132</v>
      </c>
      <c r="G299" s="372"/>
    </row>
    <row r="300">
      <c r="A300" s="371" t="str">
        <f>HYPERLINK("https://en.uesp.net/wiki/Skyrim:The_Lady_Stone","The Lady Stone")</f>
        <v>The Lady Stone</v>
      </c>
      <c r="B300" s="316" t="s">
        <v>2268</v>
      </c>
      <c r="C300" s="316" t="s">
        <v>2228</v>
      </c>
      <c r="D300" s="63" t="s">
        <v>132</v>
      </c>
      <c r="E300" s="63" t="s">
        <v>132</v>
      </c>
      <c r="F300" s="316" t="s">
        <v>1524</v>
      </c>
      <c r="G300" s="373"/>
    </row>
    <row r="301">
      <c r="A301" s="371" t="str">
        <f>HYPERLINK("https://en.uesp.net/wiki/Skyrim:The_Lord_Stone","The Lord Stone")</f>
        <v>The Lord Stone</v>
      </c>
      <c r="B301" s="316" t="s">
        <v>2268</v>
      </c>
      <c r="C301" s="316" t="s">
        <v>2224</v>
      </c>
      <c r="D301" s="63" t="s">
        <v>132</v>
      </c>
      <c r="E301" s="63" t="s">
        <v>132</v>
      </c>
      <c r="F301" s="316" t="s">
        <v>1524</v>
      </c>
      <c r="G301" s="373"/>
    </row>
    <row r="302">
      <c r="A302" s="371" t="str">
        <f>HYPERLINK("https://en.uesp.net/wiki/Skyrim:The_Lover_Stone","The Lover Stone")</f>
        <v>The Lover Stone</v>
      </c>
      <c r="B302" s="316" t="s">
        <v>2268</v>
      </c>
      <c r="C302" s="316" t="s">
        <v>2235</v>
      </c>
      <c r="D302" s="63" t="s">
        <v>132</v>
      </c>
      <c r="E302" s="63" t="s">
        <v>132</v>
      </c>
      <c r="F302" s="316" t="s">
        <v>1524</v>
      </c>
      <c r="G302" s="373"/>
    </row>
    <row r="303">
      <c r="A303" s="371" t="str">
        <f>HYPERLINK("https://en.uesp.net/wiki/Skyrim:The_Ritual_Stone","The Ritual Stone")</f>
        <v>The Ritual Stone</v>
      </c>
      <c r="B303" s="316" t="s">
        <v>2268</v>
      </c>
      <c r="C303" s="316" t="s">
        <v>993</v>
      </c>
      <c r="D303" s="63" t="s">
        <v>132</v>
      </c>
      <c r="E303" s="63" t="s">
        <v>132</v>
      </c>
      <c r="F303" s="316" t="s">
        <v>1524</v>
      </c>
      <c r="G303" s="373"/>
    </row>
    <row r="304">
      <c r="A304" s="371" t="str">
        <f>HYPERLINK("https://en.uesp.net/wiki/Skyrim:The_Serpent_Stone","The Serpent Stone")</f>
        <v>The Serpent Stone</v>
      </c>
      <c r="B304" s="316" t="s">
        <v>2268</v>
      </c>
      <c r="C304" s="316" t="s">
        <v>954</v>
      </c>
      <c r="D304" s="63" t="s">
        <v>132</v>
      </c>
      <c r="E304" s="63" t="s">
        <v>132</v>
      </c>
      <c r="F304" s="316" t="s">
        <v>1524</v>
      </c>
      <c r="G304" s="373"/>
    </row>
    <row r="305">
      <c r="A305" s="371" t="str">
        <f>HYPERLINK("https://en.uesp.net/wiki/Skyrim:The_Shadow_Stone","The Shadow Stone")</f>
        <v>The Shadow Stone</v>
      </c>
      <c r="B305" s="316" t="s">
        <v>2268</v>
      </c>
      <c r="C305" s="316" t="s">
        <v>2225</v>
      </c>
      <c r="D305" s="63" t="s">
        <v>132</v>
      </c>
      <c r="E305" s="63" t="s">
        <v>132</v>
      </c>
      <c r="F305" s="316" t="s">
        <v>1524</v>
      </c>
      <c r="G305" s="373"/>
    </row>
    <row r="306">
      <c r="A306" s="371" t="str">
        <f>HYPERLINK("https://en.uesp.net/wiki/Skyrim:The_Steed_Stone","The Steed Stone")</f>
        <v>The Steed Stone</v>
      </c>
      <c r="B306" s="316" t="s">
        <v>2268</v>
      </c>
      <c r="C306" s="316" t="s">
        <v>2243</v>
      </c>
      <c r="D306" s="63" t="s">
        <v>132</v>
      </c>
      <c r="E306" s="63" t="s">
        <v>132</v>
      </c>
      <c r="F306" s="316" t="s">
        <v>1524</v>
      </c>
      <c r="G306" s="373"/>
    </row>
    <row r="307">
      <c r="A307" s="371" t="str">
        <f>HYPERLINK("https://en.uesp.net/wiki/Skyrim:The_Tower_Stone","The Tower Stone")</f>
        <v>The Tower Stone</v>
      </c>
      <c r="B307" s="316" t="s">
        <v>2268</v>
      </c>
      <c r="C307" s="316" t="s">
        <v>954</v>
      </c>
      <c r="D307" s="63" t="s">
        <v>132</v>
      </c>
      <c r="E307" s="63" t="s">
        <v>132</v>
      </c>
      <c r="F307" s="316" t="s">
        <v>1524</v>
      </c>
      <c r="G307" s="373"/>
    </row>
    <row r="308">
      <c r="A308" s="371" t="str">
        <f>hyperlink("https://en.m.uesp.net/wiki/Skyrim:The_Ragged_Flagon_-_Cistern","Thieves Guild")</f>
        <v>Thieves Guild</v>
      </c>
      <c r="B308" s="316" t="s">
        <v>2245</v>
      </c>
      <c r="C308" s="316" t="s">
        <v>2225</v>
      </c>
      <c r="D308" s="63" t="s">
        <v>132</v>
      </c>
      <c r="E308" s="63" t="s">
        <v>132</v>
      </c>
      <c r="F308" s="316" t="s">
        <v>1524</v>
      </c>
      <c r="G308" s="373"/>
    </row>
    <row r="309">
      <c r="A309" s="371" t="str">
        <f>HYPERLINK("https://en.uesp.net/wiki/Skyrim:Throat_of_the_World","Throat of the World")</f>
        <v>Throat of the World</v>
      </c>
      <c r="B309" s="316" t="s">
        <v>2234</v>
      </c>
      <c r="C309" s="316" t="s">
        <v>993</v>
      </c>
      <c r="D309" s="63" t="s">
        <v>132</v>
      </c>
      <c r="E309" s="63" t="s">
        <v>132</v>
      </c>
      <c r="F309" s="316" t="s">
        <v>1524</v>
      </c>
      <c r="G309" s="373"/>
    </row>
    <row r="310">
      <c r="A310" s="371" t="str">
        <f>HYPERLINK("https://en.uesp.net/wiki/Skyrim:Tolvald%27s_Cave","Tolvald's Cave")</f>
        <v>Tolvald's Cave</v>
      </c>
      <c r="B310" s="316" t="s">
        <v>2266</v>
      </c>
      <c r="C310" s="316" t="s">
        <v>2225</v>
      </c>
      <c r="D310" s="63" t="s">
        <v>132</v>
      </c>
      <c r="E310" s="63" t="s">
        <v>132</v>
      </c>
      <c r="F310" s="63" t="s">
        <v>132</v>
      </c>
      <c r="G310" s="372"/>
    </row>
    <row r="311">
      <c r="A311" s="371" t="str">
        <f>HYPERLINK("https://en.uesp.net/wiki/Skyrim:Tower_of_Mzark","Tower of Mzark")</f>
        <v>Tower of Mzark</v>
      </c>
      <c r="B311" s="316" t="s">
        <v>2226</v>
      </c>
      <c r="C311" s="316" t="s">
        <v>2230</v>
      </c>
      <c r="D311" s="63" t="s">
        <v>132</v>
      </c>
      <c r="E311" s="63" t="s">
        <v>132</v>
      </c>
      <c r="F311" s="316" t="s">
        <v>1524</v>
      </c>
      <c r="G311" s="373"/>
    </row>
    <row r="312">
      <c r="A312" s="371" t="str">
        <f>HYPERLINK("https://en.uesp.net/wiki/Skyrim:Traitor%27s_Post","Traitor's Post")</f>
        <v>Traitor's Post</v>
      </c>
      <c r="B312" s="316" t="s">
        <v>2223</v>
      </c>
      <c r="C312" s="316" t="s">
        <v>2222</v>
      </c>
      <c r="D312" s="63" t="s">
        <v>132</v>
      </c>
      <c r="E312" s="63" t="s">
        <v>132</v>
      </c>
      <c r="F312" s="63" t="s">
        <v>132</v>
      </c>
      <c r="G312" s="372"/>
    </row>
    <row r="313">
      <c r="A313" s="371" t="str">
        <f>HYPERLINK("https://en.uesp.net/wiki/Skyrim:Treva%27s_Watch","Treva's Watch")</f>
        <v>Treva's Watch</v>
      </c>
      <c r="B313" s="316" t="s">
        <v>2241</v>
      </c>
      <c r="C313" s="316" t="s">
        <v>2225</v>
      </c>
      <c r="D313" s="63" t="s">
        <v>132</v>
      </c>
      <c r="E313" s="63" t="s">
        <v>132</v>
      </c>
      <c r="F313" s="63" t="s">
        <v>132</v>
      </c>
      <c r="G313" s="372"/>
    </row>
    <row r="314">
      <c r="A314" s="371" t="str">
        <f>HYPERLINK("https://en.uesp.net/wiki/Skyrim:Tumble_Arch_Pass","Tumble Arch Pass")</f>
        <v>Tumble Arch Pass</v>
      </c>
      <c r="B314" s="316" t="s">
        <v>2240</v>
      </c>
      <c r="C314" s="316" t="s">
        <v>2230</v>
      </c>
      <c r="D314" s="63" t="s">
        <v>132</v>
      </c>
      <c r="E314" s="63" t="s">
        <v>132</v>
      </c>
      <c r="F314" s="63" t="s">
        <v>132</v>
      </c>
      <c r="G314" s="372"/>
    </row>
    <row r="315">
      <c r="A315" s="371" t="str">
        <f>HYPERLINK("https://en.uesp.net/wiki/Skyrim:Twilight_Sepulcher","Twilight Sepulcher")</f>
        <v>Twilight Sepulcher</v>
      </c>
      <c r="B315" s="316" t="s">
        <v>2231</v>
      </c>
      <c r="C315" s="316" t="s">
        <v>2228</v>
      </c>
      <c r="D315" s="63" t="s">
        <v>132</v>
      </c>
      <c r="E315" s="63" t="s">
        <v>132</v>
      </c>
      <c r="F315" s="316" t="s">
        <v>1524</v>
      </c>
      <c r="G315" s="373"/>
    </row>
    <row r="316">
      <c r="A316" s="371" t="str">
        <f>HYPERLINK("https://en.uesp.net/wiki/Skyrim:Understone_Keep","Understone Keep")</f>
        <v>Understone Keep</v>
      </c>
      <c r="B316" s="316" t="s">
        <v>2242</v>
      </c>
      <c r="C316" s="316" t="s">
        <v>2235</v>
      </c>
      <c r="D316" s="63" t="s">
        <v>132</v>
      </c>
      <c r="E316" s="63" t="s">
        <v>132</v>
      </c>
      <c r="F316" s="316" t="s">
        <v>1524</v>
      </c>
      <c r="G316" s="373"/>
    </row>
    <row r="317">
      <c r="A317" s="371" t="str">
        <f>HYPERLINK("https://en.uesp.net/wiki/Skyrim:Ustengrav","Ustengrav")</f>
        <v>Ustengrav</v>
      </c>
      <c r="B317" s="316" t="s">
        <v>2231</v>
      </c>
      <c r="C317" s="316" t="s">
        <v>2224</v>
      </c>
      <c r="D317" s="63" t="s">
        <v>132</v>
      </c>
      <c r="E317" s="63" t="s">
        <v>132</v>
      </c>
      <c r="F317" s="316" t="s">
        <v>1524</v>
      </c>
      <c r="G317" s="373"/>
    </row>
    <row r="318">
      <c r="A318" s="371" t="str">
        <f>HYPERLINK("https://en.uesp.net/wiki/Skyrim:Uttering_Hills_Cave","Uttering Hills Cave")</f>
        <v>Uttering Hills Cave</v>
      </c>
      <c r="B318" s="316" t="s">
        <v>2239</v>
      </c>
      <c r="C318" s="316" t="s">
        <v>2222</v>
      </c>
      <c r="D318" s="63" t="s">
        <v>132</v>
      </c>
      <c r="E318" s="63" t="s">
        <v>132</v>
      </c>
      <c r="F318" s="63" t="s">
        <v>132</v>
      </c>
      <c r="G318" s="372"/>
    </row>
    <row r="319">
      <c r="A319" s="371" t="str">
        <f>HYPERLINK("https://en.uesp.net/wiki/Skyrim:Valtheim_Towers","Valtheim Towers")</f>
        <v>Valtheim Towers</v>
      </c>
      <c r="B319" s="316" t="s">
        <v>2233</v>
      </c>
      <c r="C319" s="316" t="s">
        <v>993</v>
      </c>
      <c r="D319" s="63" t="s">
        <v>132</v>
      </c>
      <c r="E319" s="63" t="s">
        <v>132</v>
      </c>
      <c r="F319" s="63" t="s">
        <v>132</v>
      </c>
      <c r="G319" s="372"/>
    </row>
    <row r="320">
      <c r="A320" s="371" t="str">
        <f>HYPERLINK("https://en.uesp.net/wiki/Skyrim:Valthume","Valthume")</f>
        <v>Valthume</v>
      </c>
      <c r="B320" s="316" t="s">
        <v>2231</v>
      </c>
      <c r="C320" s="316" t="s">
        <v>2235</v>
      </c>
      <c r="D320" s="63" t="s">
        <v>132</v>
      </c>
      <c r="E320" s="63" t="s">
        <v>132</v>
      </c>
      <c r="F320" s="63" t="s">
        <v>132</v>
      </c>
      <c r="G320" s="372"/>
    </row>
    <row r="321">
      <c r="A321" s="371" t="str">
        <f>HYPERLINK("https://en.uesp.net/wiki/Skyrim:Volskygge","Volskygge")</f>
        <v>Volskygge</v>
      </c>
      <c r="B321" s="316" t="s">
        <v>2231</v>
      </c>
      <c r="C321" s="316" t="s">
        <v>2243</v>
      </c>
      <c r="D321" s="63" t="s">
        <v>132</v>
      </c>
      <c r="E321" s="63" t="s">
        <v>132</v>
      </c>
      <c r="F321" s="63" t="s">
        <v>132</v>
      </c>
      <c r="G321" s="372"/>
    </row>
    <row r="322">
      <c r="A322" s="371" t="str">
        <f>HYPERLINK("https://en.uesp.net/wiki/Skyrim:Volunruud","Volunruud")</f>
        <v>Volunruud</v>
      </c>
      <c r="B322" s="316" t="s">
        <v>2231</v>
      </c>
      <c r="C322" s="316" t="s">
        <v>2230</v>
      </c>
      <c r="D322" s="63" t="s">
        <v>132</v>
      </c>
      <c r="E322" s="63" t="s">
        <v>132</v>
      </c>
      <c r="F322" s="63" t="s">
        <v>132</v>
      </c>
      <c r="G322" s="372"/>
    </row>
    <row r="323">
      <c r="A323" s="371" t="str">
        <f>HYPERLINK("https://en.uesp.net/wiki/Skyrim:Wayward_Pass","Wayward Pass")</f>
        <v>Wayward Pass</v>
      </c>
      <c r="B323" s="316" t="s">
        <v>2269</v>
      </c>
      <c r="C323" s="316" t="s">
        <v>954</v>
      </c>
      <c r="D323" s="63" t="s">
        <v>132</v>
      </c>
      <c r="E323" s="63" t="s">
        <v>132</v>
      </c>
      <c r="F323" s="316" t="s">
        <v>1524</v>
      </c>
      <c r="G323" s="373"/>
    </row>
    <row r="324">
      <c r="A324" s="371" t="str">
        <f>HYPERLINK("https://en.uesp.net/wiki/Skyrim:Western_Watchtower","Western Watchtower")</f>
        <v>Western Watchtower</v>
      </c>
      <c r="B324" s="316" t="s">
        <v>2241</v>
      </c>
      <c r="C324" s="316" t="s">
        <v>993</v>
      </c>
      <c r="D324" s="63" t="s">
        <v>132</v>
      </c>
      <c r="E324" s="63" t="s">
        <v>132</v>
      </c>
      <c r="F324" s="316" t="s">
        <v>1524</v>
      </c>
      <c r="G324" s="373"/>
    </row>
    <row r="325">
      <c r="A325" s="371" t="str">
        <f>HYPERLINK("https://en.uesp.net/wiki/Skyrim:Weynon_Stones","Weynon Stones")</f>
        <v>Weynon Stones</v>
      </c>
      <c r="B325" s="316" t="s">
        <v>2234</v>
      </c>
      <c r="C325" s="316" t="s">
        <v>2230</v>
      </c>
      <c r="D325" s="63" t="s">
        <v>132</v>
      </c>
      <c r="E325" s="63" t="s">
        <v>132</v>
      </c>
      <c r="F325" s="63" t="s">
        <v>132</v>
      </c>
      <c r="G325" s="372"/>
    </row>
    <row r="326">
      <c r="A326" s="371" t="str">
        <f>HYPERLINK("https://en.uesp.net/wiki/Skyrim:Whistling_Mine","Whistling Mine")</f>
        <v>Whistling Mine</v>
      </c>
      <c r="B326" s="316" t="s">
        <v>2237</v>
      </c>
      <c r="C326" s="316" t="s">
        <v>954</v>
      </c>
      <c r="D326" s="63" t="s">
        <v>132</v>
      </c>
      <c r="E326" s="63" t="s">
        <v>132</v>
      </c>
      <c r="F326" s="316" t="s">
        <v>1524</v>
      </c>
      <c r="G326" s="373"/>
    </row>
    <row r="327">
      <c r="A327" s="371" t="str">
        <f>HYPERLINK("https://en.uesp.net/wiki/Skyrim:White_River_Watch","White River Watch")</f>
        <v>White River Watch</v>
      </c>
      <c r="B327" s="316" t="s">
        <v>2239</v>
      </c>
      <c r="C327" s="316" t="s">
        <v>993</v>
      </c>
      <c r="D327" s="63" t="s">
        <v>132</v>
      </c>
      <c r="E327" s="63" t="s">
        <v>132</v>
      </c>
      <c r="F327" s="63" t="s">
        <v>132</v>
      </c>
      <c r="G327" s="372"/>
    </row>
    <row r="328">
      <c r="A328" s="371" t="str">
        <f>HYPERLINK("https://en.uesp.net/wiki/Skyrim:Whiterun","Whiterun")</f>
        <v>Whiterun</v>
      </c>
      <c r="B328" s="316" t="s">
        <v>354</v>
      </c>
      <c r="C328" s="316" t="s">
        <v>993</v>
      </c>
      <c r="D328" s="63" t="s">
        <v>132</v>
      </c>
      <c r="E328" s="63" t="s">
        <v>132</v>
      </c>
      <c r="F328" s="316" t="s">
        <v>1524</v>
      </c>
      <c r="G328" s="373"/>
    </row>
    <row r="329">
      <c r="A329" s="371" t="str">
        <f>HYPERLINK("https://en.uesp.net/wiki/Skyrim:Whiterun_Stables","Whiterun Stables")</f>
        <v>Whiterun Stables</v>
      </c>
      <c r="B329" s="316" t="s">
        <v>2261</v>
      </c>
      <c r="C329" s="316" t="s">
        <v>993</v>
      </c>
      <c r="D329" s="63" t="s">
        <v>132</v>
      </c>
      <c r="E329" s="63" t="s">
        <v>132</v>
      </c>
      <c r="F329" s="316" t="s">
        <v>1524</v>
      </c>
      <c r="G329" s="373"/>
    </row>
    <row r="330">
      <c r="A330" s="371" t="str">
        <f>HYPERLINK("https://en.uesp.net/wiki/Skyrim:Whitewatch_Tower","Whitewatch Tower")</f>
        <v>Whitewatch Tower</v>
      </c>
      <c r="B330" s="316" t="s">
        <v>2221</v>
      </c>
      <c r="C330" s="316" t="s">
        <v>993</v>
      </c>
      <c r="D330" s="63" t="s">
        <v>132</v>
      </c>
      <c r="E330" s="63" t="s">
        <v>132</v>
      </c>
      <c r="F330" s="316" t="s">
        <v>1524</v>
      </c>
      <c r="G330" s="373"/>
    </row>
    <row r="331">
      <c r="A331" s="371" t="str">
        <f>HYPERLINK("https://en.uesp.net/wiki/Skyrim:Widow%27s_Watch_Ruins","Widow's Watch Ruins")</f>
        <v>Widow's Watch Ruins</v>
      </c>
      <c r="B331" s="316" t="s">
        <v>2221</v>
      </c>
      <c r="C331" s="316" t="s">
        <v>2243</v>
      </c>
      <c r="D331" s="63" t="s">
        <v>132</v>
      </c>
      <c r="E331" s="63" t="s">
        <v>132</v>
      </c>
      <c r="F331" s="316" t="s">
        <v>1524</v>
      </c>
      <c r="G331" s="373"/>
    </row>
    <row r="332">
      <c r="A332" s="371" t="str">
        <f>HYPERLINK("https://en.uesp.net/wiki/Skyrim:Windhelm","Windhelm")</f>
        <v>Windhelm</v>
      </c>
      <c r="B332" s="316" t="s">
        <v>354</v>
      </c>
      <c r="C332" s="316" t="s">
        <v>2222</v>
      </c>
      <c r="D332" s="63" t="s">
        <v>132</v>
      </c>
      <c r="E332" s="63" t="s">
        <v>132</v>
      </c>
      <c r="F332" s="316" t="s">
        <v>1524</v>
      </c>
      <c r="G332" s="373"/>
    </row>
    <row r="333">
      <c r="A333" s="371" t="str">
        <f>HYPERLINK("https://en.uesp.net/wiki/Skyrim:Windhelm_Stables","Windhelm Stables")</f>
        <v>Windhelm Stables</v>
      </c>
      <c r="B333" s="316" t="s">
        <v>2261</v>
      </c>
      <c r="C333" s="316" t="s">
        <v>2222</v>
      </c>
      <c r="D333" s="63" t="s">
        <v>132</v>
      </c>
      <c r="E333" s="63" t="s">
        <v>132</v>
      </c>
      <c r="F333" s="316" t="s">
        <v>1524</v>
      </c>
      <c r="G333" s="373"/>
    </row>
    <row r="334">
      <c r="A334" s="371" t="str">
        <f>HYPERLINK("https://en.uesp.net/wiki/Skyrim:Windward_Ruins","Windward Ruins")</f>
        <v>Windward Ruins</v>
      </c>
      <c r="B334" s="316" t="s">
        <v>2254</v>
      </c>
      <c r="C334" s="316" t="s">
        <v>2230</v>
      </c>
      <c r="D334" s="63" t="s">
        <v>132</v>
      </c>
      <c r="E334" s="63" t="s">
        <v>132</v>
      </c>
      <c r="F334" s="63" t="s">
        <v>132</v>
      </c>
      <c r="G334" s="372"/>
    </row>
    <row r="335">
      <c r="A335" s="371" t="str">
        <f>HYPERLINK("https://en.uesp.net/wiki/Skyrim:Winterhold","Winterhold")</f>
        <v>Winterhold</v>
      </c>
      <c r="B335" s="316" t="s">
        <v>354</v>
      </c>
      <c r="C335" s="316" t="s">
        <v>954</v>
      </c>
      <c r="D335" s="63" t="s">
        <v>132</v>
      </c>
      <c r="E335" s="63" t="s">
        <v>132</v>
      </c>
      <c r="F335" s="316" t="s">
        <v>1524</v>
      </c>
      <c r="G335" s="373"/>
    </row>
    <row r="336">
      <c r="A336" s="371" t="str">
        <f>HYPERLINK("https://en.uesp.net/wiki/Skyrim:Witchmist_Grove","Witchmist Grove")</f>
        <v>Witchmist Grove</v>
      </c>
      <c r="B336" s="316" t="s">
        <v>2252</v>
      </c>
      <c r="C336" s="316" t="s">
        <v>2222</v>
      </c>
      <c r="D336" s="63" t="s">
        <v>132</v>
      </c>
      <c r="E336" s="63" t="s">
        <v>132</v>
      </c>
      <c r="F336" s="316" t="s">
        <v>1524</v>
      </c>
      <c r="G336" s="373"/>
    </row>
    <row r="337">
      <c r="A337" s="371" t="str">
        <f>HYPERLINK("https://en.uesp.net/wiki/Skyrim:Wolfskull_Cave","Wolfskull Cave")</f>
        <v>Wolfskull Cave</v>
      </c>
      <c r="B337" s="316" t="s">
        <v>2239</v>
      </c>
      <c r="C337" s="316" t="s">
        <v>2243</v>
      </c>
      <c r="D337" s="63" t="s">
        <v>132</v>
      </c>
      <c r="E337" s="63" t="s">
        <v>132</v>
      </c>
      <c r="F337" s="63" t="s">
        <v>132</v>
      </c>
      <c r="G337" s="372"/>
    </row>
    <row r="338">
      <c r="A338" s="371" t="str">
        <f>HYPERLINK("https://en.uesp.net/wiki/Skyrim:Wreck_Of_The_Brinehammer","Wreck Of The Brinehammer")</f>
        <v>Wreck Of The Brinehammer</v>
      </c>
      <c r="B338" s="316" t="s">
        <v>2246</v>
      </c>
      <c r="C338" s="316" t="s">
        <v>2230</v>
      </c>
      <c r="D338" s="63" t="s">
        <v>132</v>
      </c>
      <c r="E338" s="63" t="s">
        <v>132</v>
      </c>
      <c r="F338" s="63" t="s">
        <v>132</v>
      </c>
      <c r="G338" s="372"/>
    </row>
    <row r="339">
      <c r="A339" s="371" t="str">
        <f>HYPERLINK("https://en.uesp.net/wiki/Skyrim:Wreck_of_the_Icerunner","Wreck of the Icerunner")</f>
        <v>Wreck of the Icerunner</v>
      </c>
      <c r="B339" s="316" t="s">
        <v>2246</v>
      </c>
      <c r="C339" s="316" t="s">
        <v>2224</v>
      </c>
      <c r="D339" s="63" t="s">
        <v>132</v>
      </c>
      <c r="E339" s="63" t="s">
        <v>132</v>
      </c>
      <c r="F339" s="316" t="s">
        <v>1524</v>
      </c>
      <c r="G339" s="373"/>
    </row>
    <row r="340">
      <c r="A340" s="371" t="str">
        <f>HYPERLINK("https://en.uesp.net/wiki/Skyrim:Wreck_of_The_Pride_of_Tel_Vos","Wreck of The Pride of Tel Vos")</f>
        <v>Wreck of The Pride of Tel Vos</v>
      </c>
      <c r="B340" s="316" t="s">
        <v>2246</v>
      </c>
      <c r="C340" s="316" t="s">
        <v>954</v>
      </c>
      <c r="D340" s="63" t="s">
        <v>132</v>
      </c>
      <c r="E340" s="63" t="s">
        <v>132</v>
      </c>
      <c r="F340" s="63" t="s">
        <v>132</v>
      </c>
      <c r="G340" s="372"/>
    </row>
    <row r="341">
      <c r="A341" s="382" t="str">
        <f>HYPERLINK("https://en.uesp.net/wiki/Skyrim:Wreck_of_the_Winter_War","Wreck of the Winter War")</f>
        <v>Wreck of the Winter War</v>
      </c>
      <c r="B341" s="383" t="s">
        <v>2246</v>
      </c>
      <c r="C341" s="383" t="s">
        <v>954</v>
      </c>
      <c r="D341" s="63" t="s">
        <v>132</v>
      </c>
      <c r="E341" s="63" t="s">
        <v>132</v>
      </c>
      <c r="F341" s="63" t="s">
        <v>132</v>
      </c>
      <c r="G341" s="372"/>
    </row>
    <row r="342">
      <c r="A342" s="384" t="str">
        <f>HYPERLINK("https://en.uesp.net/wiki/Skyrim:Yngol_Barrow","Yngol Barrow")</f>
        <v>Yngol Barrow</v>
      </c>
      <c r="B342" s="385" t="s">
        <v>2231</v>
      </c>
      <c r="C342" s="385" t="s">
        <v>954</v>
      </c>
      <c r="D342" s="63" t="s">
        <v>132</v>
      </c>
      <c r="E342" s="63" t="s">
        <v>132</v>
      </c>
      <c r="F342" s="63" t="s">
        <v>132</v>
      </c>
      <c r="G342" s="372"/>
    </row>
    <row r="343">
      <c r="A343" s="371" t="str">
        <f>HYPERLINK("https://en.uesp.net/wiki/Skyrim:Yngvild","Yngvild")</f>
        <v>Yngvild</v>
      </c>
      <c r="B343" s="386" t="s">
        <v>2239</v>
      </c>
      <c r="C343" s="386" t="s">
        <v>954</v>
      </c>
      <c r="D343" s="63" t="s">
        <v>132</v>
      </c>
      <c r="E343" s="63" t="s">
        <v>132</v>
      </c>
      <c r="F343" s="63" t="s">
        <v>132</v>
      </c>
      <c r="G343" s="372"/>
    </row>
    <row r="344">
      <c r="A344" s="387" t="str">
        <f>HYPERLINK("https://en.uesp.net/wiki/Skyrim:Yorgrim_Overlook","Yorgrim Overlook")</f>
        <v>Yorgrim Overlook</v>
      </c>
      <c r="B344" s="388" t="s">
        <v>2254</v>
      </c>
      <c r="C344" s="388" t="s">
        <v>2230</v>
      </c>
      <c r="D344" s="63" t="s">
        <v>132</v>
      </c>
      <c r="E344" s="63" t="s">
        <v>132</v>
      </c>
      <c r="F344" s="63" t="s">
        <v>132</v>
      </c>
      <c r="G344" s="372"/>
    </row>
    <row r="345">
      <c r="A345" s="371" t="str">
        <f>HYPERLINK("https://en.uesp.net/wiki/Skyrim:Ysgramor%27s_Tomb","Ysgramor's Tomb")</f>
        <v>Ysgramor's Tomb</v>
      </c>
      <c r="B345" s="316" t="s">
        <v>2231</v>
      </c>
      <c r="C345" s="316" t="s">
        <v>954</v>
      </c>
      <c r="D345" s="63" t="s">
        <v>132</v>
      </c>
      <c r="E345" s="63" t="s">
        <v>132</v>
      </c>
      <c r="F345" s="63" t="s">
        <v>132</v>
      </c>
      <c r="G345" s="372"/>
    </row>
    <row r="346" ht="22.5" customHeight="1">
      <c r="A346" s="389" t="s">
        <v>2270</v>
      </c>
      <c r="F346" s="148"/>
      <c r="G346" s="389"/>
    </row>
    <row r="347" ht="15.75" customHeight="1">
      <c r="A347" s="371" t="str">
        <f>HYPERLINK("https://en.uesp.net/wiki/Skyrim:Eastmarch_Imperial_Camp","Eastmarch Imperial Camp")</f>
        <v>Eastmarch Imperial Camp</v>
      </c>
      <c r="B347" s="316" t="s">
        <v>2271</v>
      </c>
      <c r="C347" s="316" t="s">
        <v>2222</v>
      </c>
      <c r="D347" s="63" t="s">
        <v>132</v>
      </c>
      <c r="E347" s="63" t="s">
        <v>132</v>
      </c>
      <c r="F347" s="316" t="s">
        <v>1524</v>
      </c>
      <c r="G347" s="373"/>
    </row>
    <row r="348">
      <c r="A348" s="371" t="str">
        <f>HYPERLINK("https://en.uesp.net/wiki/Skyrim:Haafingar_Stormcloak_Camp","Haafingar Stormcloak Camp")</f>
        <v>Haafingar Stormcloak Camp</v>
      </c>
      <c r="B348" s="316" t="s">
        <v>2272</v>
      </c>
      <c r="C348" s="316" t="s">
        <v>2243</v>
      </c>
      <c r="D348" s="63" t="s">
        <v>132</v>
      </c>
      <c r="E348" s="63" t="s">
        <v>132</v>
      </c>
      <c r="F348" s="316" t="s">
        <v>1524</v>
      </c>
      <c r="G348" s="373"/>
    </row>
    <row r="349">
      <c r="A349" s="371" t="str">
        <f>HYPERLINK("https://en.uesp.net/wiki/Skyrim:Falkreath_Imperial_Camp","Falkreath Imperial Camp")</f>
        <v>Falkreath Imperial Camp</v>
      </c>
      <c r="B349" s="316" t="s">
        <v>2271</v>
      </c>
      <c r="C349" s="316" t="s">
        <v>2228</v>
      </c>
      <c r="D349" s="63" t="s">
        <v>132</v>
      </c>
      <c r="E349" s="63" t="s">
        <v>132</v>
      </c>
      <c r="F349" s="316" t="s">
        <v>1524</v>
      </c>
      <c r="G349" s="373"/>
    </row>
    <row r="350">
      <c r="A350" s="371" t="str">
        <f>HYPERLINK("https://en.uesp.net/wiki/Skyrim:Falkreath_Stormcloak_Camp","Falkreath Stormcloak Camp")</f>
        <v>Falkreath Stormcloak Camp</v>
      </c>
      <c r="B350" s="316" t="s">
        <v>2272</v>
      </c>
      <c r="C350" s="316" t="s">
        <v>2228</v>
      </c>
      <c r="D350" s="63" t="s">
        <v>132</v>
      </c>
      <c r="E350" s="63" t="s">
        <v>132</v>
      </c>
      <c r="F350" s="316" t="s">
        <v>1524</v>
      </c>
      <c r="G350" s="373"/>
    </row>
    <row r="351">
      <c r="A351" s="371" t="str">
        <f>HYPERLINK("https://en.uesp.net/wiki/Skyrim:Hjaalmarch_Imperial_Camp","Hjaalmarch Imperial Camp")</f>
        <v>Hjaalmarch Imperial Camp</v>
      </c>
      <c r="B351" s="316" t="s">
        <v>2271</v>
      </c>
      <c r="C351" s="316" t="s">
        <v>2224</v>
      </c>
      <c r="D351" s="63" t="s">
        <v>132</v>
      </c>
      <c r="E351" s="63" t="s">
        <v>132</v>
      </c>
      <c r="F351" s="316" t="s">
        <v>1524</v>
      </c>
      <c r="G351" s="373"/>
    </row>
    <row r="352">
      <c r="A352" s="371" t="str">
        <f>HYPERLINK("https://en.uesp.net/wiki/Skyrim:Hjaalmarch_Stormcloak_Camp","Hjaalmarch Stormcloak Camp")</f>
        <v>Hjaalmarch Stormcloak Camp</v>
      </c>
      <c r="B352" s="316" t="s">
        <v>2272</v>
      </c>
      <c r="C352" s="316" t="s">
        <v>2224</v>
      </c>
      <c r="D352" s="63" t="s">
        <v>132</v>
      </c>
      <c r="E352" s="63" t="s">
        <v>132</v>
      </c>
      <c r="F352" s="316" t="s">
        <v>1524</v>
      </c>
      <c r="G352" s="373"/>
    </row>
    <row r="353">
      <c r="A353" s="371" t="str">
        <f>HYPERLINK("https://en.uesp.net/wiki/Skyrim:Pale_Imperial_Camp","Pale Imperial Camp")</f>
        <v>Pale Imperial Camp</v>
      </c>
      <c r="B353" s="316" t="s">
        <v>2271</v>
      </c>
      <c r="C353" s="316" t="s">
        <v>2230</v>
      </c>
      <c r="D353" s="63" t="s">
        <v>132</v>
      </c>
      <c r="E353" s="63" t="s">
        <v>132</v>
      </c>
      <c r="F353" s="316" t="s">
        <v>1524</v>
      </c>
      <c r="G353" s="373"/>
    </row>
    <row r="354">
      <c r="A354" s="371" t="str">
        <f>HYPERLINK("https://en.uesp.net/wiki/Skyrim:Pale_Stormcloak_Camp","Pale Stormcloak Camp")</f>
        <v>Pale Stormcloak Camp</v>
      </c>
      <c r="B354" s="316" t="s">
        <v>2272</v>
      </c>
      <c r="C354" s="316" t="s">
        <v>2230</v>
      </c>
      <c r="D354" s="63" t="s">
        <v>132</v>
      </c>
      <c r="E354" s="63" t="s">
        <v>132</v>
      </c>
      <c r="F354" s="316" t="s">
        <v>1524</v>
      </c>
      <c r="G354" s="373"/>
    </row>
    <row r="355">
      <c r="A355" s="371" t="str">
        <f>HYPERLINK("https://en.uesp.net/wiki/Skyrim:Reach_Imperial_Camp","Reach Imperial Camp")</f>
        <v>Reach Imperial Camp</v>
      </c>
      <c r="B355" s="316" t="s">
        <v>2271</v>
      </c>
      <c r="C355" s="316" t="s">
        <v>2235</v>
      </c>
      <c r="D355" s="63" t="s">
        <v>132</v>
      </c>
      <c r="E355" s="63" t="s">
        <v>132</v>
      </c>
      <c r="F355" s="316" t="s">
        <v>1524</v>
      </c>
      <c r="G355" s="373"/>
    </row>
    <row r="356">
      <c r="A356" s="371" t="str">
        <f>HYPERLINK("https://en.uesp.net/wiki/Skyrim:Reach_Stormcloak_Camp","Reach Stormcloak Camp")</f>
        <v>Reach Stormcloak Camp</v>
      </c>
      <c r="B356" s="316" t="s">
        <v>2272</v>
      </c>
      <c r="C356" s="316" t="s">
        <v>2235</v>
      </c>
      <c r="D356" s="63" t="s">
        <v>132</v>
      </c>
      <c r="E356" s="63" t="s">
        <v>132</v>
      </c>
      <c r="F356" s="316" t="s">
        <v>1524</v>
      </c>
      <c r="G356" s="373"/>
    </row>
    <row r="357">
      <c r="A357" s="371" t="str">
        <f>HYPERLINK("https://en.uesp.net/wiki/Skyrim:Rift_Imperial_Camp","Rift Imperial Camp")</f>
        <v>Rift Imperial Camp</v>
      </c>
      <c r="B357" s="316" t="s">
        <v>2271</v>
      </c>
      <c r="C357" s="316" t="s">
        <v>2225</v>
      </c>
      <c r="D357" s="63" t="s">
        <v>132</v>
      </c>
      <c r="E357" s="63" t="s">
        <v>132</v>
      </c>
      <c r="F357" s="316" t="s">
        <v>1524</v>
      </c>
      <c r="G357" s="373"/>
    </row>
    <row r="358">
      <c r="A358" s="371" t="str">
        <f>HYPERLINK("https://en.uesp.net/wiki/Skyrim:Rift_Stormcloak_Camp","Rift Stormcloak Camp")</f>
        <v>Rift Stormcloak Camp</v>
      </c>
      <c r="B358" s="316" t="s">
        <v>2272</v>
      </c>
      <c r="C358" s="316" t="s">
        <v>2225</v>
      </c>
      <c r="D358" s="63" t="s">
        <v>132</v>
      </c>
      <c r="E358" s="63" t="s">
        <v>132</v>
      </c>
      <c r="F358" s="316" t="s">
        <v>1524</v>
      </c>
      <c r="G358" s="373"/>
    </row>
    <row r="359">
      <c r="A359" s="371" t="str">
        <f>HYPERLINK("https://en.uesp.net/wiki/Skyrim:Whiterun_Imperial_Camp","Whiterun Imperial Camp")</f>
        <v>Whiterun Imperial Camp</v>
      </c>
      <c r="B359" s="316" t="s">
        <v>2271</v>
      </c>
      <c r="C359" s="316" t="s">
        <v>993</v>
      </c>
      <c r="D359" s="63" t="s">
        <v>132</v>
      </c>
      <c r="E359" s="63" t="s">
        <v>132</v>
      </c>
      <c r="F359" s="316" t="s">
        <v>1524</v>
      </c>
      <c r="G359" s="373"/>
    </row>
    <row r="360">
      <c r="A360" s="371" t="str">
        <f>HYPERLINK("https://en.uesp.net/wiki/Skyrim:Whiterun_Stormcloak_Camp","Whiterun Stormcloak Camp")</f>
        <v>Whiterun Stormcloak Camp</v>
      </c>
      <c r="B360" s="316" t="s">
        <v>2272</v>
      </c>
      <c r="C360" s="316" t="s">
        <v>993</v>
      </c>
      <c r="D360" s="63" t="s">
        <v>132</v>
      </c>
      <c r="E360" s="63" t="s">
        <v>132</v>
      </c>
      <c r="F360" s="316" t="s">
        <v>1524</v>
      </c>
      <c r="G360" s="373"/>
    </row>
    <row r="361">
      <c r="A361" s="371" t="str">
        <f>HYPERLINK("https://en.uesp.net/wiki/Skyrim:Winterhold_Imperial_Camp","Winterhold Imperial Camp")</f>
        <v>Winterhold Imperial Camp</v>
      </c>
      <c r="B361" s="316" t="s">
        <v>2271</v>
      </c>
      <c r="C361" s="316" t="s">
        <v>954</v>
      </c>
      <c r="D361" s="63" t="s">
        <v>132</v>
      </c>
      <c r="E361" s="63" t="s">
        <v>132</v>
      </c>
      <c r="F361" s="316" t="s">
        <v>1524</v>
      </c>
      <c r="G361" s="373"/>
    </row>
    <row r="362">
      <c r="A362" s="371" t="str">
        <f>HYPERLINK("https://en.uesp.net/wiki/Skyrim:Winterhold_Stormcloak_Camp","Winterhold Stormcloak Camp")</f>
        <v>Winterhold Stormcloak Camp</v>
      </c>
      <c r="B362" s="316" t="s">
        <v>2272</v>
      </c>
      <c r="C362" s="316" t="s">
        <v>954</v>
      </c>
      <c r="D362" s="63" t="s">
        <v>132</v>
      </c>
      <c r="E362" s="63" t="s">
        <v>132</v>
      </c>
      <c r="F362" s="316" t="s">
        <v>1524</v>
      </c>
      <c r="G362" s="373"/>
    </row>
    <row r="363">
      <c r="A363" s="371" t="str">
        <f>HYPERLINK("https://en.uesp.net/wiki/Skyrim:Whiterun_Military_Camp","Whiterun Military Camp")</f>
        <v>Whiterun Military Camp</v>
      </c>
      <c r="B363" s="316" t="s">
        <v>2272</v>
      </c>
      <c r="C363" s="316" t="s">
        <v>993</v>
      </c>
      <c r="D363" s="63" t="s">
        <v>132</v>
      </c>
      <c r="E363" s="63" t="s">
        <v>132</v>
      </c>
      <c r="F363" s="316" t="s">
        <v>1524</v>
      </c>
      <c r="G363" s="373"/>
    </row>
    <row r="364">
      <c r="A364" s="371" t="str">
        <f>HYPERLINK("https://en.uesp.net/wiki/Skyrim:Solitude_Military_Camp","Solitude Military Camp")</f>
        <v>Solitude Military Camp</v>
      </c>
      <c r="B364" s="316" t="s">
        <v>2272</v>
      </c>
      <c r="C364" s="316" t="s">
        <v>2243</v>
      </c>
      <c r="D364" s="63" t="s">
        <v>132</v>
      </c>
      <c r="E364" s="63" t="s">
        <v>132</v>
      </c>
      <c r="F364" s="316" t="s">
        <v>1524</v>
      </c>
      <c r="G364" s="373"/>
    </row>
    <row r="365">
      <c r="A365" s="371" t="str">
        <f>HYPERLINK("https://en.uesp.net/wiki/Skyrim:Windhelm_Military_Camp","Windhelm Military Camp")</f>
        <v>Windhelm Military Camp</v>
      </c>
      <c r="B365" s="316" t="s">
        <v>2271</v>
      </c>
      <c r="C365" s="316" t="s">
        <v>2222</v>
      </c>
      <c r="D365" s="63" t="s">
        <v>132</v>
      </c>
      <c r="E365" s="63" t="s">
        <v>132</v>
      </c>
      <c r="F365" s="316" t="s">
        <v>1524</v>
      </c>
      <c r="G365" s="373"/>
    </row>
    <row r="366" ht="22.5" customHeight="1">
      <c r="A366" s="264"/>
      <c r="B366" s="84"/>
      <c r="C366" s="84"/>
      <c r="D366" s="84"/>
      <c r="E366" s="85"/>
      <c r="F366" s="390"/>
      <c r="G366" s="391"/>
    </row>
    <row r="367">
      <c r="A367" s="365" t="s">
        <v>2273</v>
      </c>
      <c r="F367" s="148"/>
      <c r="G367" s="392"/>
    </row>
    <row r="368">
      <c r="F368" s="148"/>
      <c r="G368" s="392"/>
    </row>
    <row r="369">
      <c r="A369" s="36" t="s">
        <v>2211</v>
      </c>
      <c r="B369" s="36" t="s">
        <v>2212</v>
      </c>
      <c r="C369" s="36" t="s">
        <v>2213</v>
      </c>
      <c r="D369" s="36" t="s">
        <v>2214</v>
      </c>
      <c r="E369" s="36" t="s">
        <v>2215</v>
      </c>
      <c r="F369" s="36" t="s">
        <v>2216</v>
      </c>
      <c r="G369" s="360"/>
    </row>
    <row r="370">
      <c r="A370" s="368" t="s">
        <v>1524</v>
      </c>
      <c r="B370" s="393" t="s">
        <v>1524</v>
      </c>
      <c r="C370" s="393" t="s">
        <v>1524</v>
      </c>
      <c r="D370" s="369">
        <f t="shared" ref="D370:F370" si="2">COUNTIF(D371:D383,"Y")/(COUNTIF(D371:D383,"Y") + COUNTIF(D371:D383,"N"))</f>
        <v>0</v>
      </c>
      <c r="E370" s="369">
        <f t="shared" si="2"/>
        <v>0</v>
      </c>
      <c r="F370" s="369">
        <f t="shared" si="2"/>
        <v>0</v>
      </c>
      <c r="G370" s="370"/>
    </row>
    <row r="371">
      <c r="A371" s="371" t="str">
        <f>HYPERLINK("https://en.uesp.net/wiki/Skyrim:Ancestor_Glade","Ancestor Glade")</f>
        <v>Ancestor Glade</v>
      </c>
      <c r="B371" s="316" t="s">
        <v>2252</v>
      </c>
      <c r="C371" s="316" t="s">
        <v>2228</v>
      </c>
      <c r="D371" s="63" t="s">
        <v>132</v>
      </c>
      <c r="E371" s="63" t="s">
        <v>132</v>
      </c>
      <c r="F371" s="316" t="s">
        <v>1524</v>
      </c>
      <c r="G371" s="373"/>
    </row>
    <row r="372">
      <c r="A372" s="371" t="str">
        <f>HYPERLINK("https://en.uesp.net/wiki/Skyrim:Arkngthamz","Arkngthamz")</f>
        <v>Arkngthamz</v>
      </c>
      <c r="B372" s="316" t="s">
        <v>2226</v>
      </c>
      <c r="C372" s="316" t="s">
        <v>2235</v>
      </c>
      <c r="D372" s="63" t="s">
        <v>132</v>
      </c>
      <c r="E372" s="63" t="s">
        <v>132</v>
      </c>
      <c r="F372" s="316" t="s">
        <v>1524</v>
      </c>
      <c r="G372" s="373"/>
    </row>
    <row r="373">
      <c r="A373" s="371" t="str">
        <f>HYPERLINK("https://en.uesp.net/wiki/Skyrim:Castle_Volkihar","Castle Volkihar")</f>
        <v>Castle Volkihar</v>
      </c>
      <c r="B373" s="316" t="s">
        <v>2242</v>
      </c>
      <c r="C373" s="316" t="s">
        <v>2243</v>
      </c>
      <c r="D373" s="63" t="s">
        <v>132</v>
      </c>
      <c r="E373" s="63" t="s">
        <v>132</v>
      </c>
      <c r="F373" s="316" t="s">
        <v>1524</v>
      </c>
      <c r="G373" s="373"/>
    </row>
    <row r="374">
      <c r="A374" s="371" t="str">
        <f>HYPERLINK("https://en.uesp.net/w/index.php?title=Skyrim:Castle_Volkihar_Balcony","Castle Volkihar Balcony")</f>
        <v>Castle Volkihar Balcony</v>
      </c>
      <c r="B374" s="316"/>
      <c r="C374" s="316"/>
      <c r="D374" s="63" t="s">
        <v>132</v>
      </c>
      <c r="E374" s="63" t="s">
        <v>132</v>
      </c>
      <c r="F374" s="316"/>
      <c r="G374" s="373"/>
    </row>
    <row r="375">
      <c r="A375" s="371" t="str">
        <f>HYPERLINK("https://en.uesp.net/wiki/Skyrim:Darkfall_Cave","Darkfall Cave")</f>
        <v>Darkfall Cave</v>
      </c>
      <c r="B375" s="316" t="s">
        <v>2239</v>
      </c>
      <c r="C375" s="316" t="s">
        <v>2235</v>
      </c>
      <c r="D375" s="63" t="s">
        <v>132</v>
      </c>
      <c r="E375" s="63" t="s">
        <v>132</v>
      </c>
      <c r="F375" s="316" t="s">
        <v>1524</v>
      </c>
      <c r="G375" s="373"/>
    </row>
    <row r="376">
      <c r="A376" s="371" t="str">
        <f>HYPERLINK("https://en.uesp.net/wiki/Skyrim:Dimhollow_Crypt","Dimhollow Crypt ")</f>
        <v>Dimhollow Crypt </v>
      </c>
      <c r="B376" s="316" t="s">
        <v>2239</v>
      </c>
      <c r="C376" s="316" t="s">
        <v>2230</v>
      </c>
      <c r="D376" s="63" t="s">
        <v>132</v>
      </c>
      <c r="E376" s="63" t="s">
        <v>132</v>
      </c>
      <c r="F376" s="63" t="s">
        <v>132</v>
      </c>
      <c r="G376" s="372"/>
    </row>
    <row r="377">
      <c r="A377" s="371" t="str">
        <f>HYPERLINK("https://en.uesp.net/wiki/Skyrim:Forebears%27_Holdout","Forebears' Holdout")</f>
        <v>Forebears' Holdout</v>
      </c>
      <c r="B377" s="316" t="s">
        <v>2239</v>
      </c>
      <c r="C377" s="316" t="s">
        <v>2224</v>
      </c>
      <c r="D377" s="63" t="s">
        <v>132</v>
      </c>
      <c r="E377" s="63" t="s">
        <v>132</v>
      </c>
      <c r="F377" s="316" t="s">
        <v>1524</v>
      </c>
      <c r="G377" s="373"/>
    </row>
    <row r="378">
      <c r="A378" s="371" t="str">
        <f>HYPERLINK("https://en.uesp.net/wiki/Skyrim:Forgotten_Vale","Forgotten Vale")</f>
        <v>Forgotten Vale</v>
      </c>
      <c r="B378" s="316" t="s">
        <v>2274</v>
      </c>
      <c r="C378" s="316" t="s">
        <v>2243</v>
      </c>
      <c r="D378" s="63" t="s">
        <v>132</v>
      </c>
      <c r="E378" s="63" t="s">
        <v>132</v>
      </c>
      <c r="F378" s="316" t="s">
        <v>1524</v>
      </c>
      <c r="G378" s="373"/>
    </row>
    <row r="379">
      <c r="A379" s="371" t="str">
        <f>HYPERLINK("https://en.uesp.net/wiki/Skyrim:Fort_Dawnguard","Fort Dawnguard ")</f>
        <v>Fort Dawnguard </v>
      </c>
      <c r="B379" s="316" t="s">
        <v>2241</v>
      </c>
      <c r="C379" s="316" t="s">
        <v>2225</v>
      </c>
      <c r="D379" s="63" t="s">
        <v>132</v>
      </c>
      <c r="E379" s="63" t="s">
        <v>132</v>
      </c>
      <c r="F379" s="316" t="s">
        <v>1524</v>
      </c>
      <c r="G379" s="373"/>
    </row>
    <row r="380">
      <c r="A380" s="371" t="str">
        <f>HYPERLINK("https://en.uesp.net/wiki/Skyrim:Icewater_Jetty","Icewater Jetty")</f>
        <v>Icewater Jetty</v>
      </c>
      <c r="B380" s="316" t="s">
        <v>2251</v>
      </c>
      <c r="C380" s="316" t="s">
        <v>2243</v>
      </c>
      <c r="D380" s="63" t="s">
        <v>132</v>
      </c>
      <c r="E380" s="63" t="s">
        <v>132</v>
      </c>
      <c r="F380" s="316" t="s">
        <v>1524</v>
      </c>
      <c r="G380" s="373"/>
    </row>
    <row r="381">
      <c r="A381" s="371" t="str">
        <f>HYPERLINK("https://en.uesp.net/wiki/Skyrim:Moldering_Ruins","Moldering Ruins")</f>
        <v>Moldering Ruins</v>
      </c>
      <c r="B381" s="316" t="s">
        <v>2231</v>
      </c>
      <c r="C381" s="316" t="s">
        <v>993</v>
      </c>
      <c r="D381" s="63" t="s">
        <v>132</v>
      </c>
      <c r="E381" s="63" t="s">
        <v>132</v>
      </c>
      <c r="F381" s="63" t="s">
        <v>132</v>
      </c>
      <c r="G381" s="372"/>
    </row>
    <row r="382">
      <c r="A382" s="371" t="str">
        <f>HYPERLINK("https://en.uesp.net/wiki/Skyrim:Redwater_Den","Redwater Den")</f>
        <v>Redwater Den</v>
      </c>
      <c r="B382" s="316" t="s">
        <v>2239</v>
      </c>
      <c r="C382" s="316" t="s">
        <v>2225</v>
      </c>
      <c r="D382" s="63" t="s">
        <v>132</v>
      </c>
      <c r="E382" s="63" t="s">
        <v>132</v>
      </c>
      <c r="F382" s="63" t="s">
        <v>132</v>
      </c>
      <c r="G382" s="372"/>
    </row>
    <row r="383">
      <c r="A383" s="371" t="str">
        <f>HYPERLINK("https://en.uesp.net/wiki/Skyrim:Ruunvald_Excavation","Ruunvald")</f>
        <v>Ruunvald</v>
      </c>
      <c r="B383" s="316" t="s">
        <v>2239</v>
      </c>
      <c r="C383" s="316" t="s">
        <v>2225</v>
      </c>
      <c r="D383" s="63" t="s">
        <v>132</v>
      </c>
      <c r="E383" s="63" t="s">
        <v>132</v>
      </c>
      <c r="F383" s="394" t="s">
        <v>1524</v>
      </c>
      <c r="G383" s="395"/>
    </row>
    <row r="384" ht="22.5" customHeight="1">
      <c r="A384" s="264"/>
      <c r="B384" s="84"/>
      <c r="C384" s="84"/>
      <c r="D384" s="84"/>
      <c r="E384" s="85"/>
      <c r="F384" s="390"/>
      <c r="G384" s="391"/>
    </row>
    <row r="385">
      <c r="A385" s="365" t="s">
        <v>2275</v>
      </c>
      <c r="F385" s="148"/>
      <c r="G385" s="392"/>
    </row>
    <row r="386">
      <c r="F386" s="148"/>
      <c r="G386" s="392"/>
    </row>
    <row r="387">
      <c r="A387" s="36" t="s">
        <v>2211</v>
      </c>
      <c r="B387" s="36" t="s">
        <v>2212</v>
      </c>
      <c r="C387" s="36" t="s">
        <v>2213</v>
      </c>
      <c r="D387" s="36" t="s">
        <v>2214</v>
      </c>
      <c r="E387" s="36" t="s">
        <v>2215</v>
      </c>
      <c r="F387" s="36" t="s">
        <v>2216</v>
      </c>
      <c r="G387" s="360"/>
    </row>
    <row r="388">
      <c r="A388" s="368" t="s">
        <v>1524</v>
      </c>
      <c r="B388" s="368" t="s">
        <v>1524</v>
      </c>
      <c r="C388" s="368" t="s">
        <v>1524</v>
      </c>
      <c r="D388" s="369">
        <f t="shared" ref="D388:F388" si="3">COUNTIF(D389:D442,"Y")/(COUNTIF(D389:D442,"Y") + COUNTIF(D389:D442,"N"))</f>
        <v>0</v>
      </c>
      <c r="E388" s="369">
        <f t="shared" si="3"/>
        <v>0</v>
      </c>
      <c r="F388" s="369">
        <f t="shared" si="3"/>
        <v>0</v>
      </c>
      <c r="G388" s="370"/>
    </row>
    <row r="389">
      <c r="A389" s="59" t="str">
        <f>HYPERLINK("https://en.uesp.net/wiki/Dragonborn:Abandoned_Lodge","Abandoned Lodge")</f>
        <v>Abandoned Lodge</v>
      </c>
      <c r="B389" s="396" t="s">
        <v>2223</v>
      </c>
      <c r="C389" s="396" t="s">
        <v>2276</v>
      </c>
      <c r="D389" s="63" t="s">
        <v>132</v>
      </c>
      <c r="E389" s="63" t="s">
        <v>132</v>
      </c>
      <c r="F389" s="396" t="s">
        <v>1524</v>
      </c>
      <c r="G389" s="397"/>
    </row>
    <row r="390">
      <c r="A390" s="59" t="str">
        <f>HYPERLINK("https://en.uesp.net/wiki/Dragonborn:Altar_of_Thrond","Altar of Thrond")</f>
        <v>Altar of Thrond</v>
      </c>
      <c r="B390" s="396" t="s">
        <v>2234</v>
      </c>
      <c r="C390" s="396" t="s">
        <v>2276</v>
      </c>
      <c r="D390" s="63" t="s">
        <v>132</v>
      </c>
      <c r="E390" s="63" t="s">
        <v>132</v>
      </c>
      <c r="F390" s="63" t="s">
        <v>132</v>
      </c>
      <c r="G390" s="372"/>
    </row>
    <row r="391">
      <c r="A391" s="59" t="str">
        <f>HYPERLINK("https://en.uesp.net/wiki/Dragonborn:Ashfallow_Citadel","Ashfallow Citadel")</f>
        <v>Ashfallow Citadel</v>
      </c>
      <c r="B391" s="396" t="s">
        <v>2277</v>
      </c>
      <c r="C391" s="396" t="s">
        <v>2276</v>
      </c>
      <c r="D391" s="63" t="s">
        <v>132</v>
      </c>
      <c r="E391" s="63" t="s">
        <v>132</v>
      </c>
      <c r="F391" s="63" t="s">
        <v>132</v>
      </c>
      <c r="G391" s="372"/>
    </row>
    <row r="392">
      <c r="A392" s="59" t="str">
        <f>HYPERLINK("https://en.uesp.net/wiki/Dragonborn:Beast_Stone","Beast Stone")</f>
        <v>Beast Stone</v>
      </c>
      <c r="B392" s="396" t="s">
        <v>2278</v>
      </c>
      <c r="C392" s="396" t="s">
        <v>2276</v>
      </c>
      <c r="D392" s="63" t="s">
        <v>132</v>
      </c>
      <c r="E392" s="63" t="s">
        <v>132</v>
      </c>
      <c r="F392" s="63" t="s">
        <v>132</v>
      </c>
      <c r="G392" s="372"/>
    </row>
    <row r="393">
      <c r="A393" s="59" t="str">
        <f>HYPERLINK("https://en.uesp.net/wiki/Dragonborn:Benkongerike","Benkongerike")</f>
        <v>Benkongerike</v>
      </c>
      <c r="B393" s="396" t="s">
        <v>2239</v>
      </c>
      <c r="C393" s="396" t="s">
        <v>2276</v>
      </c>
      <c r="D393" s="63" t="s">
        <v>132</v>
      </c>
      <c r="E393" s="63" t="s">
        <v>132</v>
      </c>
      <c r="F393" s="63" t="s">
        <v>132</v>
      </c>
      <c r="G393" s="372"/>
    </row>
    <row r="394">
      <c r="A394" s="59" t="str">
        <f>HYPERLINK("https://en.uesp.net/wiki/Dragonborn:Bloodskal_Barrow","Bloodskal Barrow")</f>
        <v>Bloodskal Barrow</v>
      </c>
      <c r="B394" s="396" t="s">
        <v>2231</v>
      </c>
      <c r="C394" s="396" t="s">
        <v>2276</v>
      </c>
      <c r="D394" s="63" t="s">
        <v>132</v>
      </c>
      <c r="E394" s="63" t="s">
        <v>132</v>
      </c>
      <c r="F394" s="63" t="s">
        <v>132</v>
      </c>
      <c r="G394" s="372"/>
    </row>
    <row r="395">
      <c r="A395" s="59" t="str">
        <f>HYPERLINK("https://en.uesp.net/wiki/Dragonborn:Bristleback_Cave","Bristleback Cave")</f>
        <v>Bristleback Cave</v>
      </c>
      <c r="B395" s="396" t="s">
        <v>2239</v>
      </c>
      <c r="C395" s="396" t="s">
        <v>2276</v>
      </c>
      <c r="D395" s="63" t="s">
        <v>132</v>
      </c>
      <c r="E395" s="63" t="s">
        <v>132</v>
      </c>
      <c r="F395" s="63" t="s">
        <v>132</v>
      </c>
      <c r="G395" s="372"/>
    </row>
    <row r="396">
      <c r="A396" s="59" t="str">
        <f>HYPERLINK("https://en.uesp.net/wiki/Dragonborn:Brodir_Grove","Brodir Grove")</f>
        <v>Brodir Grove</v>
      </c>
      <c r="B396" s="396" t="s">
        <v>2234</v>
      </c>
      <c r="C396" s="396" t="s">
        <v>2276</v>
      </c>
      <c r="D396" s="63" t="s">
        <v>132</v>
      </c>
      <c r="E396" s="63" t="s">
        <v>132</v>
      </c>
      <c r="F396" s="63" t="s">
        <v>132</v>
      </c>
      <c r="G396" s="372"/>
    </row>
    <row r="397">
      <c r="A397" s="59" t="str">
        <f>HYPERLINK("https://en.uesp.net/wiki/Dragonborn:Broken_Tusk_Mine","Broken Tusk Mine")</f>
        <v>Broken Tusk Mine</v>
      </c>
      <c r="B397" s="396" t="s">
        <v>2237</v>
      </c>
      <c r="C397" s="396" t="s">
        <v>2276</v>
      </c>
      <c r="D397" s="63" t="s">
        <v>132</v>
      </c>
      <c r="E397" s="63" t="s">
        <v>132</v>
      </c>
      <c r="F397" s="63" t="s">
        <v>132</v>
      </c>
      <c r="G397" s="372"/>
    </row>
    <row r="398">
      <c r="A398" s="59" t="str">
        <f>HYPERLINK("https://en.uesp.net/wiki/Dragonborn:Bujold%27s_Retreat","Bujold's Retreat")</f>
        <v>Bujold's Retreat</v>
      </c>
      <c r="B398" s="396" t="s">
        <v>2249</v>
      </c>
      <c r="C398" s="396" t="s">
        <v>2276</v>
      </c>
      <c r="D398" s="63" t="s">
        <v>132</v>
      </c>
      <c r="E398" s="63" t="s">
        <v>132</v>
      </c>
      <c r="F398" s="396" t="s">
        <v>1524</v>
      </c>
      <c r="G398" s="397"/>
    </row>
    <row r="399">
      <c r="A399" s="59" t="str">
        <f>HYPERLINK("https://en.uesp.net/wiki/Dragonborn:Castle_Karstaag_Caverns","Castle Karstaag Caverns")</f>
        <v>Castle Karstaag Caverns</v>
      </c>
      <c r="B399" s="396" t="s">
        <v>2239</v>
      </c>
      <c r="C399" s="396" t="s">
        <v>2276</v>
      </c>
      <c r="D399" s="63" t="s">
        <v>132</v>
      </c>
      <c r="E399" s="63" t="s">
        <v>132</v>
      </c>
      <c r="F399" s="63" t="s">
        <v>132</v>
      </c>
      <c r="G399" s="372"/>
    </row>
    <row r="400">
      <c r="A400" s="59" t="str">
        <f>HYPERLINK("https://en.uesp.net/wiki/Dragonborn:Castle_Karstaag_Ruins","Castle Karstaag Ruins")</f>
        <v>Castle Karstaag Ruins</v>
      </c>
      <c r="B400" s="396" t="s">
        <v>2239</v>
      </c>
      <c r="C400" s="396" t="s">
        <v>2276</v>
      </c>
      <c r="D400" s="63" t="s">
        <v>132</v>
      </c>
      <c r="E400" s="63" t="s">
        <v>132</v>
      </c>
      <c r="F400" s="63" t="s">
        <v>132</v>
      </c>
      <c r="G400" s="372"/>
    </row>
    <row r="401">
      <c r="A401" s="398" t="str">
        <f>HYPERLINK("https://en.uesp.net/wiki/Dragonborn:Coldcinder_Cave","Coldcinder Cave*")</f>
        <v>Coldcinder Cave*</v>
      </c>
      <c r="B401" s="399" t="s">
        <v>2239</v>
      </c>
      <c r="C401" s="399" t="s">
        <v>2276</v>
      </c>
      <c r="D401" s="399" t="s">
        <v>1524</v>
      </c>
      <c r="E401" s="63" t="s">
        <v>132</v>
      </c>
      <c r="F401" s="63" t="s">
        <v>132</v>
      </c>
      <c r="G401" s="372"/>
    </row>
    <row r="402">
      <c r="A402" s="59" t="str">
        <f>HYPERLINK("https://en.uesp.net/wiki/Dragonborn:Damphall_Mine","Damphall Mine")</f>
        <v>Damphall Mine</v>
      </c>
      <c r="B402" s="396" t="s">
        <v>2237</v>
      </c>
      <c r="C402" s="396" t="s">
        <v>2276</v>
      </c>
      <c r="D402" s="63" t="s">
        <v>132</v>
      </c>
      <c r="E402" s="63" t="s">
        <v>132</v>
      </c>
      <c r="F402" s="63" t="s">
        <v>132</v>
      </c>
      <c r="G402" s="372"/>
    </row>
    <row r="403">
      <c r="A403" s="59" t="str">
        <f>HYPERLINK("https://en.uesp.net/wiki/Dragonborn:Earth_Stone","Earth Stone")</f>
        <v>Earth Stone</v>
      </c>
      <c r="B403" s="396" t="s">
        <v>2278</v>
      </c>
      <c r="C403" s="396" t="s">
        <v>2276</v>
      </c>
      <c r="D403" s="63" t="s">
        <v>132</v>
      </c>
      <c r="E403" s="63" t="s">
        <v>132</v>
      </c>
      <c r="F403" s="63" t="s">
        <v>132</v>
      </c>
      <c r="G403" s="372"/>
    </row>
    <row r="404">
      <c r="A404" s="59" t="str">
        <f>HYPERLINK("https://en.uesp.net/wiki/Dragonborn:Fahlbtharz","Fahlbtharz")</f>
        <v>Fahlbtharz</v>
      </c>
      <c r="B404" s="396" t="s">
        <v>2226</v>
      </c>
      <c r="C404" s="396" t="s">
        <v>2276</v>
      </c>
      <c r="D404" s="63" t="s">
        <v>132</v>
      </c>
      <c r="E404" s="63" t="s">
        <v>132</v>
      </c>
      <c r="F404" s="63" t="s">
        <v>132</v>
      </c>
      <c r="G404" s="372"/>
    </row>
    <row r="405">
      <c r="A405" s="59" t="str">
        <f>HYPERLINK("https://en.uesp.net/wiki/Dragonborn:Fort_Frostmoth","Fort Frostmoth")</f>
        <v>Fort Frostmoth</v>
      </c>
      <c r="B405" s="396" t="s">
        <v>2277</v>
      </c>
      <c r="C405" s="396" t="s">
        <v>2276</v>
      </c>
      <c r="D405" s="63" t="s">
        <v>132</v>
      </c>
      <c r="E405" s="63" t="s">
        <v>132</v>
      </c>
      <c r="F405" s="63" t="s">
        <v>132</v>
      </c>
      <c r="G405" s="372"/>
    </row>
    <row r="406">
      <c r="A406" s="59" t="str">
        <f>HYPERLINK("https://en.uesp.net/wiki/Dragonborn:Frossel","Frossel")</f>
        <v>Frossel</v>
      </c>
      <c r="B406" s="396" t="s">
        <v>2239</v>
      </c>
      <c r="C406" s="396" t="s">
        <v>2276</v>
      </c>
      <c r="D406" s="63" t="s">
        <v>132</v>
      </c>
      <c r="E406" s="63" t="s">
        <v>132</v>
      </c>
      <c r="F406" s="63" t="s">
        <v>132</v>
      </c>
      <c r="G406" s="372"/>
    </row>
    <row r="407">
      <c r="A407" s="59" t="str">
        <f>HYPERLINK("https://en.uesp.net/wiki/Dragonborn:Frostmoon_Crag","Frostmoon Crag")</f>
        <v>Frostmoon Crag</v>
      </c>
      <c r="B407" s="396" t="s">
        <v>2239</v>
      </c>
      <c r="C407" s="396" t="s">
        <v>2276</v>
      </c>
      <c r="D407" s="63" t="s">
        <v>132</v>
      </c>
      <c r="E407" s="63" t="s">
        <v>132</v>
      </c>
      <c r="F407" s="63" t="s">
        <v>132</v>
      </c>
      <c r="G407" s="372"/>
    </row>
    <row r="408">
      <c r="A408" s="59" t="str">
        <f>HYPERLINK("https://en.uesp.net/wiki/Dragonborn:Frykte_Peak","Frykte Peak")</f>
        <v>Frykte Peak</v>
      </c>
      <c r="B408" s="396" t="s">
        <v>2234</v>
      </c>
      <c r="C408" s="396" t="s">
        <v>2276</v>
      </c>
      <c r="D408" s="63" t="s">
        <v>132</v>
      </c>
      <c r="E408" s="63" t="s">
        <v>132</v>
      </c>
      <c r="F408" s="396" t="s">
        <v>1524</v>
      </c>
      <c r="G408" s="397"/>
    </row>
    <row r="409">
      <c r="A409" s="59" t="str">
        <f>HYPERLINK("https://en.uesp.net/wiki/Dragonborn:Glacial_Cave","Glacial Cave")</f>
        <v>Glacial Cave</v>
      </c>
      <c r="B409" s="396" t="s">
        <v>2239</v>
      </c>
      <c r="C409" s="396" t="s">
        <v>2276</v>
      </c>
      <c r="D409" s="63" t="s">
        <v>132</v>
      </c>
      <c r="E409" s="63" t="s">
        <v>132</v>
      </c>
      <c r="F409" s="63" t="s">
        <v>132</v>
      </c>
      <c r="G409" s="372"/>
    </row>
    <row r="410">
      <c r="A410" s="59" t="str">
        <f>HYPERLINK("https://en.uesp.net/wiki/Dragonborn:Gyldenhul_Barrow","Gyldenhul Barrow")</f>
        <v>Gyldenhul Barrow</v>
      </c>
      <c r="B410" s="396" t="s">
        <v>2231</v>
      </c>
      <c r="C410" s="396" t="s">
        <v>2276</v>
      </c>
      <c r="D410" s="63" t="s">
        <v>132</v>
      </c>
      <c r="E410" s="63" t="s">
        <v>132</v>
      </c>
      <c r="F410" s="63" t="s">
        <v>132</v>
      </c>
      <c r="G410" s="372"/>
    </row>
    <row r="411">
      <c r="A411" s="59" t="str">
        <f>HYPERLINK("https://en.uesp.net/wiki/Dragonborn:Haknir%27s_Shoal","Haknir's Shoal")</f>
        <v>Haknir's Shoal</v>
      </c>
      <c r="B411" s="396" t="s">
        <v>2249</v>
      </c>
      <c r="C411" s="396" t="s">
        <v>2276</v>
      </c>
      <c r="D411" s="63" t="s">
        <v>132</v>
      </c>
      <c r="E411" s="63" t="s">
        <v>132</v>
      </c>
      <c r="F411" s="63" t="s">
        <v>132</v>
      </c>
      <c r="G411" s="372"/>
    </row>
    <row r="412">
      <c r="A412" s="59" t="str">
        <f>HYPERLINK("https://en.uesp.net/wiki/Dragonborn:Headwaters_of_Harstrad","Headwaters of Harstrad")</f>
        <v>Headwaters of Harstrad</v>
      </c>
      <c r="B412" s="396" t="s">
        <v>2232</v>
      </c>
      <c r="C412" s="396" t="s">
        <v>2276</v>
      </c>
      <c r="D412" s="63" t="s">
        <v>132</v>
      </c>
      <c r="E412" s="63" t="s">
        <v>132</v>
      </c>
      <c r="F412" s="63" t="s">
        <v>132</v>
      </c>
      <c r="G412" s="372"/>
    </row>
    <row r="413">
      <c r="A413" s="59" t="str">
        <f>HYPERLINK("https://en.uesp.net/wiki/Dragonborn:Highpoint_Tower","Highpoint Tower")</f>
        <v>Highpoint Tower</v>
      </c>
      <c r="B413" s="396" t="s">
        <v>2277</v>
      </c>
      <c r="C413" s="396" t="s">
        <v>2276</v>
      </c>
      <c r="D413" s="63" t="s">
        <v>132</v>
      </c>
      <c r="E413" s="63" t="s">
        <v>132</v>
      </c>
      <c r="F413" s="63" t="s">
        <v>132</v>
      </c>
      <c r="G413" s="372"/>
    </row>
    <row r="414">
      <c r="A414" s="59" t="str">
        <f>HYPERLINK("https://en.uesp.net/wiki/Dragonborn:Horker_Island","Horker Island")</f>
        <v>Horker Island</v>
      </c>
      <c r="B414" s="396" t="s">
        <v>2234</v>
      </c>
      <c r="C414" s="396" t="s">
        <v>2276</v>
      </c>
      <c r="D414" s="63" t="s">
        <v>132</v>
      </c>
      <c r="E414" s="63" t="s">
        <v>132</v>
      </c>
      <c r="F414" s="63" t="s">
        <v>132</v>
      </c>
      <c r="G414" s="372"/>
    </row>
    <row r="415">
      <c r="A415" s="59" t="str">
        <f>HYPERLINK("https://en.uesp.net/wiki/Dragonborn:Hrodulf%27s_House","Hrodulf's House")</f>
        <v>Hrodulf's House</v>
      </c>
      <c r="B415" s="396" t="s">
        <v>2223</v>
      </c>
      <c r="C415" s="396" t="s">
        <v>2276</v>
      </c>
      <c r="D415" s="63" t="s">
        <v>132</v>
      </c>
      <c r="E415" s="63" t="s">
        <v>132</v>
      </c>
      <c r="F415" s="63" t="s">
        <v>132</v>
      </c>
      <c r="G415" s="372"/>
    </row>
    <row r="416">
      <c r="A416" s="59" t="str">
        <f>HYPERLINK("https://en.uesp.net/wiki/Dragonborn:Hrothmund%27s_Barrow","Hrothmund's Barrow")</f>
        <v>Hrothmund's Barrow</v>
      </c>
      <c r="B416" s="396" t="s">
        <v>2239</v>
      </c>
      <c r="C416" s="396" t="s">
        <v>2276</v>
      </c>
      <c r="D416" s="63" t="s">
        <v>132</v>
      </c>
      <c r="E416" s="63" t="s">
        <v>132</v>
      </c>
      <c r="F416" s="396" t="s">
        <v>1524</v>
      </c>
      <c r="G416" s="397"/>
    </row>
    <row r="417">
      <c r="A417" s="59" t="str">
        <f>HYPERLINK("https://en.uesp.net/wiki/Dragonborn:Hvitkald_Peak","Hvitkald Peak‎")</f>
        <v>Hvitkald Peak‎</v>
      </c>
      <c r="B417" s="396" t="s">
        <v>2234</v>
      </c>
      <c r="C417" s="396" t="s">
        <v>2276</v>
      </c>
      <c r="D417" s="63" t="s">
        <v>132</v>
      </c>
      <c r="E417" s="63" t="s">
        <v>132</v>
      </c>
      <c r="F417" s="396" t="s">
        <v>1524</v>
      </c>
      <c r="G417" s="397"/>
    </row>
    <row r="418">
      <c r="A418" s="59" t="str">
        <f>HYPERLINK("https://en.uesp.net/wiki/Dragonborn:Kagrumez","Kagrumez")</f>
        <v>Kagrumez</v>
      </c>
      <c r="B418" s="396" t="s">
        <v>2226</v>
      </c>
      <c r="C418" s="396" t="s">
        <v>2276</v>
      </c>
      <c r="D418" s="63" t="s">
        <v>132</v>
      </c>
      <c r="E418" s="63" t="s">
        <v>132</v>
      </c>
      <c r="F418" s="63" t="s">
        <v>132</v>
      </c>
      <c r="G418" s="372"/>
    </row>
    <row r="419">
      <c r="A419" s="59" t="str">
        <f>HYPERLINK("https://en.uesp.net/wiki/Dragonborn:Kolbjorn_Barrow","Kolbjorn Barrow")</f>
        <v>Kolbjorn Barrow</v>
      </c>
      <c r="B419" s="396" t="s">
        <v>2231</v>
      </c>
      <c r="C419" s="396" t="s">
        <v>2276</v>
      </c>
      <c r="D419" s="63" t="s">
        <v>132</v>
      </c>
      <c r="E419" s="63" t="s">
        <v>132</v>
      </c>
      <c r="F419" s="63" t="s">
        <v>132</v>
      </c>
      <c r="G419" s="372"/>
    </row>
    <row r="420">
      <c r="A420" s="59" t="str">
        <f>HYPERLINK("https://en.uesp.net/wiki/Dragonborn:Last_Vigil","Last Vigil")</f>
        <v>Last Vigil</v>
      </c>
      <c r="B420" s="396" t="s">
        <v>2249</v>
      </c>
      <c r="C420" s="396" t="s">
        <v>2225</v>
      </c>
      <c r="D420" s="63" t="s">
        <v>132</v>
      </c>
      <c r="E420" s="63" t="s">
        <v>132</v>
      </c>
      <c r="F420" s="396" t="s">
        <v>1524</v>
      </c>
      <c r="G420" s="397"/>
    </row>
    <row r="421">
      <c r="A421" s="59" t="str">
        <f>HYPERLINK("https://en.uesp.net/wiki/Dragonborn:Moesring_Pass","Moesring Pass")</f>
        <v>Moesring Pass</v>
      </c>
      <c r="B421" s="396" t="s">
        <v>2269</v>
      </c>
      <c r="C421" s="396" t="s">
        <v>2276</v>
      </c>
      <c r="D421" s="63" t="s">
        <v>132</v>
      </c>
      <c r="E421" s="63" t="s">
        <v>132</v>
      </c>
      <c r="F421" s="63" t="s">
        <v>132</v>
      </c>
      <c r="G421" s="372"/>
    </row>
    <row r="422">
      <c r="A422" s="59" t="str">
        <f>HYPERLINK("https://en.uesp.net/wiki/Dragonborn:Mortrag_Peak","Mortrag Peak")</f>
        <v>Mortrag Peak</v>
      </c>
      <c r="B422" s="396" t="s">
        <v>2234</v>
      </c>
      <c r="C422" s="396" t="s">
        <v>2276</v>
      </c>
      <c r="D422" s="63" t="s">
        <v>132</v>
      </c>
      <c r="E422" s="63" t="s">
        <v>132</v>
      </c>
      <c r="F422" s="396" t="s">
        <v>1524</v>
      </c>
      <c r="G422" s="397"/>
    </row>
    <row r="423">
      <c r="A423" s="59" t="str">
        <f>HYPERLINK("https://en.uesp.net/wiki/Dragonborn:Mount_Moesring","Mount Moesring")</f>
        <v>Mount Moesring</v>
      </c>
      <c r="B423" s="396" t="s">
        <v>2234</v>
      </c>
      <c r="C423" s="396" t="s">
        <v>2276</v>
      </c>
      <c r="D423" s="63" t="s">
        <v>132</v>
      </c>
      <c r="E423" s="63" t="s">
        <v>132</v>
      </c>
      <c r="F423" s="396" t="s">
        <v>1524</v>
      </c>
      <c r="G423" s="397"/>
    </row>
    <row r="424">
      <c r="A424" s="59" t="str">
        <f>HYPERLINK("https://en.uesp.net/wiki/Dragonborn:Nchardak","Nchardak")</f>
        <v>Nchardak</v>
      </c>
      <c r="B424" s="396" t="s">
        <v>2226</v>
      </c>
      <c r="C424" s="396" t="s">
        <v>2276</v>
      </c>
      <c r="D424" s="63" t="s">
        <v>132</v>
      </c>
      <c r="E424" s="63" t="s">
        <v>132</v>
      </c>
      <c r="F424" s="63" t="s">
        <v>132</v>
      </c>
      <c r="G424" s="372"/>
    </row>
    <row r="425">
      <c r="A425" s="59" t="str">
        <f>HYPERLINK("https://en.uesp.net/wiki/Dragonborn:Northshore_Landing","Northshore Landing")</f>
        <v>Northshore Landing</v>
      </c>
      <c r="B425" s="396" t="s">
        <v>2251</v>
      </c>
      <c r="C425" s="396" t="s">
        <v>2276</v>
      </c>
      <c r="D425" s="63" t="s">
        <v>132</v>
      </c>
      <c r="E425" s="63" t="s">
        <v>132</v>
      </c>
      <c r="F425" s="396" t="s">
        <v>1524</v>
      </c>
      <c r="G425" s="397"/>
    </row>
    <row r="426">
      <c r="A426" s="59" t="str">
        <f>HYPERLINK("https://en.uesp.net/wiki/Dragonborn:Old_Attius_Farm","Old Attius Farm")</f>
        <v>Old Attius Farm</v>
      </c>
      <c r="B426" s="396" t="s">
        <v>2259</v>
      </c>
      <c r="C426" s="396" t="s">
        <v>2276</v>
      </c>
      <c r="D426" s="63" t="s">
        <v>132</v>
      </c>
      <c r="E426" s="63" t="s">
        <v>132</v>
      </c>
      <c r="F426" s="396" t="s">
        <v>1524</v>
      </c>
      <c r="G426" s="397"/>
    </row>
    <row r="427">
      <c r="A427" s="59" t="str">
        <f>HYPERLINK("https://en.uesp.net/wiki/Dragonborn:Ramshackle_Trading_Post","Ramshackle Trading Post")</f>
        <v>Ramshackle Trading Post</v>
      </c>
      <c r="B427" s="396" t="s">
        <v>2223</v>
      </c>
      <c r="C427" s="396" t="s">
        <v>2276</v>
      </c>
      <c r="D427" s="63" t="s">
        <v>132</v>
      </c>
      <c r="E427" s="63" t="s">
        <v>132</v>
      </c>
      <c r="F427" s="396" t="s">
        <v>1524</v>
      </c>
      <c r="G427" s="397"/>
    </row>
    <row r="428">
      <c r="A428" s="59" t="str">
        <f>HYPERLINK("https://en.uesp.net/wiki/Dragonborn:Raven_Rock","Raven Rock")</f>
        <v>Raven Rock</v>
      </c>
      <c r="B428" s="396" t="s">
        <v>354</v>
      </c>
      <c r="C428" s="396" t="s">
        <v>2276</v>
      </c>
      <c r="D428" s="63" t="s">
        <v>132</v>
      </c>
      <c r="E428" s="63" t="s">
        <v>132</v>
      </c>
      <c r="F428" s="396" t="s">
        <v>1524</v>
      </c>
      <c r="G428" s="397"/>
    </row>
    <row r="429">
      <c r="A429" s="400" t="str">
        <f>HYPERLINK("https://en.uesp.net/wiki/Skyrim:Raven_Rock_Mine","Raven Rock Mine*")</f>
        <v>Raven Rock Mine*</v>
      </c>
      <c r="B429" s="399" t="s">
        <v>2237</v>
      </c>
      <c r="C429" s="399" t="s">
        <v>2276</v>
      </c>
      <c r="D429" s="401" t="s">
        <v>1524</v>
      </c>
      <c r="E429" s="63" t="s">
        <v>132</v>
      </c>
      <c r="F429" s="63" t="s">
        <v>132</v>
      </c>
      <c r="G429" s="372"/>
    </row>
    <row r="430">
      <c r="A430" s="59" t="str">
        <f>HYPERLINK("https://en.uesp.net/wiki/Dragonborn:Saering%27s_Watch","Saering's Watch")</f>
        <v>Saering's Watch</v>
      </c>
      <c r="B430" s="396" t="s">
        <v>2227</v>
      </c>
      <c r="C430" s="396" t="s">
        <v>2276</v>
      </c>
      <c r="D430" s="63" t="s">
        <v>132</v>
      </c>
      <c r="E430" s="63" t="s">
        <v>132</v>
      </c>
      <c r="F430" s="63" t="s">
        <v>132</v>
      </c>
      <c r="G430" s="372"/>
    </row>
    <row r="431">
      <c r="A431" s="59" t="str">
        <f>HYPERLINK("https://en.uesp.net/wiki/Dragonborn:Skaal_Village","Skaal Village")</f>
        <v>Skaal Village</v>
      </c>
      <c r="B431" s="396" t="s">
        <v>2248</v>
      </c>
      <c r="C431" s="396" t="s">
        <v>2276</v>
      </c>
      <c r="D431" s="63" t="s">
        <v>132</v>
      </c>
      <c r="E431" s="63" t="s">
        <v>132</v>
      </c>
      <c r="F431" s="396" t="s">
        <v>1524</v>
      </c>
      <c r="G431" s="397"/>
    </row>
    <row r="432">
      <c r="A432" s="59" t="str">
        <f>HYPERLINK("https://en.uesp.net/wiki/Dragonborn:Snowclad_Ruins","Snowclad Ruins")</f>
        <v>Snowclad Ruins</v>
      </c>
      <c r="B432" s="396" t="s">
        <v>2254</v>
      </c>
      <c r="C432" s="396" t="s">
        <v>2276</v>
      </c>
      <c r="D432" s="63" t="s">
        <v>132</v>
      </c>
      <c r="E432" s="63" t="s">
        <v>132</v>
      </c>
      <c r="F432" s="63" t="s">
        <v>132</v>
      </c>
      <c r="G432" s="372"/>
    </row>
    <row r="433">
      <c r="A433" s="59" t="str">
        <f>HYPERLINK("https://en.uesp.net/wiki/Dragonborn:Stalhrim_Source","Stalhrim Source")</f>
        <v>Stalhrim Source</v>
      </c>
      <c r="B433" s="396" t="s">
        <v>2234</v>
      </c>
      <c r="C433" s="396" t="s">
        <v>2276</v>
      </c>
      <c r="D433" s="63" t="s">
        <v>132</v>
      </c>
      <c r="E433" s="63" t="s">
        <v>132</v>
      </c>
      <c r="F433" s="396" t="s">
        <v>1524</v>
      </c>
      <c r="G433" s="397"/>
    </row>
    <row r="434">
      <c r="A434" s="59" t="str">
        <f>HYPERLINK("https://en.uesp.net/wiki/Dragonborn:Sun_Stone","Sun Stone")</f>
        <v>Sun Stone</v>
      </c>
      <c r="B434" s="396" t="s">
        <v>2278</v>
      </c>
      <c r="C434" s="396" t="s">
        <v>2276</v>
      </c>
      <c r="D434" s="63" t="s">
        <v>132</v>
      </c>
      <c r="E434" s="63" t="s">
        <v>132</v>
      </c>
      <c r="F434" s="63" t="s">
        <v>132</v>
      </c>
      <c r="G434" s="372"/>
    </row>
    <row r="435">
      <c r="A435" s="59" t="str">
        <f>HYPERLINK("https://en.uesp.net/wiki/Dragonborn:Tel_Mithryn_(settlement)","Tel Mithryn")</f>
        <v>Tel Mithryn</v>
      </c>
      <c r="B435" s="396" t="s">
        <v>2248</v>
      </c>
      <c r="C435" s="396" t="s">
        <v>2276</v>
      </c>
      <c r="D435" s="63" t="s">
        <v>132</v>
      </c>
      <c r="E435" s="63" t="s">
        <v>132</v>
      </c>
      <c r="F435" s="396" t="s">
        <v>1524</v>
      </c>
      <c r="G435" s="397"/>
    </row>
    <row r="436">
      <c r="A436" s="59" t="str">
        <f>HYPERLINK("https://en.uesp.net/wiki/Dragonborn:Temple_of_Miraak","Temple of Miraak")</f>
        <v>Temple of Miraak</v>
      </c>
      <c r="B436" s="396" t="s">
        <v>2279</v>
      </c>
      <c r="C436" s="396" t="s">
        <v>2276</v>
      </c>
      <c r="D436" s="63" t="s">
        <v>132</v>
      </c>
      <c r="E436" s="63" t="s">
        <v>132</v>
      </c>
      <c r="F436" s="63" t="s">
        <v>132</v>
      </c>
      <c r="G436" s="372"/>
    </row>
    <row r="437">
      <c r="A437" s="59" t="str">
        <f>HYPERLINK("https://en.uesp.net/wiki/Dragonborn:Thirsk_Mead_Hall","Thirsk Mead Hall")</f>
        <v>Thirsk Mead Hall</v>
      </c>
      <c r="B437" s="396" t="s">
        <v>2238</v>
      </c>
      <c r="C437" s="396" t="s">
        <v>2276</v>
      </c>
      <c r="D437" s="63" t="s">
        <v>132</v>
      </c>
      <c r="E437" s="63" t="s">
        <v>132</v>
      </c>
      <c r="F437" s="396" t="s">
        <v>1524</v>
      </c>
      <c r="G437" s="397"/>
    </row>
    <row r="438">
      <c r="A438" s="59" t="str">
        <f>HYPERLINK("https://en.uesp.net/wiki/Dragonborn:Vahlok%27s_Tomb","Vahlok's Tomb")</f>
        <v>Vahlok's Tomb</v>
      </c>
      <c r="B438" s="396" t="s">
        <v>2231</v>
      </c>
      <c r="C438" s="396" t="s">
        <v>2276</v>
      </c>
      <c r="D438" s="63" t="s">
        <v>132</v>
      </c>
      <c r="E438" s="63" t="s">
        <v>132</v>
      </c>
      <c r="F438" s="63" t="s">
        <v>132</v>
      </c>
      <c r="G438" s="372"/>
    </row>
    <row r="439">
      <c r="A439" s="59" t="str">
        <f>HYPERLINK("https://en.uesp.net/wiki/Dragonborn:Water_Stone","Water Stone")</f>
        <v>Water Stone</v>
      </c>
      <c r="B439" s="396" t="s">
        <v>2278</v>
      </c>
      <c r="C439" s="396" t="s">
        <v>2276</v>
      </c>
      <c r="D439" s="63" t="s">
        <v>132</v>
      </c>
      <c r="E439" s="63" t="s">
        <v>132</v>
      </c>
      <c r="F439" s="63" t="s">
        <v>132</v>
      </c>
      <c r="G439" s="372"/>
    </row>
    <row r="440">
      <c r="A440" s="59" t="str">
        <f>HYPERLINK("https://en.uesp.net/wiki/Dragonborn:White_Ridge_Barrow","White Ridge Barrow")</f>
        <v>White Ridge Barrow</v>
      </c>
      <c r="B440" s="396" t="s">
        <v>2231</v>
      </c>
      <c r="C440" s="396" t="s">
        <v>2276</v>
      </c>
      <c r="D440" s="63" t="s">
        <v>132</v>
      </c>
      <c r="E440" s="63" t="s">
        <v>132</v>
      </c>
      <c r="F440" s="63" t="s">
        <v>132</v>
      </c>
      <c r="G440" s="372"/>
    </row>
    <row r="441">
      <c r="A441" s="402" t="str">
        <f>HYPERLINK("https://en.uesp.net/wiki/Dragonborn:Wind_Stone","Wind Stone")</f>
        <v>Wind Stone</v>
      </c>
      <c r="B441" s="403" t="s">
        <v>2278</v>
      </c>
      <c r="C441" s="403" t="s">
        <v>2276</v>
      </c>
      <c r="D441" s="63" t="s">
        <v>132</v>
      </c>
      <c r="E441" s="63" t="s">
        <v>132</v>
      </c>
      <c r="F441" s="63" t="s">
        <v>132</v>
      </c>
      <c r="G441" s="372"/>
    </row>
    <row r="442">
      <c r="A442" s="404" t="str">
        <f>HYPERLINK("https://en.uesp.net/wiki/Dragonborn:Wreck_of_the_Strident_Squall","Wreck of the Strident Squall")</f>
        <v>Wreck of the Strident Squall</v>
      </c>
      <c r="B442" s="405" t="s">
        <v>2246</v>
      </c>
      <c r="C442" s="405" t="s">
        <v>2276</v>
      </c>
      <c r="D442" s="63" t="s">
        <v>132</v>
      </c>
      <c r="E442" s="63" t="s">
        <v>132</v>
      </c>
      <c r="F442" s="63" t="s">
        <v>132</v>
      </c>
      <c r="G442" s="372"/>
    </row>
    <row r="443" ht="22.5" customHeight="1">
      <c r="A443" s="264"/>
      <c r="B443" s="84"/>
      <c r="C443" s="84"/>
      <c r="D443" s="84"/>
      <c r="E443" s="85"/>
      <c r="F443" s="390"/>
      <c r="G443" s="391"/>
    </row>
    <row r="444">
      <c r="A444" s="365" t="s">
        <v>2280</v>
      </c>
      <c r="F444" s="148"/>
      <c r="G444" s="392"/>
    </row>
    <row r="445">
      <c r="F445" s="148"/>
      <c r="G445" s="392"/>
    </row>
    <row r="446">
      <c r="A446" s="36" t="s">
        <v>2211</v>
      </c>
      <c r="B446" s="36" t="s">
        <v>2212</v>
      </c>
      <c r="C446" s="36" t="s">
        <v>2213</v>
      </c>
      <c r="D446" s="36" t="s">
        <v>2214</v>
      </c>
      <c r="E446" s="36" t="s">
        <v>2215</v>
      </c>
      <c r="F446" s="36" t="s">
        <v>2216</v>
      </c>
      <c r="G446" s="360"/>
    </row>
    <row r="447">
      <c r="A447" s="368" t="s">
        <v>1524</v>
      </c>
      <c r="B447" s="368" t="s">
        <v>1524</v>
      </c>
      <c r="C447" s="368" t="s">
        <v>1524</v>
      </c>
      <c r="D447" s="369">
        <f t="shared" ref="D447:E447" si="4">COUNTIF(D448:D450,"Y")/(COUNTIF(D448:D450,"Y") + COUNTIF(D448:D450,"N"))</f>
        <v>0</v>
      </c>
      <c r="E447" s="369">
        <f t="shared" si="4"/>
        <v>0</v>
      </c>
      <c r="F447" s="406" t="s">
        <v>1524</v>
      </c>
      <c r="G447" s="407"/>
    </row>
    <row r="448">
      <c r="A448" s="59" t="str">
        <f>HYPERLINK("https://en.uesp.net/wiki/Skyrim:Heljarchen_Hall","Heljarchen Hall")</f>
        <v>Heljarchen Hall</v>
      </c>
      <c r="B448" s="396" t="s">
        <v>2281</v>
      </c>
      <c r="C448" s="396" t="s">
        <v>2230</v>
      </c>
      <c r="D448" s="408" t="s">
        <v>132</v>
      </c>
      <c r="E448" s="408" t="s">
        <v>132</v>
      </c>
      <c r="F448" s="409" t="s">
        <v>1524</v>
      </c>
      <c r="G448" s="410"/>
    </row>
    <row r="449">
      <c r="A449" s="59" t="str">
        <f>HYPERLINK("https://en.uesp.net/wiki/Skyrim:Lakeview_Manor","Lakeview Manor")</f>
        <v>Lakeview Manor</v>
      </c>
      <c r="B449" s="396" t="s">
        <v>2281</v>
      </c>
      <c r="C449" s="396" t="s">
        <v>2228</v>
      </c>
      <c r="D449" s="408" t="s">
        <v>132</v>
      </c>
      <c r="E449" s="408" t="s">
        <v>132</v>
      </c>
      <c r="F449" s="409" t="s">
        <v>1524</v>
      </c>
      <c r="G449" s="410"/>
    </row>
    <row r="450">
      <c r="A450" s="59" t="str">
        <f>HYPERLINK("https://en.uesp.net/wiki/Skyrim:Windstad_Manor","Windstad Manor")</f>
        <v>Windstad Manor</v>
      </c>
      <c r="B450" s="396" t="s">
        <v>2281</v>
      </c>
      <c r="C450" s="396" t="s">
        <v>2224</v>
      </c>
      <c r="D450" s="408" t="s">
        <v>132</v>
      </c>
      <c r="E450" s="408" t="s">
        <v>132</v>
      </c>
      <c r="F450" s="409" t="s">
        <v>1524</v>
      </c>
      <c r="G450" s="410"/>
    </row>
    <row r="451">
      <c r="A451" s="411"/>
      <c r="B451" s="412"/>
      <c r="C451" s="412"/>
      <c r="D451" s="413"/>
      <c r="E451" s="413"/>
      <c r="F451" s="414"/>
      <c r="G451" s="410"/>
    </row>
    <row r="452">
      <c r="A452" s="415" t="s">
        <v>2282</v>
      </c>
      <c r="F452" s="148"/>
      <c r="G452" s="410"/>
    </row>
    <row r="453">
      <c r="F453" s="148"/>
      <c r="G453" s="410"/>
    </row>
    <row r="454">
      <c r="A454" s="416" t="s">
        <v>2211</v>
      </c>
      <c r="B454" s="416" t="s">
        <v>2212</v>
      </c>
      <c r="C454" s="416" t="s">
        <v>2213</v>
      </c>
      <c r="D454" s="416" t="s">
        <v>2214</v>
      </c>
      <c r="E454" s="416" t="s">
        <v>2215</v>
      </c>
      <c r="F454" s="417" t="s">
        <v>2216</v>
      </c>
      <c r="G454" s="410"/>
    </row>
    <row r="455">
      <c r="A455" s="418" t="s">
        <v>1524</v>
      </c>
      <c r="B455" s="418" t="s">
        <v>1524</v>
      </c>
      <c r="C455" s="418" t="s">
        <v>1524</v>
      </c>
      <c r="D455" s="419">
        <f>COUNTIF(D456:D478,"Y")/(COUNTIF(D456:D478,"Y") + COUNTIF(D456:D478,"N"))</f>
        <v>0</v>
      </c>
      <c r="E455" s="419">
        <f>COUNTIF(D456:D478,"Y")/(COUNTIF(D456:D478,"Y") + COUNTIF(D456:D478,"N"))</f>
        <v>0</v>
      </c>
      <c r="F455" s="420">
        <f>COUNTIF(D456:D478,"Y")/(COUNTIF(D456:D478,"Y") + COUNTIF(D456:D478,"N"))</f>
        <v>0</v>
      </c>
      <c r="G455" s="410"/>
    </row>
    <row r="456">
      <c r="A456" s="421" t="s">
        <v>2283</v>
      </c>
      <c r="B456" s="399" t="s">
        <v>2239</v>
      </c>
      <c r="C456" s="399" t="s">
        <v>2276</v>
      </c>
      <c r="D456" s="422" t="s">
        <v>132</v>
      </c>
      <c r="E456" s="422" t="s">
        <v>132</v>
      </c>
      <c r="F456" s="423" t="s">
        <v>1524</v>
      </c>
      <c r="G456" s="410"/>
    </row>
    <row r="457">
      <c r="A457" s="421" t="s">
        <v>2284</v>
      </c>
      <c r="B457" s="399" t="s">
        <v>2281</v>
      </c>
      <c r="C457" s="399" t="s">
        <v>954</v>
      </c>
      <c r="D457" s="422" t="s">
        <v>132</v>
      </c>
      <c r="E457" s="422" t="s">
        <v>132</v>
      </c>
      <c r="F457" s="423" t="s">
        <v>1524</v>
      </c>
      <c r="G457" s="410"/>
    </row>
    <row r="458">
      <c r="A458" s="421" t="s">
        <v>2285</v>
      </c>
      <c r="B458" s="399" t="s">
        <v>2226</v>
      </c>
      <c r="C458" s="399" t="s">
        <v>2276</v>
      </c>
      <c r="D458" s="422" t="s">
        <v>132</v>
      </c>
      <c r="E458" s="422" t="s">
        <v>132</v>
      </c>
      <c r="F458" s="424" t="s">
        <v>132</v>
      </c>
      <c r="G458" s="410"/>
    </row>
    <row r="459">
      <c r="A459" s="421" t="s">
        <v>2286</v>
      </c>
      <c r="B459" s="399" t="s">
        <v>2239</v>
      </c>
      <c r="C459" s="399" t="s">
        <v>2222</v>
      </c>
      <c r="D459" s="422" t="s">
        <v>132</v>
      </c>
      <c r="E459" s="422" t="s">
        <v>132</v>
      </c>
      <c r="F459" s="423" t="s">
        <v>1524</v>
      </c>
      <c r="G459" s="410"/>
    </row>
    <row r="460">
      <c r="A460" s="421" t="s">
        <v>1274</v>
      </c>
      <c r="B460" s="399" t="s">
        <v>2281</v>
      </c>
      <c r="C460" s="399" t="s">
        <v>2222</v>
      </c>
      <c r="D460" s="422" t="s">
        <v>132</v>
      </c>
      <c r="E460" s="422" t="s">
        <v>132</v>
      </c>
      <c r="F460" s="423" t="s">
        <v>1524</v>
      </c>
      <c r="G460" s="410"/>
    </row>
    <row r="461">
      <c r="A461" s="421" t="s">
        <v>2287</v>
      </c>
      <c r="B461" s="399" t="s">
        <v>2259</v>
      </c>
      <c r="C461" s="399" t="s">
        <v>993</v>
      </c>
      <c r="D461" s="422" t="s">
        <v>132</v>
      </c>
      <c r="E461" s="422" t="s">
        <v>132</v>
      </c>
      <c r="F461" s="423" t="s">
        <v>1524</v>
      </c>
      <c r="G461" s="410"/>
    </row>
    <row r="462">
      <c r="A462" s="421" t="s">
        <v>2288</v>
      </c>
      <c r="B462" s="399" t="s">
        <v>2249</v>
      </c>
      <c r="C462" s="399" t="s">
        <v>2225</v>
      </c>
      <c r="D462" s="422" t="s">
        <v>132</v>
      </c>
      <c r="E462" s="422" t="s">
        <v>132</v>
      </c>
      <c r="F462" s="423" t="s">
        <v>1524</v>
      </c>
      <c r="G462" s="410"/>
    </row>
    <row r="463">
      <c r="A463" s="421" t="s">
        <v>2289</v>
      </c>
      <c r="B463" s="399" t="s">
        <v>2281</v>
      </c>
      <c r="C463" s="399" t="s">
        <v>2222</v>
      </c>
      <c r="D463" s="422" t="s">
        <v>132</v>
      </c>
      <c r="E463" s="422" t="s">
        <v>132</v>
      </c>
      <c r="F463" s="423" t="s">
        <v>1524</v>
      </c>
      <c r="G463" s="410"/>
    </row>
    <row r="464">
      <c r="A464" s="421" t="s">
        <v>2290</v>
      </c>
      <c r="B464" s="399" t="s">
        <v>2239</v>
      </c>
      <c r="C464" s="399" t="s">
        <v>2225</v>
      </c>
      <c r="D464" s="422" t="s">
        <v>132</v>
      </c>
      <c r="E464" s="422" t="s">
        <v>132</v>
      </c>
      <c r="F464" s="424" t="s">
        <v>132</v>
      </c>
      <c r="G464" s="410"/>
    </row>
    <row r="465">
      <c r="A465" s="421" t="s">
        <v>2291</v>
      </c>
      <c r="B465" s="399" t="s">
        <v>2292</v>
      </c>
      <c r="C465" s="399" t="s">
        <v>2225</v>
      </c>
      <c r="D465" s="422" t="s">
        <v>132</v>
      </c>
      <c r="E465" s="422" t="s">
        <v>132</v>
      </c>
      <c r="F465" s="423" t="s">
        <v>1524</v>
      </c>
      <c r="G465" s="410"/>
    </row>
    <row r="466">
      <c r="A466" s="421" t="s">
        <v>2293</v>
      </c>
      <c r="B466" s="399" t="s">
        <v>2231</v>
      </c>
      <c r="C466" s="399" t="s">
        <v>954</v>
      </c>
      <c r="D466" s="422" t="s">
        <v>132</v>
      </c>
      <c r="E466" s="422" t="s">
        <v>132</v>
      </c>
      <c r="F466" s="423" t="s">
        <v>1524</v>
      </c>
      <c r="G466" s="410"/>
    </row>
    <row r="467">
      <c r="A467" s="421" t="s">
        <v>2294</v>
      </c>
      <c r="B467" s="399" t="s">
        <v>2239</v>
      </c>
      <c r="C467" s="399" t="s">
        <v>2225</v>
      </c>
      <c r="D467" s="422" t="s">
        <v>132</v>
      </c>
      <c r="E467" s="422" t="s">
        <v>132</v>
      </c>
      <c r="F467" s="424" t="s">
        <v>132</v>
      </c>
      <c r="G467" s="410"/>
    </row>
    <row r="468">
      <c r="A468" s="421" t="s">
        <v>1283</v>
      </c>
      <c r="B468" s="399" t="s">
        <v>2281</v>
      </c>
      <c r="C468" s="399" t="s">
        <v>993</v>
      </c>
      <c r="D468" s="422" t="s">
        <v>132</v>
      </c>
      <c r="E468" s="422" t="s">
        <v>132</v>
      </c>
      <c r="F468" s="423" t="s">
        <v>1524</v>
      </c>
      <c r="G468" s="410"/>
    </row>
    <row r="469">
      <c r="A469" s="421" t="s">
        <v>1289</v>
      </c>
      <c r="B469" s="399" t="s">
        <v>2281</v>
      </c>
      <c r="C469" s="399" t="s">
        <v>2224</v>
      </c>
      <c r="D469" s="422" t="s">
        <v>132</v>
      </c>
      <c r="E469" s="422" t="s">
        <v>132</v>
      </c>
      <c r="F469" s="423" t="s">
        <v>1524</v>
      </c>
      <c r="G469" s="410"/>
    </row>
    <row r="470">
      <c r="A470" s="421" t="s">
        <v>2295</v>
      </c>
      <c r="B470" s="399" t="s">
        <v>2239</v>
      </c>
      <c r="C470" s="399" t="s">
        <v>2235</v>
      </c>
      <c r="D470" s="422" t="s">
        <v>132</v>
      </c>
      <c r="E470" s="422" t="s">
        <v>132</v>
      </c>
      <c r="F470" s="424" t="s">
        <v>132</v>
      </c>
      <c r="G470" s="410"/>
    </row>
    <row r="471">
      <c r="A471" s="421" t="s">
        <v>1399</v>
      </c>
      <c r="B471" s="399" t="s">
        <v>2281</v>
      </c>
      <c r="C471" s="399" t="s">
        <v>2225</v>
      </c>
      <c r="D471" s="422" t="s">
        <v>132</v>
      </c>
      <c r="E471" s="422" t="s">
        <v>132</v>
      </c>
      <c r="F471" s="423" t="s">
        <v>1524</v>
      </c>
      <c r="G471" s="410"/>
    </row>
    <row r="472">
      <c r="A472" s="421" t="s">
        <v>2296</v>
      </c>
      <c r="B472" s="399" t="s">
        <v>2231</v>
      </c>
      <c r="C472" s="399" t="s">
        <v>2297</v>
      </c>
      <c r="D472" s="422" t="s">
        <v>132</v>
      </c>
      <c r="E472" s="422" t="s">
        <v>132</v>
      </c>
      <c r="F472" s="424" t="s">
        <v>132</v>
      </c>
      <c r="G472" s="410"/>
    </row>
    <row r="473">
      <c r="A473" s="421" t="s">
        <v>2298</v>
      </c>
      <c r="B473" s="399" t="s">
        <v>2299</v>
      </c>
      <c r="C473" s="399" t="s">
        <v>2225</v>
      </c>
      <c r="D473" s="422" t="s">
        <v>132</v>
      </c>
      <c r="E473" s="422" t="s">
        <v>132</v>
      </c>
      <c r="F473" s="424" t="s">
        <v>132</v>
      </c>
      <c r="G473" s="410"/>
    </row>
    <row r="474">
      <c r="A474" s="421" t="s">
        <v>2300</v>
      </c>
      <c r="B474" s="399" t="s">
        <v>2239</v>
      </c>
      <c r="C474" s="399" t="s">
        <v>2243</v>
      </c>
      <c r="D474" s="422" t="s">
        <v>132</v>
      </c>
      <c r="E474" s="422" t="s">
        <v>132</v>
      </c>
      <c r="F474" s="424" t="s">
        <v>132</v>
      </c>
      <c r="G474" s="410"/>
    </row>
    <row r="475">
      <c r="A475" s="421" t="s">
        <v>1488</v>
      </c>
      <c r="B475" s="399" t="s">
        <v>2301</v>
      </c>
      <c r="C475" s="399" t="s">
        <v>2243</v>
      </c>
      <c r="D475" s="422" t="s">
        <v>132</v>
      </c>
      <c r="E475" s="422" t="s">
        <v>132</v>
      </c>
      <c r="F475" s="423" t="s">
        <v>1524</v>
      </c>
      <c r="G475" s="410"/>
    </row>
    <row r="476">
      <c r="A476" s="421" t="s">
        <v>2302</v>
      </c>
      <c r="B476" s="399" t="s">
        <v>2239</v>
      </c>
      <c r="C476" s="399" t="s">
        <v>2225</v>
      </c>
      <c r="D476" s="422" t="s">
        <v>132</v>
      </c>
      <c r="E476" s="422" t="s">
        <v>132</v>
      </c>
      <c r="F476" s="424" t="s">
        <v>132</v>
      </c>
      <c r="G476" s="410"/>
    </row>
    <row r="477">
      <c r="A477" s="421" t="s">
        <v>2303</v>
      </c>
      <c r="B477" s="399" t="s">
        <v>2304</v>
      </c>
      <c r="C477" s="399" t="s">
        <v>2243</v>
      </c>
      <c r="D477" s="422" t="s">
        <v>132</v>
      </c>
      <c r="E477" s="422" t="s">
        <v>132</v>
      </c>
      <c r="F477" s="423" t="s">
        <v>1524</v>
      </c>
      <c r="G477" s="410"/>
    </row>
    <row r="478">
      <c r="A478" s="421" t="s">
        <v>1503</v>
      </c>
      <c r="B478" s="399" t="s">
        <v>2281</v>
      </c>
      <c r="C478" s="399" t="s">
        <v>2235</v>
      </c>
      <c r="D478" s="422" t="s">
        <v>132</v>
      </c>
      <c r="E478" s="422" t="s">
        <v>132</v>
      </c>
      <c r="F478" s="423" t="s">
        <v>1524</v>
      </c>
      <c r="G478" s="410"/>
    </row>
  </sheetData>
  <autoFilter ref="$A$5:$F$345"/>
  <customSheetViews>
    <customSheetView guid="{23CE64D9-91C4-4E0B-BB5C-9B9017EE499D}" filter="1" showAutoFilter="1">
      <autoFilter ref="$A$5:$F$366">
        <filterColumn colId="1">
          <filters blank="1">
            <filter val="Imperial Camp"/>
            <filter val="Civil War camps*"/>
            <filter val="Dock"/>
            <filter val="Stormcloak Camp"/>
            <filter val="Camp/Mine"/>
            <filter val="Camp"/>
          </filters>
        </filterColumn>
      </autoFilter>
    </customSheetView>
  </customSheetViews>
  <mergeCells count="6">
    <mergeCell ref="A3:F3"/>
    <mergeCell ref="A346:F346"/>
    <mergeCell ref="A367:F368"/>
    <mergeCell ref="A385:F386"/>
    <mergeCell ref="A444:F445"/>
    <mergeCell ref="A452:F453"/>
  </mergeCells>
  <conditionalFormatting sqref="D6:G345 D347:G365 D371:G383 D389:G442 D448:G451 G452:G453 D454:G478">
    <cfRule type="cellIs" dxfId="1" priority="1" operator="equal">
      <formula>"Y"</formula>
    </cfRule>
  </conditionalFormatting>
  <conditionalFormatting sqref="D6:G345 D347:G365 D371:G383 D389:G442 D448:G451 G452:G453 D454:G478">
    <cfRule type="cellIs" dxfId="4" priority="2" operator="equal">
      <formula>"N"</formula>
    </cfRule>
  </conditionalFormatting>
  <conditionalFormatting sqref="D6:G345 D347:G365 D371:G383 D389:G442 D448:G451 G452:G453 D454:G478">
    <cfRule type="cellIs" dxfId="5" priority="3" operator="equal">
      <formula>"*"</formula>
    </cfRule>
  </conditionalFormatting>
  <hyperlinks>
    <hyperlink r:id="rId2" ref="A456"/>
    <hyperlink r:id="rId3" ref="A457"/>
    <hyperlink r:id="rId4" location="Fahlbtharz_Forge" ref="A458"/>
    <hyperlink r:id="rId5" ref="A459"/>
    <hyperlink r:id="rId6" ref="A460"/>
    <hyperlink r:id="rId7" ref="A461"/>
    <hyperlink r:id="rId8" ref="A462"/>
    <hyperlink r:id="rId9" ref="A463"/>
    <hyperlink r:id="rId10" ref="A464"/>
    <hyperlink r:id="rId11" ref="A465"/>
    <hyperlink r:id="rId12" ref="A466"/>
    <hyperlink r:id="rId13" ref="A467"/>
    <hyperlink r:id="rId14" ref="A468"/>
    <hyperlink r:id="rId15" ref="A469"/>
    <hyperlink r:id="rId16" ref="A470"/>
    <hyperlink r:id="rId17" ref="A471"/>
    <hyperlink r:id="rId18" ref="A472"/>
    <hyperlink r:id="rId19" ref="A473"/>
    <hyperlink r:id="rId20" ref="A474"/>
    <hyperlink r:id="rId21" ref="A475"/>
    <hyperlink r:id="rId22" ref="A476"/>
    <hyperlink r:id="rId23" ref="A477"/>
    <hyperlink r:id="rId24" ref="A478"/>
  </hyperlinks>
  <drawing r:id="rId25"/>
  <legacyDrawing r:id="rId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86"/>
    <col customWidth="1" min="2" max="2" width="28.0"/>
    <col customWidth="1" min="3" max="3" width="18.0"/>
    <col customWidth="1" min="4" max="5" width="13.86"/>
    <col customWidth="1" min="6" max="6" width="32.0"/>
    <col customWidth="1" min="7" max="7" width="30.14"/>
    <col customWidth="1" min="8" max="8" width="27.14"/>
    <col customWidth="1" min="9" max="9" width="9.14"/>
    <col customWidth="1" min="10" max="10" width="12.14"/>
    <col customWidth="1" min="11" max="11" width="16.43"/>
    <col customWidth="1" min="12" max="12" width="67.86"/>
  </cols>
  <sheetData>
    <row r="1" ht="17.25" customHeight="1">
      <c r="A1" s="425" t="s">
        <v>2305</v>
      </c>
      <c r="B1" s="425" t="s">
        <v>2306</v>
      </c>
      <c r="C1" s="425" t="s">
        <v>2307</v>
      </c>
      <c r="D1" s="425" t="s">
        <v>2308</v>
      </c>
      <c r="E1" s="425" t="s">
        <v>2309</v>
      </c>
      <c r="F1" s="425" t="s">
        <v>2213</v>
      </c>
      <c r="G1" s="425" t="s">
        <v>2310</v>
      </c>
      <c r="H1" s="425" t="s">
        <v>2311</v>
      </c>
      <c r="I1" s="425" t="s">
        <v>2312</v>
      </c>
      <c r="J1" s="425" t="s">
        <v>2313</v>
      </c>
      <c r="K1" s="425" t="s">
        <v>2314</v>
      </c>
      <c r="L1" s="425" t="s">
        <v>2</v>
      </c>
    </row>
    <row r="2" ht="16.5" customHeight="1">
      <c r="A2" s="426" t="s">
        <v>2315</v>
      </c>
      <c r="B2" s="426"/>
      <c r="C2" s="427"/>
      <c r="D2" s="427"/>
      <c r="E2" s="427"/>
      <c r="F2" s="427"/>
      <c r="G2" s="427"/>
      <c r="H2" s="427"/>
      <c r="I2" s="427"/>
      <c r="J2" s="427"/>
      <c r="K2" s="427"/>
      <c r="L2" s="427"/>
    </row>
    <row r="3">
      <c r="A3" s="428" t="s">
        <v>1524</v>
      </c>
      <c r="B3" s="428" t="s">
        <v>1524</v>
      </c>
      <c r="C3" s="429">
        <f t="shared" ref="C3:E3" si="1">countif(C4:C132,"Y")/(countif(C4:C132,"Y") + countif(C4:C132,"N"))</f>
        <v>0</v>
      </c>
      <c r="D3" s="429">
        <f t="shared" si="1"/>
        <v>1</v>
      </c>
      <c r="E3" s="429">
        <f t="shared" si="1"/>
        <v>1</v>
      </c>
      <c r="F3" s="428" t="s">
        <v>1524</v>
      </c>
      <c r="G3" s="428" t="s">
        <v>1524</v>
      </c>
      <c r="H3" s="428" t="s">
        <v>1524</v>
      </c>
      <c r="I3" s="428" t="s">
        <v>1524</v>
      </c>
      <c r="J3" s="428" t="s">
        <v>1524</v>
      </c>
      <c r="K3" s="428" t="s">
        <v>1524</v>
      </c>
      <c r="L3" s="428" t="s">
        <v>1524</v>
      </c>
    </row>
    <row r="4">
      <c r="A4" s="430" t="str">
        <f>HYPERLINK("https://en.uesp.net/wiki/Skyrim:Rustleif", "Rustleif")</f>
        <v>Rustleif</v>
      </c>
      <c r="B4" s="431" t="str">
        <f>HYPERLINK("https://en.uesp.net/wiki/Skyrim:Seren", "Seren")</f>
        <v>Seren</v>
      </c>
      <c r="C4" s="63" t="s">
        <v>132</v>
      </c>
      <c r="D4" s="63" t="s">
        <v>76</v>
      </c>
      <c r="E4" s="63" t="s">
        <v>76</v>
      </c>
      <c r="F4" s="53" t="s">
        <v>935</v>
      </c>
      <c r="G4" s="430" t="str">
        <f>HYPERLINK("https://en.uesp.net/wiki/Skyrim:Rustleif's_House", "Rustleif's House")</f>
        <v>Rustleif's House</v>
      </c>
      <c r="H4" s="53" t="s">
        <v>2316</v>
      </c>
      <c r="I4" s="53">
        <v>1000.0</v>
      </c>
      <c r="J4" s="432" t="s">
        <v>2317</v>
      </c>
      <c r="K4" s="432" t="s">
        <v>2317</v>
      </c>
      <c r="L4" s="433"/>
    </row>
    <row r="5">
      <c r="A5" s="430" t="str">
        <f>HYPERLINK("https://en.uesp.net/wiki/Skyrim:Frida", "Frida")</f>
        <v>Frida</v>
      </c>
      <c r="B5" s="434"/>
      <c r="C5" s="63" t="s">
        <v>132</v>
      </c>
      <c r="D5" s="63" t="s">
        <v>76</v>
      </c>
      <c r="E5" s="432" t="s">
        <v>1524</v>
      </c>
      <c r="F5" s="53" t="s">
        <v>935</v>
      </c>
      <c r="G5" s="430" t="str">
        <f>HYPERLINK("https://en.uesp.net/wiki/Skyrim:The_Mortar_and_Pestle", "The Mortar and Pestle")</f>
        <v>The Mortar and Pestle</v>
      </c>
      <c r="H5" s="53" t="s">
        <v>2318</v>
      </c>
      <c r="I5" s="53">
        <v>500.0</v>
      </c>
      <c r="J5" s="432" t="s">
        <v>2317</v>
      </c>
      <c r="K5" s="432" t="s">
        <v>2317</v>
      </c>
      <c r="L5" s="433"/>
    </row>
    <row r="6">
      <c r="A6" s="430" t="str">
        <f>HYPERLINK("https://en.uesp.net/wiki/Skyrim:Madena", "Madena")</f>
        <v>Madena</v>
      </c>
      <c r="B6" s="434"/>
      <c r="C6" s="432" t="s">
        <v>1524</v>
      </c>
      <c r="D6" s="63" t="s">
        <v>76</v>
      </c>
      <c r="E6" s="432" t="s">
        <v>1524</v>
      </c>
      <c r="F6" s="53" t="s">
        <v>935</v>
      </c>
      <c r="G6" s="430" t="str">
        <f>HYPERLINK("https://en.uesp.net/wiki/Skyrim:The_White_Hall", "The White Hall")</f>
        <v>The White Hall</v>
      </c>
      <c r="H6" s="53" t="s">
        <v>79</v>
      </c>
      <c r="I6" s="53">
        <v>500.0</v>
      </c>
      <c r="J6" s="432" t="s">
        <v>2319</v>
      </c>
      <c r="K6" s="432" t="s">
        <v>2317</v>
      </c>
      <c r="L6" s="433"/>
    </row>
    <row r="7">
      <c r="A7" s="430" t="str">
        <f>HYPERLINK("https://en.uesp.net/wiki/Skyrim:Thoring", "Thoring")</f>
        <v>Thoring</v>
      </c>
      <c r="B7" s="435" t="str">
        <f>HYPERLINK("https://en.uesp.net/wiki/Skyrim:Karita_(bard)", "(Karita)")</f>
        <v>(Karita)</v>
      </c>
      <c r="C7" s="432" t="s">
        <v>1524</v>
      </c>
      <c r="D7" s="63" t="s">
        <v>76</v>
      </c>
      <c r="E7" s="63" t="s">
        <v>76</v>
      </c>
      <c r="F7" s="53" t="s">
        <v>935</v>
      </c>
      <c r="G7" s="430" t="str">
        <f>HYPERLINK("https://en.uesp.net/wiki/Skyrim:Windpeak_Inn", "Windpeak Inn")</f>
        <v>Windpeak Inn</v>
      </c>
      <c r="H7" s="53" t="s">
        <v>2320</v>
      </c>
      <c r="I7" s="53">
        <v>100.0</v>
      </c>
      <c r="J7" s="432" t="s">
        <v>2319</v>
      </c>
      <c r="K7" s="432" t="s">
        <v>2319</v>
      </c>
      <c r="L7" s="433"/>
    </row>
    <row r="8">
      <c r="A8" s="430" t="str">
        <f>HYPERLINK("https://en.uesp.net/wiki/Skyrim:Hadring", "Hadring")</f>
        <v>Hadring</v>
      </c>
      <c r="B8" s="434"/>
      <c r="C8" s="432" t="s">
        <v>1524</v>
      </c>
      <c r="D8" s="63" t="s">
        <v>76</v>
      </c>
      <c r="E8" s="432" t="s">
        <v>1524</v>
      </c>
      <c r="F8" s="53" t="s">
        <v>2321</v>
      </c>
      <c r="G8" s="430" t="str">
        <f>HYPERLINK("https://en.uesp.net/wiki/Skyrim:Nightgate_Inn", "Nightgate Inn")</f>
        <v>Nightgate Inn</v>
      </c>
      <c r="H8" s="53" t="s">
        <v>2320</v>
      </c>
      <c r="I8" s="53">
        <v>100.0</v>
      </c>
      <c r="J8" s="432" t="s">
        <v>2319</v>
      </c>
      <c r="K8" s="432" t="s">
        <v>2319</v>
      </c>
      <c r="L8" s="433"/>
    </row>
    <row r="9">
      <c r="A9" s="430" t="str">
        <f>HYPERLINK("https://en.uesp.net/wiki/Skyrim:Valga_Vinicia", "Valga Vinicia")</f>
        <v>Valga Vinicia</v>
      </c>
      <c r="B9" s="434"/>
      <c r="C9" s="432" t="s">
        <v>1524</v>
      </c>
      <c r="D9" s="63" t="s">
        <v>76</v>
      </c>
      <c r="E9" s="432" t="s">
        <v>1524</v>
      </c>
      <c r="F9" s="53" t="s">
        <v>648</v>
      </c>
      <c r="G9" s="430" t="str">
        <f>HYPERLINK("https://en.uesp.net/wiki/Skyrim:Dead_Man's_Drink", "Dead Man's Drink")</f>
        <v>Dead Man's Drink</v>
      </c>
      <c r="H9" s="53" t="s">
        <v>2320</v>
      </c>
      <c r="I9" s="53">
        <v>100.0</v>
      </c>
      <c r="J9" s="432" t="s">
        <v>2319</v>
      </c>
      <c r="K9" s="432" t="s">
        <v>2319</v>
      </c>
      <c r="L9" s="433"/>
    </row>
    <row r="10">
      <c r="A10" s="430" t="str">
        <f>HYPERLINK("https://en.uesp.net/wiki/Skyrim:Zaria", "Zaria")</f>
        <v>Zaria</v>
      </c>
      <c r="B10" s="434"/>
      <c r="C10" s="432" t="s">
        <v>1524</v>
      </c>
      <c r="D10" s="63" t="s">
        <v>76</v>
      </c>
      <c r="E10" s="432" t="s">
        <v>1524</v>
      </c>
      <c r="F10" s="53" t="s">
        <v>648</v>
      </c>
      <c r="G10" s="430" t="str">
        <f>HYPERLINK("https://en.uesp.net/wiki/Skyrim:Grave_Concoctions", "Grave Concoctions")</f>
        <v>Grave Concoctions</v>
      </c>
      <c r="H10" s="53" t="s">
        <v>2318</v>
      </c>
      <c r="I10" s="53">
        <v>500.0</v>
      </c>
      <c r="J10" s="432" t="s">
        <v>2319</v>
      </c>
      <c r="K10" s="432" t="s">
        <v>2317</v>
      </c>
      <c r="L10" s="433"/>
    </row>
    <row r="11">
      <c r="A11" s="430" t="str">
        <f>HYPERLINK("https://en.uesp.net/wiki/Skyrim:Solaf", "Solaf")</f>
        <v>Solaf</v>
      </c>
      <c r="B11" s="434"/>
      <c r="C11" s="63" t="s">
        <v>132</v>
      </c>
      <c r="D11" s="63" t="s">
        <v>76</v>
      </c>
      <c r="E11" s="432" t="s">
        <v>1524</v>
      </c>
      <c r="F11" s="53" t="s">
        <v>648</v>
      </c>
      <c r="G11" s="430" t="str">
        <f>HYPERLINK("https://en.uesp.net/wiki/Skyrim:Gray_Pine_Goods", "Gray Pine Goods")</f>
        <v>Gray Pine Goods</v>
      </c>
      <c r="H11" s="53" t="s">
        <v>2322</v>
      </c>
      <c r="I11" s="53">
        <v>750.0</v>
      </c>
      <c r="J11" s="432" t="s">
        <v>2317</v>
      </c>
      <c r="K11" s="432" t="s">
        <v>2317</v>
      </c>
      <c r="L11" s="433"/>
    </row>
    <row r="12">
      <c r="A12" s="430" t="str">
        <f>HYPERLINK("https://en.uesp.net/wiki/Skyrim:Lod", "Lod")</f>
        <v>Lod</v>
      </c>
      <c r="B12" s="434"/>
      <c r="C12" s="432" t="s">
        <v>1524</v>
      </c>
      <c r="D12" s="63" t="s">
        <v>76</v>
      </c>
      <c r="E12" s="432" t="s">
        <v>1524</v>
      </c>
      <c r="F12" s="53" t="s">
        <v>648</v>
      </c>
      <c r="G12" s="430" t="str">
        <f>HYPERLINK("https://en.uesp.net/wiki/Skyrim:Lod's_House", "Lod's House")</f>
        <v>Lod's House</v>
      </c>
      <c r="H12" s="53" t="s">
        <v>2316</v>
      </c>
      <c r="I12" s="53">
        <v>1000.0</v>
      </c>
      <c r="J12" s="432" t="s">
        <v>2319</v>
      </c>
      <c r="K12" s="432" t="s">
        <v>2317</v>
      </c>
      <c r="L12" s="433"/>
    </row>
    <row r="13">
      <c r="A13" s="430" t="str">
        <f>HYPERLINK("https://en.uesp.net/wiki/Skyrim:Babette", "Babette")</f>
        <v>Babette</v>
      </c>
      <c r="B13" s="434"/>
      <c r="C13" s="432" t="s">
        <v>1524</v>
      </c>
      <c r="D13" s="63" t="s">
        <v>76</v>
      </c>
      <c r="E13" s="432" t="s">
        <v>1524</v>
      </c>
      <c r="F13" s="53" t="s">
        <v>648</v>
      </c>
      <c r="G13" s="430" t="str">
        <f>HYPERLINK("https://en.uesp.net/wiki/Skyrim:Dark_Brotherhood_Sanctuary", "The Dark Brotherhood Sanctuary")</f>
        <v>The Dark Brotherhood Sanctuary</v>
      </c>
      <c r="H13" s="53" t="s">
        <v>2323</v>
      </c>
      <c r="I13" s="53">
        <v>500.0</v>
      </c>
      <c r="J13" s="432" t="s">
        <v>2319</v>
      </c>
      <c r="K13" s="432" t="s">
        <v>2317</v>
      </c>
      <c r="L13" s="433"/>
    </row>
    <row r="14">
      <c r="A14" s="430" t="str">
        <f>HYPERLINK("https://en.uesp.net/wiki/Skyrim:Lisbet", "Lisbet")</f>
        <v>Lisbet</v>
      </c>
      <c r="B14" s="435" t="str">
        <f>HYPERLINK("https://en.uesp.net/wiki/Skyrim:Imedhnain", "(Imedhnain)")</f>
        <v>(Imedhnain)</v>
      </c>
      <c r="C14" s="63" t="s">
        <v>132</v>
      </c>
      <c r="D14" s="63" t="s">
        <v>76</v>
      </c>
      <c r="E14" s="63" t="s">
        <v>76</v>
      </c>
      <c r="F14" s="53" t="s">
        <v>744</v>
      </c>
      <c r="G14" s="430" t="str">
        <f>HYPERLINK("https://en.uesp.net/wiki/Skyrim:Arnleif_and_Sons_Trading_Company", "Arnleif and Sons Trading Company")</f>
        <v>Arnleif and Sons Trading Company</v>
      </c>
      <c r="H14" s="53" t="s">
        <v>2324</v>
      </c>
      <c r="I14" s="53">
        <v>750.0</v>
      </c>
      <c r="J14" s="432" t="s">
        <v>2317</v>
      </c>
      <c r="K14" s="432" t="s">
        <v>2317</v>
      </c>
      <c r="L14" s="433"/>
    </row>
    <row r="15">
      <c r="A15" s="430" t="str">
        <f>HYPERLINK("https://en.uesp.net/wiki/Skyrim:Ghorza_gra-Bagol", "Ghorza gra-Bagol*")</f>
        <v>Ghorza gra-Bagol*</v>
      </c>
      <c r="B15" s="431" t="str">
        <f>HYPERLINK("https://en.uesp.net/wiki/Skyrim:Tacitus_Sallustius", "(Tacitus Sallustius)")</f>
        <v>(Tacitus Sallustius)</v>
      </c>
      <c r="C15" s="63" t="s">
        <v>132</v>
      </c>
      <c r="D15" s="63" t="s">
        <v>76</v>
      </c>
      <c r="E15" s="63" t="s">
        <v>76</v>
      </c>
      <c r="F15" s="53" t="s">
        <v>744</v>
      </c>
      <c r="G15" s="53" t="s">
        <v>2325</v>
      </c>
      <c r="H15" s="53" t="s">
        <v>2316</v>
      </c>
      <c r="I15" s="53">
        <v>1000.0</v>
      </c>
      <c r="J15" s="432" t="s">
        <v>2326</v>
      </c>
      <c r="K15" s="432" t="s">
        <v>2317</v>
      </c>
      <c r="L15" s="53" t="s">
        <v>2327</v>
      </c>
    </row>
    <row r="16">
      <c r="A16" s="430" t="str">
        <f>HYPERLINK("https://en.uesp.net/wiki/Skyrim:Endon", "Endon")</f>
        <v>Endon</v>
      </c>
      <c r="B16" s="434"/>
      <c r="C16" s="432" t="s">
        <v>1524</v>
      </c>
      <c r="D16" s="63" t="s">
        <v>76</v>
      </c>
      <c r="E16" s="432" t="s">
        <v>1524</v>
      </c>
      <c r="F16" s="53" t="s">
        <v>744</v>
      </c>
      <c r="G16" s="430" t="str">
        <f>HYPERLINK("https://en.uesp.net/wiki/Skyrim:Endon's_House", "Endon's House")</f>
        <v>Endon's House</v>
      </c>
      <c r="H16" s="53" t="s">
        <v>2328</v>
      </c>
      <c r="I16" s="53" t="s">
        <v>2329</v>
      </c>
      <c r="J16" s="432" t="s">
        <v>2319</v>
      </c>
      <c r="K16" s="432" t="s">
        <v>2317</v>
      </c>
      <c r="L16" s="433"/>
    </row>
    <row r="17">
      <c r="A17" s="430" t="str">
        <f>HYPERLINK("https://en.uesp.net/wiki/Skyrim:Anton_Virane", "Anton Virane")</f>
        <v>Anton Virane</v>
      </c>
      <c r="B17" s="434"/>
      <c r="C17" s="432" t="s">
        <v>1524</v>
      </c>
      <c r="D17" s="63" t="s">
        <v>76</v>
      </c>
      <c r="E17" s="432" t="s">
        <v>1524</v>
      </c>
      <c r="F17" s="53" t="s">
        <v>744</v>
      </c>
      <c r="G17" s="430" t="str">
        <f>HYPERLINK("https://en.uesp.net/wiki/Skyrim:Understone_Keep", "In Understone Keep")</f>
        <v>In Understone Keep</v>
      </c>
      <c r="H17" s="53" t="s">
        <v>2320</v>
      </c>
      <c r="I17" s="53">
        <v>100.0</v>
      </c>
      <c r="J17" s="432" t="s">
        <v>2319</v>
      </c>
      <c r="K17" s="432" t="s">
        <v>2319</v>
      </c>
      <c r="L17" s="433"/>
    </row>
    <row r="18">
      <c r="A18" s="430" t="str">
        <f>HYPERLINK("https://en.uesp.net/wiki/Skyrim:Calcelmo", "Calcelmo")</f>
        <v>Calcelmo</v>
      </c>
      <c r="B18" s="434"/>
      <c r="C18" s="63" t="s">
        <v>132</v>
      </c>
      <c r="D18" s="63" t="s">
        <v>76</v>
      </c>
      <c r="E18" s="432" t="s">
        <v>1524</v>
      </c>
      <c r="F18" s="53" t="s">
        <v>744</v>
      </c>
      <c r="G18" s="430" t="str">
        <f>HYPERLINK("https://en.uesp.net/wiki/Skyrim:in_Understone_Keep", "in Understone Keep")</f>
        <v>in Understone Keep</v>
      </c>
      <c r="H18" s="53" t="s">
        <v>79</v>
      </c>
      <c r="I18" s="53">
        <v>500.0</v>
      </c>
      <c r="J18" s="432" t="s">
        <v>2317</v>
      </c>
      <c r="K18" s="432" t="s">
        <v>2317</v>
      </c>
      <c r="L18" s="433"/>
    </row>
    <row r="19">
      <c r="A19" s="430" t="str">
        <f>HYPERLINK("https://en.uesp.net/wiki/Skyrim:Moth_gro-Bagol", "Moth gro-Bagol*")</f>
        <v>Moth gro-Bagol*</v>
      </c>
      <c r="B19" s="434"/>
      <c r="C19" s="63" t="s">
        <v>132</v>
      </c>
      <c r="D19" s="63" t="s">
        <v>76</v>
      </c>
      <c r="E19" s="432" t="s">
        <v>1524</v>
      </c>
      <c r="F19" s="53" t="s">
        <v>744</v>
      </c>
      <c r="G19" s="430" t="str">
        <f>HYPERLINK("https://en.uesp.net/wiki/Skyrim:Understone_Keep", "in Understone Keep")</f>
        <v>in Understone Keep</v>
      </c>
      <c r="H19" s="53" t="s">
        <v>2316</v>
      </c>
      <c r="I19" s="53">
        <v>500.0</v>
      </c>
      <c r="J19" s="432" t="s">
        <v>2330</v>
      </c>
      <c r="K19" s="432" t="s">
        <v>2317</v>
      </c>
      <c r="L19" s="53" t="s">
        <v>2331</v>
      </c>
    </row>
    <row r="20">
      <c r="A20" s="430" t="str">
        <f>HYPERLINK("https://en.uesp.net/wiki/Skyrim:Hogni_Red-Arm", "Hogni Red-Arm")</f>
        <v>Hogni Red-Arm</v>
      </c>
      <c r="B20" s="434"/>
      <c r="C20" s="432" t="s">
        <v>1524</v>
      </c>
      <c r="D20" s="63" t="s">
        <v>76</v>
      </c>
      <c r="E20" s="432" t="s">
        <v>1524</v>
      </c>
      <c r="F20" s="53" t="s">
        <v>744</v>
      </c>
      <c r="G20" s="53" t="s">
        <v>2332</v>
      </c>
      <c r="H20" s="53" t="s">
        <v>2320</v>
      </c>
      <c r="I20" s="53">
        <v>50.0</v>
      </c>
      <c r="J20" s="432" t="s">
        <v>2319</v>
      </c>
      <c r="K20" s="432" t="s">
        <v>2319</v>
      </c>
      <c r="L20" s="433"/>
    </row>
    <row r="21">
      <c r="A21" s="430" t="str">
        <f>HYPERLINK("https://en.uesp.net/wiki/Skyrim:Kerah", "Kerah")</f>
        <v>Kerah</v>
      </c>
      <c r="B21" s="434"/>
      <c r="C21" s="432" t="s">
        <v>1524</v>
      </c>
      <c r="D21" s="63" t="s">
        <v>76</v>
      </c>
      <c r="E21" s="432" t="s">
        <v>1524</v>
      </c>
      <c r="F21" s="53" t="s">
        <v>744</v>
      </c>
      <c r="G21" s="436" t="s">
        <v>2332</v>
      </c>
      <c r="H21" s="53" t="s">
        <v>2333</v>
      </c>
      <c r="I21" s="53">
        <v>50.0</v>
      </c>
      <c r="J21" s="432" t="s">
        <v>2319</v>
      </c>
      <c r="K21" s="432" t="s">
        <v>2319</v>
      </c>
      <c r="L21" s="433"/>
    </row>
    <row r="22">
      <c r="A22" s="430" t="str">
        <f>HYPERLINK("https://en.uesp.net/wiki/Skyrim:Kleppr", "Kleppr")</f>
        <v>Kleppr</v>
      </c>
      <c r="B22" s="431" t="str">
        <f>HYPERLINK("https://en.uesp.net/wiki/Skyrim:Frabbi", "(Frabbi)")</f>
        <v>(Frabbi)</v>
      </c>
      <c r="C22" s="432" t="s">
        <v>1524</v>
      </c>
      <c r="D22" s="63" t="s">
        <v>76</v>
      </c>
      <c r="E22" s="63" t="s">
        <v>76</v>
      </c>
      <c r="F22" s="53" t="s">
        <v>744</v>
      </c>
      <c r="G22" s="430" t="str">
        <f>HYPERLINK("https://en.uesp.net/wiki/Skyrim:Silver-Blood_Inn", "Silver-Blood Inn")</f>
        <v>Silver-Blood Inn</v>
      </c>
      <c r="H22" s="53" t="s">
        <v>2320</v>
      </c>
      <c r="I22" s="53">
        <v>100.0</v>
      </c>
      <c r="J22" s="432" t="s">
        <v>2319</v>
      </c>
      <c r="K22" s="432" t="s">
        <v>2319</v>
      </c>
      <c r="L22" s="433"/>
    </row>
    <row r="23">
      <c r="A23" s="430" t="str">
        <f>HYPERLINK("https://en.uesp.net/wiki/Skyrim:Bothela", "Bothela")</f>
        <v>Bothela</v>
      </c>
      <c r="B23" s="431" t="str">
        <f>HYPERLINK("https://en.uesp.net/wiki/Skyrim:Muiri", "(Muiri)")</f>
        <v>(Muiri)</v>
      </c>
      <c r="C23" s="63" t="s">
        <v>132</v>
      </c>
      <c r="D23" s="63" t="s">
        <v>76</v>
      </c>
      <c r="E23" s="63" t="s">
        <v>76</v>
      </c>
      <c r="F23" s="53" t="s">
        <v>744</v>
      </c>
      <c r="G23" s="430" t="str">
        <f>HYPERLINK("https://en.uesp.net/wiki/Skyrim:The_Hag's_Cure", "The Hag's Cure")</f>
        <v>The Hag's Cure</v>
      </c>
      <c r="H23" s="53" t="s">
        <v>2318</v>
      </c>
      <c r="I23" s="53">
        <v>500.0</v>
      </c>
      <c r="J23" s="432" t="s">
        <v>2317</v>
      </c>
      <c r="K23" s="432" t="s">
        <v>2317</v>
      </c>
      <c r="L23" s="433"/>
    </row>
    <row r="24">
      <c r="A24" s="430" t="str">
        <f>HYPERLINK("https://en.uesp.net/wiki/Skyrim:Gharol", "Gharol")</f>
        <v>Gharol</v>
      </c>
      <c r="B24" s="434"/>
      <c r="C24" s="432" t="s">
        <v>1524</v>
      </c>
      <c r="D24" s="63" t="s">
        <v>76</v>
      </c>
      <c r="E24" s="432" t="s">
        <v>1524</v>
      </c>
      <c r="F24" s="53" t="s">
        <v>2334</v>
      </c>
      <c r="G24" s="430" t="str">
        <f t="shared" ref="G24:G25" si="2">HYPERLINK("https://en.uesp.net/wiki/Skyrim:Burguk's_Longhouse", "at Burguk's Longhouse")</f>
        <v>at Burguk's Longhouse</v>
      </c>
      <c r="H24" s="53" t="s">
        <v>2316</v>
      </c>
      <c r="I24" s="53">
        <v>400.0</v>
      </c>
      <c r="J24" s="432" t="s">
        <v>2319</v>
      </c>
      <c r="K24" s="432" t="s">
        <v>2317</v>
      </c>
      <c r="L24" s="433"/>
    </row>
    <row r="25">
      <c r="A25" s="430" t="str">
        <f>HYPERLINK("https://en.uesp.net/wiki/Skyrim:Murbul", "Murbul")</f>
        <v>Murbul</v>
      </c>
      <c r="B25" s="434"/>
      <c r="C25" s="432" t="s">
        <v>1524</v>
      </c>
      <c r="D25" s="63" t="s">
        <v>76</v>
      </c>
      <c r="E25" s="432" t="s">
        <v>1524</v>
      </c>
      <c r="F25" s="53" t="s">
        <v>2334</v>
      </c>
      <c r="G25" s="430" t="str">
        <f t="shared" si="2"/>
        <v>at Burguk's Longhouse</v>
      </c>
      <c r="H25" s="53" t="s">
        <v>2318</v>
      </c>
      <c r="I25" s="53">
        <v>500.0</v>
      </c>
      <c r="J25" s="432" t="s">
        <v>2319</v>
      </c>
      <c r="K25" s="432" t="s">
        <v>2317</v>
      </c>
      <c r="L25" s="433"/>
    </row>
    <row r="26">
      <c r="A26" s="430" t="str">
        <f>HYPERLINK("https://en.uesp.net/wiki/Skyrim:Sharamph", "Sharamph")</f>
        <v>Sharamph</v>
      </c>
      <c r="B26" s="434"/>
      <c r="C26" s="432" t="s">
        <v>1524</v>
      </c>
      <c r="D26" s="63" t="s">
        <v>76</v>
      </c>
      <c r="E26" s="432" t="s">
        <v>1524</v>
      </c>
      <c r="F26" s="53" t="s">
        <v>2335</v>
      </c>
      <c r="G26" s="430" t="str">
        <f t="shared" ref="G26:G27" si="3">HYPERLINK("https://en.uesp.net/wiki/Skyrim:Larak's_Longhouse", "at Larak's Longhouse")</f>
        <v>at Larak's Longhouse</v>
      </c>
      <c r="H26" s="53" t="s">
        <v>2318</v>
      </c>
      <c r="I26" s="53">
        <v>500.0</v>
      </c>
      <c r="J26" s="432" t="s">
        <v>2319</v>
      </c>
      <c r="K26" s="432" t="s">
        <v>2317</v>
      </c>
      <c r="L26" s="433"/>
    </row>
    <row r="27">
      <c r="A27" s="430" t="str">
        <f>HYPERLINK("https://en.uesp.net/wiki/Skyrim:Shuftharz", "Shuftharz")</f>
        <v>Shuftharz</v>
      </c>
      <c r="B27" s="434"/>
      <c r="C27" s="432" t="s">
        <v>1524</v>
      </c>
      <c r="D27" s="63" t="s">
        <v>76</v>
      </c>
      <c r="E27" s="432" t="s">
        <v>1524</v>
      </c>
      <c r="F27" s="53" t="s">
        <v>2335</v>
      </c>
      <c r="G27" s="430" t="str">
        <f t="shared" si="3"/>
        <v>at Larak's Longhouse</v>
      </c>
      <c r="H27" s="53" t="s">
        <v>2316</v>
      </c>
      <c r="I27" s="53">
        <v>400.0</v>
      </c>
      <c r="J27" s="432" t="s">
        <v>2319</v>
      </c>
      <c r="K27" s="432" t="s">
        <v>2317</v>
      </c>
      <c r="L27" s="433"/>
    </row>
    <row r="28">
      <c r="A28" s="430" t="str">
        <f>HYPERLINK("https://en.uesp.net/wiki/Skyrim:Eydis", "Eydis")</f>
        <v>Eydis</v>
      </c>
      <c r="B28" s="431" t="str">
        <f>HYPERLINK("https://en.uesp.net/wiki/Skyrim:Leontius_Salvius", "(Leontius Salvius)")</f>
        <v>(Leontius Salvius)</v>
      </c>
      <c r="C28" s="432" t="s">
        <v>1524</v>
      </c>
      <c r="D28" s="63" t="s">
        <v>76</v>
      </c>
      <c r="E28" s="63" t="s">
        <v>76</v>
      </c>
      <c r="F28" s="53" t="s">
        <v>2336</v>
      </c>
      <c r="G28" s="430" t="str">
        <f>HYPERLINK("https://en.uesp.net/wiki/Skyrim:Old_Hroldan_Inn", "Old Hroldan Inn")</f>
        <v>Old Hroldan Inn</v>
      </c>
      <c r="H28" s="53" t="s">
        <v>2320</v>
      </c>
      <c r="I28" s="53">
        <v>100.0</v>
      </c>
      <c r="J28" s="432" t="s">
        <v>2319</v>
      </c>
      <c r="K28" s="432" t="s">
        <v>2319</v>
      </c>
      <c r="L28" s="433"/>
    </row>
    <row r="29">
      <c r="A29" s="430" t="str">
        <f>HYPERLINK("https://en.uesp.net/wiki/Skyrim:Falion", "Falion")</f>
        <v>Falion</v>
      </c>
      <c r="B29" s="434"/>
      <c r="C29" s="432" t="s">
        <v>1524</v>
      </c>
      <c r="D29" s="63" t="s">
        <v>76</v>
      </c>
      <c r="E29" s="432" t="s">
        <v>1524</v>
      </c>
      <c r="F29" s="53" t="s">
        <v>674</v>
      </c>
      <c r="G29" s="430" t="str">
        <f>HYPERLINK("https://en.uesp.net/wiki/Skyrim:Falion's_House", "Falion's House")</f>
        <v>Falion's House</v>
      </c>
      <c r="H29" s="53" t="s">
        <v>2337</v>
      </c>
      <c r="I29" s="53">
        <v>500.0</v>
      </c>
      <c r="J29" s="432" t="s">
        <v>2319</v>
      </c>
      <c r="K29" s="432" t="s">
        <v>2317</v>
      </c>
      <c r="L29" s="433"/>
    </row>
    <row r="30">
      <c r="A30" s="430" t="str">
        <f>HYPERLINK("https://en.uesp.net/wiki/Skyrim:Jonna", "Jonna")</f>
        <v>Jonna</v>
      </c>
      <c r="B30" s="434"/>
      <c r="C30" s="432" t="s">
        <v>1524</v>
      </c>
      <c r="D30" s="63" t="s">
        <v>76</v>
      </c>
      <c r="E30" s="432" t="s">
        <v>1524</v>
      </c>
      <c r="F30" s="53" t="s">
        <v>674</v>
      </c>
      <c r="G30" s="430" t="str">
        <f>HYPERLINK("https://en.uesp.net/wiki/Skyrim:Moorside_Inn", "Moorside Inn")</f>
        <v>Moorside Inn</v>
      </c>
      <c r="H30" s="53" t="s">
        <v>2320</v>
      </c>
      <c r="I30" s="53">
        <v>100.0</v>
      </c>
      <c r="J30" s="432" t="s">
        <v>2319</v>
      </c>
      <c r="K30" s="432" t="s">
        <v>2319</v>
      </c>
      <c r="L30" s="433"/>
    </row>
    <row r="31">
      <c r="A31" s="430" t="str">
        <f>HYPERLINK("https://en.uesp.net/wiki/Skyrim:Lami", "Lami")</f>
        <v>Lami</v>
      </c>
      <c r="B31" s="434"/>
      <c r="C31" s="63" t="s">
        <v>132</v>
      </c>
      <c r="D31" s="63" t="s">
        <v>76</v>
      </c>
      <c r="E31" s="432" t="s">
        <v>1524</v>
      </c>
      <c r="F31" s="53" t="s">
        <v>674</v>
      </c>
      <c r="G31" s="430" t="str">
        <f>HYPERLINK("https://en.uesp.net/wiki/Skyrim:Thaumaturgist's_Hut", "Thaumaturgist's Hut")</f>
        <v>Thaumaturgist's Hut</v>
      </c>
      <c r="H31" s="53" t="s">
        <v>2318</v>
      </c>
      <c r="I31" s="53">
        <v>500.0</v>
      </c>
      <c r="J31" s="432" t="s">
        <v>2317</v>
      </c>
      <c r="K31" s="432" t="s">
        <v>2317</v>
      </c>
      <c r="L31" s="433"/>
    </row>
    <row r="32">
      <c r="A32" s="430" t="str">
        <f>HYPERLINK("https://en.uesp.net/wiki/Skyrim:Imperial_Quartermaster", "Imperial Quartermaster")</f>
        <v>Imperial Quartermaster</v>
      </c>
      <c r="B32" s="434"/>
      <c r="C32" s="432" t="s">
        <v>1524</v>
      </c>
      <c r="D32" s="63" t="s">
        <v>76</v>
      </c>
      <c r="E32" s="432" t="s">
        <v>1524</v>
      </c>
      <c r="F32" s="53" t="s">
        <v>2338</v>
      </c>
      <c r="G32" s="433"/>
      <c r="H32" s="53" t="s">
        <v>2316</v>
      </c>
      <c r="I32" s="53">
        <v>1000.0</v>
      </c>
      <c r="J32" s="432" t="s">
        <v>2319</v>
      </c>
      <c r="K32" s="432" t="s">
        <v>2319</v>
      </c>
      <c r="L32" s="433"/>
    </row>
    <row r="33">
      <c r="A33" s="430" t="str">
        <f>HYPERLINK("https://en.uesp.net/wiki/Skyrim:Stormcloak_Quartermaster", "Stormcloak Quartermaster")</f>
        <v>Stormcloak Quartermaster</v>
      </c>
      <c r="B33" s="434"/>
      <c r="C33" s="432" t="s">
        <v>1524</v>
      </c>
      <c r="D33" s="63" t="s">
        <v>76</v>
      </c>
      <c r="E33" s="432" t="s">
        <v>1524</v>
      </c>
      <c r="F33" s="53" t="s">
        <v>2339</v>
      </c>
      <c r="G33" s="433"/>
      <c r="H33" s="53" t="s">
        <v>2316</v>
      </c>
      <c r="I33" s="53">
        <v>1000.0</v>
      </c>
      <c r="J33" s="432" t="s">
        <v>2319</v>
      </c>
      <c r="K33" s="432" t="s">
        <v>2319</v>
      </c>
      <c r="L33" s="433"/>
    </row>
    <row r="34">
      <c r="A34" s="430" t="str">
        <f>HYPERLINK("https://en.uesp.net/wiki/Skyrim:Hunter", "Hunter")</f>
        <v>Hunter</v>
      </c>
      <c r="B34" s="434"/>
      <c r="C34" s="432" t="s">
        <v>1524</v>
      </c>
      <c r="D34" s="63" t="s">
        <v>76</v>
      </c>
      <c r="E34" s="432" t="s">
        <v>1524</v>
      </c>
      <c r="F34" s="53" t="s">
        <v>2340</v>
      </c>
      <c r="G34" s="433"/>
      <c r="H34" s="53" t="s">
        <v>2341</v>
      </c>
      <c r="I34" s="53" t="s">
        <v>2342</v>
      </c>
      <c r="J34" s="432" t="s">
        <v>2319</v>
      </c>
      <c r="K34" s="432" t="s">
        <v>2319</v>
      </c>
      <c r="L34" s="53" t="s">
        <v>2343</v>
      </c>
    </row>
    <row r="35">
      <c r="A35" s="430" t="str">
        <f>HYPERLINK("https://en.uesp.net/wiki/Skyrim:Skooma_Dealer_(NPC)", "Skooma Dealer")</f>
        <v>Skooma Dealer</v>
      </c>
      <c r="B35" s="434"/>
      <c r="C35" s="432" t="s">
        <v>1524</v>
      </c>
      <c r="D35" s="63" t="s">
        <v>76</v>
      </c>
      <c r="E35" s="432" t="s">
        <v>1524</v>
      </c>
      <c r="F35" s="53" t="s">
        <v>2340</v>
      </c>
      <c r="G35" s="433"/>
      <c r="H35" s="53" t="s">
        <v>2344</v>
      </c>
      <c r="I35" s="53" t="s">
        <v>2345</v>
      </c>
      <c r="J35" s="432" t="s">
        <v>2319</v>
      </c>
      <c r="K35" s="432" t="s">
        <v>2319</v>
      </c>
      <c r="L35" s="433"/>
    </row>
    <row r="36">
      <c r="A36" s="430" t="str">
        <f>HYPERLINK("https://en.uesp.net/wiki/Skyrim:Peddler", "Peddler")</f>
        <v>Peddler</v>
      </c>
      <c r="B36" s="434"/>
      <c r="C36" s="432" t="s">
        <v>1524</v>
      </c>
      <c r="D36" s="63" t="s">
        <v>76</v>
      </c>
      <c r="E36" s="432" t="s">
        <v>1524</v>
      </c>
      <c r="F36" s="53" t="s">
        <v>2346</v>
      </c>
      <c r="G36" s="433"/>
      <c r="H36" s="53" t="s">
        <v>2347</v>
      </c>
      <c r="I36" s="53" t="s">
        <v>2348</v>
      </c>
      <c r="J36" s="432" t="s">
        <v>2319</v>
      </c>
      <c r="K36" s="432" t="s">
        <v>2319</v>
      </c>
      <c r="L36" s="433"/>
    </row>
    <row r="37">
      <c r="A37" s="430" t="str">
        <f>HYPERLINK("https://en.uesp.net/wiki/Skyrim:Ungrien", "Ungrien")</f>
        <v>Ungrien</v>
      </c>
      <c r="B37" s="434"/>
      <c r="C37" s="432" t="s">
        <v>1524</v>
      </c>
      <c r="D37" s="63" t="s">
        <v>76</v>
      </c>
      <c r="E37" s="432" t="s">
        <v>1524</v>
      </c>
      <c r="F37" s="53" t="s">
        <v>803</v>
      </c>
      <c r="G37" s="430" t="str">
        <f>HYPERLINK("https://en.uesp.net/wiki/Skyrim:Black-Briar_Meadery", "Black-Briar Meadery")</f>
        <v>Black-Briar Meadery</v>
      </c>
      <c r="H37" s="53" t="s">
        <v>2320</v>
      </c>
      <c r="I37" s="53">
        <v>100.0</v>
      </c>
      <c r="J37" s="432" t="s">
        <v>2319</v>
      </c>
      <c r="K37" s="432" t="s">
        <v>2319</v>
      </c>
      <c r="L37" s="433"/>
    </row>
    <row r="38">
      <c r="A38" s="430" t="str">
        <f>HYPERLINK("https://en.uesp.net/wiki/Skyrim:Elgrim", "Elgrim")</f>
        <v>Elgrim</v>
      </c>
      <c r="B38" s="430" t="str">
        <f>HYPERLINK("https://en.uesp.net/wiki/Skyrim:Hafjorg", "Hafjorg")</f>
        <v>Hafjorg</v>
      </c>
      <c r="C38" s="63" t="s">
        <v>132</v>
      </c>
      <c r="D38" s="63" t="s">
        <v>76</v>
      </c>
      <c r="E38" s="432" t="s">
        <v>1524</v>
      </c>
      <c r="F38" s="53" t="s">
        <v>803</v>
      </c>
      <c r="G38" s="430" t="str">
        <f>HYPERLINK("https://en.uesp.net/wiki/Skyrim:Elgrim's_Elixirs", "Elgrim's Elixirs")</f>
        <v>Elgrim's Elixirs</v>
      </c>
      <c r="H38" s="53" t="s">
        <v>2318</v>
      </c>
      <c r="I38" s="53">
        <v>500.0</v>
      </c>
      <c r="J38" s="432" t="s">
        <v>2317</v>
      </c>
      <c r="K38" s="432" t="s">
        <v>2317</v>
      </c>
      <c r="L38" s="433"/>
    </row>
    <row r="39">
      <c r="A39" s="430" t="str">
        <f>HYPERLINK("https://en.uesp.net/wiki/Skyrim:Wylandriah", "Wylandriah")</f>
        <v>Wylandriah</v>
      </c>
      <c r="B39" s="434"/>
      <c r="C39" s="63" t="s">
        <v>132</v>
      </c>
      <c r="D39" s="63" t="s">
        <v>76</v>
      </c>
      <c r="E39" s="432" t="s">
        <v>1524</v>
      </c>
      <c r="F39" s="53" t="s">
        <v>803</v>
      </c>
      <c r="G39" s="430" t="str">
        <f>HYPERLINK("https://en.uesp.net/wiki/Skyrim:Mistveil_Keep", "in Mistveil Keep")</f>
        <v>in Mistveil Keep</v>
      </c>
      <c r="H39" s="53" t="s">
        <v>79</v>
      </c>
      <c r="I39" s="53">
        <v>500.0</v>
      </c>
      <c r="J39" s="432" t="s">
        <v>2317</v>
      </c>
      <c r="K39" s="432" t="s">
        <v>2317</v>
      </c>
      <c r="L39" s="433"/>
    </row>
    <row r="40">
      <c r="A40" s="430" t="str">
        <f>HYPERLINK("https://en.uesp.net/wiki/Skyrim:Brand-Shei", "Brand-Shei")</f>
        <v>Brand-Shei</v>
      </c>
      <c r="B40" s="434"/>
      <c r="C40" s="432" t="s">
        <v>1524</v>
      </c>
      <c r="D40" s="63" t="s">
        <v>76</v>
      </c>
      <c r="E40" s="432" t="s">
        <v>1524</v>
      </c>
      <c r="F40" s="53" t="s">
        <v>803</v>
      </c>
      <c r="G40" s="430" t="str">
        <f>HYPERLINK("https://en.uesp.net/wiki/Skyrim:Marketplace_Stall", "Marketplace Stall")</f>
        <v>Marketplace Stall</v>
      </c>
      <c r="H40" s="53" t="s">
        <v>2324</v>
      </c>
      <c r="I40" s="53">
        <v>750.0</v>
      </c>
      <c r="J40" s="432" t="s">
        <v>2319</v>
      </c>
      <c r="K40" s="432" t="s">
        <v>2317</v>
      </c>
      <c r="L40" s="433"/>
    </row>
    <row r="41">
      <c r="A41" s="430" t="str">
        <f>HYPERLINK("https://en.uesp.net/wiki/Skyrim:Grelka", "Grelka")</f>
        <v>Grelka</v>
      </c>
      <c r="B41" s="434"/>
      <c r="C41" s="432" t="s">
        <v>1524</v>
      </c>
      <c r="D41" s="63" t="s">
        <v>76</v>
      </c>
      <c r="E41" s="432" t="s">
        <v>1524</v>
      </c>
      <c r="F41" s="53" t="s">
        <v>803</v>
      </c>
      <c r="G41" s="53" t="s">
        <v>2332</v>
      </c>
      <c r="H41" s="53" t="s">
        <v>2324</v>
      </c>
      <c r="I41" s="53">
        <v>750.0</v>
      </c>
      <c r="J41" s="432" t="s">
        <v>2319</v>
      </c>
      <c r="K41" s="432" t="s">
        <v>2317</v>
      </c>
      <c r="L41" s="433"/>
    </row>
    <row r="42">
      <c r="A42" s="430" t="str">
        <f>HYPERLINK("https://en.uesp.net/wiki/Skyrim:Madesi", "Madesi")</f>
        <v>Madesi</v>
      </c>
      <c r="B42" s="434"/>
      <c r="C42" s="432" t="s">
        <v>1524</v>
      </c>
      <c r="D42" s="63" t="s">
        <v>76</v>
      </c>
      <c r="E42" s="432" t="s">
        <v>1524</v>
      </c>
      <c r="F42" s="53" t="s">
        <v>803</v>
      </c>
      <c r="G42" s="53" t="s">
        <v>2332</v>
      </c>
      <c r="H42" s="53" t="s">
        <v>2333</v>
      </c>
      <c r="I42" s="53">
        <v>750.0</v>
      </c>
      <c r="J42" s="432" t="s">
        <v>2319</v>
      </c>
      <c r="K42" s="432" t="s">
        <v>2319</v>
      </c>
      <c r="L42" s="433"/>
    </row>
    <row r="43">
      <c r="A43" s="430" t="str">
        <f>HYPERLINK("https://en.uesp.net/wiki/Skyrim:Marise_Aravel", "Marise Aravel")</f>
        <v>Marise Aravel</v>
      </c>
      <c r="B43" s="434"/>
      <c r="C43" s="432" t="s">
        <v>1524</v>
      </c>
      <c r="D43" s="63" t="s">
        <v>76</v>
      </c>
      <c r="E43" s="432" t="s">
        <v>1524</v>
      </c>
      <c r="F43" s="53" t="s">
        <v>803</v>
      </c>
      <c r="G43" s="53" t="s">
        <v>2332</v>
      </c>
      <c r="H43" s="53" t="s">
        <v>2324</v>
      </c>
      <c r="I43" s="53">
        <v>50.0</v>
      </c>
      <c r="J43" s="432" t="s">
        <v>2319</v>
      </c>
      <c r="K43" s="432" t="s">
        <v>2319</v>
      </c>
      <c r="L43" s="433"/>
    </row>
    <row r="44">
      <c r="A44" s="430" t="str">
        <f>HYPERLINK("https://en.uesp.net/wiki/Skyrim:Bersi_Honey-Hand", "Bersi Honey-Hand")</f>
        <v>Bersi Honey-Hand</v>
      </c>
      <c r="B44" s="431" t="str">
        <f>HYPERLINK("https://en.uesp.net/wiki/Skyrim:Drifa", "(Drifa)")</f>
        <v>(Drifa)</v>
      </c>
      <c r="C44" s="63" t="s">
        <v>132</v>
      </c>
      <c r="D44" s="63" t="s">
        <v>76</v>
      </c>
      <c r="E44" s="63" t="s">
        <v>76</v>
      </c>
      <c r="F44" s="53" t="s">
        <v>803</v>
      </c>
      <c r="G44" s="430" t="str">
        <f>HYPERLINK("https://en.uesp.net/wiki/Skyrim:Pawned_Prawn", "Pawned Prawn")</f>
        <v>Pawned Prawn</v>
      </c>
      <c r="H44" s="53" t="s">
        <v>2324</v>
      </c>
      <c r="I44" s="53">
        <v>750.0</v>
      </c>
      <c r="J44" s="432" t="s">
        <v>2317</v>
      </c>
      <c r="K44" s="432" t="s">
        <v>2317</v>
      </c>
      <c r="L44" s="433"/>
    </row>
    <row r="45">
      <c r="A45" s="430" t="str">
        <f>HYPERLINK("https://en.uesp.net/wiki/Skyrim:Keerava", "Keerava")</f>
        <v>Keerava</v>
      </c>
      <c r="B45" s="430" t="str">
        <f>HYPERLINK("https://en.uesp.net/wiki/Skyrim:Talen-Jei", "Talen-Jei")</f>
        <v>Talen-Jei</v>
      </c>
      <c r="C45" s="432" t="s">
        <v>1524</v>
      </c>
      <c r="D45" s="63" t="s">
        <v>76</v>
      </c>
      <c r="E45" s="432" t="s">
        <v>1524</v>
      </c>
      <c r="F45" s="53" t="s">
        <v>803</v>
      </c>
      <c r="G45" s="430" t="str">
        <f>HYPERLINK("https://en.uesp.net/wiki/Skyrim:The_Bee_and_Barb", "The Bee and Barb")</f>
        <v>The Bee and Barb</v>
      </c>
      <c r="H45" s="53" t="s">
        <v>2320</v>
      </c>
      <c r="I45" s="53">
        <v>100.0</v>
      </c>
      <c r="J45" s="432" t="s">
        <v>2319</v>
      </c>
      <c r="K45" s="432" t="s">
        <v>2319</v>
      </c>
      <c r="L45" s="433"/>
    </row>
    <row r="46">
      <c r="A46" s="430" t="str">
        <f>HYPERLINK("https://en.uesp.net/wiki/Skyrim:Arnskar_Ember-Master", "Arnskar Ember-Master")</f>
        <v>Arnskar Ember-Master</v>
      </c>
      <c r="B46" s="434"/>
      <c r="C46" s="432" t="s">
        <v>1524</v>
      </c>
      <c r="D46" s="63" t="s">
        <v>76</v>
      </c>
      <c r="E46" s="432" t="s">
        <v>1524</v>
      </c>
      <c r="F46" s="53" t="s">
        <v>803</v>
      </c>
      <c r="G46" s="430" t="str">
        <f t="shared" ref="G46:G51" si="4">HYPERLINK("https://en.uesp.net/wiki/Skyrim:The_Ragged_Flagon", "The Ragged Flagon")</f>
        <v>The Ragged Flagon</v>
      </c>
      <c r="H46" s="53" t="s">
        <v>2316</v>
      </c>
      <c r="I46" s="53">
        <v>1000.0</v>
      </c>
      <c r="J46" s="432" t="s">
        <v>2319</v>
      </c>
      <c r="K46" s="432" t="s">
        <v>2317</v>
      </c>
      <c r="L46" s="433"/>
    </row>
    <row r="47">
      <c r="A47" s="430" t="str">
        <f>HYPERLINK("https://en.uesp.net/wiki/Skyrim:Herluin_Lothaire", "Herluin Lothaire")</f>
        <v>Herluin Lothaire</v>
      </c>
      <c r="B47" s="434"/>
      <c r="C47" s="432" t="s">
        <v>1524</v>
      </c>
      <c r="D47" s="63" t="s">
        <v>76</v>
      </c>
      <c r="E47" s="432" t="s">
        <v>1524</v>
      </c>
      <c r="F47" s="53" t="s">
        <v>803</v>
      </c>
      <c r="G47" s="430" t="str">
        <f t="shared" si="4"/>
        <v>The Ragged Flagon</v>
      </c>
      <c r="H47" s="53" t="s">
        <v>2318</v>
      </c>
      <c r="I47" s="53">
        <v>500.0</v>
      </c>
      <c r="J47" s="432" t="s">
        <v>2319</v>
      </c>
      <c r="K47" s="432" t="s">
        <v>2317</v>
      </c>
      <c r="L47" s="433"/>
    </row>
    <row r="48">
      <c r="A48" s="430" t="str">
        <f>HYPERLINK("https://en.uesp.net/wiki/Skyrim:Syndus", "Syndus")</f>
        <v>Syndus</v>
      </c>
      <c r="B48" s="434"/>
      <c r="C48" s="432" t="s">
        <v>1524</v>
      </c>
      <c r="D48" s="63" t="s">
        <v>76</v>
      </c>
      <c r="E48" s="432" t="s">
        <v>1524</v>
      </c>
      <c r="F48" s="53" t="s">
        <v>803</v>
      </c>
      <c r="G48" s="430" t="str">
        <f t="shared" si="4"/>
        <v>The Ragged Flagon</v>
      </c>
      <c r="H48" s="53" t="s">
        <v>2316</v>
      </c>
      <c r="I48" s="53">
        <v>1000.0</v>
      </c>
      <c r="J48" s="432" t="s">
        <v>2319</v>
      </c>
      <c r="K48" s="432" t="s">
        <v>2317</v>
      </c>
      <c r="L48" s="433"/>
    </row>
    <row r="49">
      <c r="A49" s="430" t="str">
        <f>HYPERLINK("https://en.uesp.net/wiki/Skyrim:Tonilia", "Tonilia")</f>
        <v>Tonilia</v>
      </c>
      <c r="B49" s="434"/>
      <c r="C49" s="432" t="s">
        <v>1524</v>
      </c>
      <c r="D49" s="63" t="s">
        <v>76</v>
      </c>
      <c r="E49" s="432" t="s">
        <v>1524</v>
      </c>
      <c r="F49" s="53" t="s">
        <v>803</v>
      </c>
      <c r="G49" s="430" t="str">
        <f t="shared" si="4"/>
        <v>The Ragged Flagon</v>
      </c>
      <c r="H49" s="53" t="s">
        <v>2328</v>
      </c>
      <c r="I49" s="53" t="s">
        <v>2329</v>
      </c>
      <c r="J49" s="432" t="s">
        <v>2319</v>
      </c>
      <c r="K49" s="432" t="s">
        <v>2317</v>
      </c>
      <c r="L49" s="433"/>
    </row>
    <row r="50">
      <c r="A50" s="430" t="str">
        <f>HYPERLINK("https://en.uesp.net/wiki/Skyrim:Vanryth_Gatharian", "Vanryth Gatharian")</f>
        <v>Vanryth Gatharian</v>
      </c>
      <c r="B50" s="434"/>
      <c r="C50" s="432" t="s">
        <v>1524</v>
      </c>
      <c r="D50" s="63" t="s">
        <v>76</v>
      </c>
      <c r="E50" s="432" t="s">
        <v>1524</v>
      </c>
      <c r="F50" s="53" t="s">
        <v>803</v>
      </c>
      <c r="G50" s="430" t="str">
        <f t="shared" si="4"/>
        <v>The Ragged Flagon</v>
      </c>
      <c r="H50" s="53" t="s">
        <v>2316</v>
      </c>
      <c r="I50" s="53">
        <v>1000.0</v>
      </c>
      <c r="J50" s="432" t="s">
        <v>2319</v>
      </c>
      <c r="K50" s="432" t="s">
        <v>2317</v>
      </c>
      <c r="L50" s="433"/>
    </row>
    <row r="51">
      <c r="A51" s="430" t="str">
        <f>HYPERLINK("https://en.uesp.net/wiki/Skyrim:Vekel_the_Man", "Vekel the Man")</f>
        <v>Vekel the Man</v>
      </c>
      <c r="B51" s="431" t="str">
        <f>HYPERLINK("https://en.uesp.net/wiki/Skyrim:Dirge", "(Dirge)")</f>
        <v>(Dirge)</v>
      </c>
      <c r="C51" s="432" t="s">
        <v>1524</v>
      </c>
      <c r="D51" s="63" t="s">
        <v>76</v>
      </c>
      <c r="E51" s="63" t="s">
        <v>76</v>
      </c>
      <c r="F51" s="53" t="s">
        <v>803</v>
      </c>
      <c r="G51" s="430" t="str">
        <f t="shared" si="4"/>
        <v>The Ragged Flagon</v>
      </c>
      <c r="H51" s="53" t="s">
        <v>2320</v>
      </c>
      <c r="I51" s="53">
        <v>100.0</v>
      </c>
      <c r="J51" s="432" t="s">
        <v>2319</v>
      </c>
      <c r="K51" s="432" t="s">
        <v>2319</v>
      </c>
      <c r="L51" s="433"/>
    </row>
    <row r="52">
      <c r="A52" s="430" t="str">
        <f>HYPERLINK("https://en.uesp.net/wiki/Skyrim:Balimund", "Balimund")</f>
        <v>Balimund</v>
      </c>
      <c r="B52" s="431" t="str">
        <f>HYPERLINK("https://en.uesp.net/wiki/Skyrim:Asbjorn_Fire-Tamer", "(Asbjorn Fire-Tamer)")</f>
        <v>(Asbjorn Fire-Tamer)</v>
      </c>
      <c r="C52" s="63" t="s">
        <v>132</v>
      </c>
      <c r="D52" s="63" t="s">
        <v>76</v>
      </c>
      <c r="E52" s="63" t="s">
        <v>76</v>
      </c>
      <c r="F52" s="53" t="s">
        <v>803</v>
      </c>
      <c r="G52" s="430" t="str">
        <f>HYPERLINK("https://en.uesp.net/wiki/Skyrim:The_Scorched_Hammer", "The Scorched Hammer")</f>
        <v>The Scorched Hammer</v>
      </c>
      <c r="H52" s="53" t="s">
        <v>2316</v>
      </c>
      <c r="I52" s="53">
        <v>1000.0</v>
      </c>
      <c r="J52" s="432" t="s">
        <v>2317</v>
      </c>
      <c r="K52" s="432" t="s">
        <v>2317</v>
      </c>
      <c r="L52" s="433"/>
    </row>
    <row r="53">
      <c r="A53" s="430" t="str">
        <f>HYPERLINK("https://en.uesp.net/wiki/Skyrim:Florentius_Baenius", "Florentius Baenius")</f>
        <v>Florentius Baenius</v>
      </c>
      <c r="B53" s="434"/>
      <c r="C53" s="432" t="s">
        <v>1524</v>
      </c>
      <c r="D53" s="63" t="s">
        <v>76</v>
      </c>
      <c r="E53" s="432" t="s">
        <v>1524</v>
      </c>
      <c r="F53" s="53" t="s">
        <v>2349</v>
      </c>
      <c r="G53" s="433"/>
      <c r="H53" s="53" t="s">
        <v>2350</v>
      </c>
      <c r="I53" s="53">
        <v>500.0</v>
      </c>
      <c r="J53" s="432" t="s">
        <v>2319</v>
      </c>
      <c r="K53" s="432" t="s">
        <v>2319</v>
      </c>
      <c r="L53" s="53" t="s">
        <v>2351</v>
      </c>
    </row>
    <row r="54">
      <c r="A54" s="430" t="str">
        <f>HYPERLINK("https://en.uesp.net/wiki/Skyrim:Gunmar", "Gunmar")</f>
        <v>Gunmar</v>
      </c>
      <c r="B54" s="434"/>
      <c r="C54" s="432" t="s">
        <v>1524</v>
      </c>
      <c r="D54" s="63" t="s">
        <v>76</v>
      </c>
      <c r="E54" s="432" t="s">
        <v>1524</v>
      </c>
      <c r="F54" s="53" t="s">
        <v>2349</v>
      </c>
      <c r="G54" s="433"/>
      <c r="H54" s="53" t="s">
        <v>2316</v>
      </c>
      <c r="I54" s="53">
        <v>1000.0</v>
      </c>
      <c r="J54" s="432" t="s">
        <v>2319</v>
      </c>
      <c r="K54" s="432" t="s">
        <v>2319</v>
      </c>
      <c r="L54" s="53" t="s">
        <v>2351</v>
      </c>
    </row>
    <row r="55">
      <c r="A55" s="430" t="str">
        <f>HYPERLINK("https://en.uesp.net/wiki/Skyrim:Sorine_Jurard", "Sorine Jurard")</f>
        <v>Sorine Jurard</v>
      </c>
      <c r="B55" s="434"/>
      <c r="C55" s="432" t="s">
        <v>1524</v>
      </c>
      <c r="D55" s="63" t="s">
        <v>76</v>
      </c>
      <c r="E55" s="432" t="s">
        <v>1524</v>
      </c>
      <c r="F55" s="53" t="s">
        <v>2349</v>
      </c>
      <c r="G55" s="433"/>
      <c r="H55" s="53" t="s">
        <v>2324</v>
      </c>
      <c r="I55" s="53">
        <v>750.0</v>
      </c>
      <c r="J55" s="432" t="s">
        <v>2319</v>
      </c>
      <c r="K55" s="432" t="s">
        <v>2319</v>
      </c>
      <c r="L55" s="53" t="s">
        <v>2351</v>
      </c>
    </row>
    <row r="56">
      <c r="A56" s="430" t="str">
        <f>HYPERLINK("https://en.uesp.net/wiki/Skyrim:Wilhelm", "Wilhelm")</f>
        <v>Wilhelm</v>
      </c>
      <c r="B56" s="434"/>
      <c r="C56" s="432" t="s">
        <v>1524</v>
      </c>
      <c r="D56" s="63" t="s">
        <v>76</v>
      </c>
      <c r="E56" s="432" t="s">
        <v>1524</v>
      </c>
      <c r="F56" s="53" t="s">
        <v>2352</v>
      </c>
      <c r="G56" s="430" t="str">
        <f>HYPERLINK("https://en.uesp.net/wiki/Skyrim:Vilemyr_Inn", "Vilemyr Inn")</f>
        <v>Vilemyr Inn</v>
      </c>
      <c r="H56" s="53" t="s">
        <v>2320</v>
      </c>
      <c r="I56" s="53">
        <v>100.0</v>
      </c>
      <c r="J56" s="432" t="s">
        <v>2319</v>
      </c>
      <c r="K56" s="432" t="s">
        <v>2319</v>
      </c>
      <c r="L56" s="433"/>
    </row>
    <row r="57">
      <c r="A57" s="430" t="str">
        <f>HYPERLINK("https://en.uesp.net/wiki/Skyrim:Filnjar", "Filnjar")</f>
        <v>Filnjar</v>
      </c>
      <c r="B57" s="434"/>
      <c r="C57" s="432" t="s">
        <v>1524</v>
      </c>
      <c r="D57" s="63" t="s">
        <v>76</v>
      </c>
      <c r="E57" s="432" t="s">
        <v>1524</v>
      </c>
      <c r="F57" s="53" t="s">
        <v>2353</v>
      </c>
      <c r="G57" s="430" t="str">
        <f>HYPERLINK("https://en.uesp.net/wiki/Skyrim:Filnjar's_House", "Filnjar's House")</f>
        <v>Filnjar's House</v>
      </c>
      <c r="H57" s="53" t="s">
        <v>2316</v>
      </c>
      <c r="I57" s="53">
        <v>500.0</v>
      </c>
      <c r="J57" s="432" t="s">
        <v>2319</v>
      </c>
      <c r="K57" s="432" t="s">
        <v>2317</v>
      </c>
      <c r="L57" s="433"/>
    </row>
    <row r="58">
      <c r="A58" s="430" t="str">
        <f>HYPERLINK("https://en.uesp.net/wiki/Skyrim:Angeline_Morrard", "Angeline Morrard*")</f>
        <v>Angeline Morrard*</v>
      </c>
      <c r="B58" s="431" t="str">
        <f>HYPERLINK("https://en.uesp.net/wiki/Skyrim:Vivienne_Onis", "(Vivienne Onis)")</f>
        <v>(Vivienne Onis)</v>
      </c>
      <c r="C58" s="63" t="s">
        <v>132</v>
      </c>
      <c r="D58" s="63" t="s">
        <v>76</v>
      </c>
      <c r="E58" s="63" t="s">
        <v>76</v>
      </c>
      <c r="F58" s="53" t="s">
        <v>699</v>
      </c>
      <c r="G58" s="430" t="str">
        <f>HYPERLINK("https://en.uesp.net/wiki/Skyrim:Angeline's_Aromatics", "Angeline's Aromatics")</f>
        <v>Angeline's Aromatics</v>
      </c>
      <c r="H58" s="53" t="s">
        <v>2318</v>
      </c>
      <c r="I58" s="53">
        <v>500.0</v>
      </c>
      <c r="J58" s="432" t="s">
        <v>2326</v>
      </c>
      <c r="K58" s="432" t="s">
        <v>2317</v>
      </c>
      <c r="L58" s="53" t="s">
        <v>2354</v>
      </c>
    </row>
    <row r="59">
      <c r="A59" s="430" t="str">
        <f>HYPERLINK("https://en.uesp.net/wiki/Skyrim:Sayma", "Sayma")</f>
        <v>Sayma</v>
      </c>
      <c r="B59" s="434"/>
      <c r="C59" s="63" t="s">
        <v>132</v>
      </c>
      <c r="D59" s="63" t="s">
        <v>76</v>
      </c>
      <c r="E59" s="432" t="s">
        <v>1524</v>
      </c>
      <c r="F59" s="53" t="s">
        <v>699</v>
      </c>
      <c r="G59" s="430" t="str">
        <f>HYPERLINK("https://en.uesp.net/wiki/Skyrim:Bits_and_Pieces", "Bits and Pieces")</f>
        <v>Bits and Pieces</v>
      </c>
      <c r="H59" s="53" t="s">
        <v>2324</v>
      </c>
      <c r="I59" s="53">
        <v>750.0</v>
      </c>
      <c r="J59" s="432" t="s">
        <v>2317</v>
      </c>
      <c r="K59" s="432" t="s">
        <v>2317</v>
      </c>
      <c r="L59" s="433"/>
    </row>
    <row r="60">
      <c r="A60" s="430" t="str">
        <f>HYPERLINK("https://en.uesp.net/wiki/Skyrim:Sybille_Stentor", "Sybille Stentor")</f>
        <v>Sybille Stentor</v>
      </c>
      <c r="B60" s="431" t="str">
        <f>HYPERLINK("https://en.uesp.net/wiki/Skyrim:Melaran", "(Melaran)")</f>
        <v>(Melaran)</v>
      </c>
      <c r="C60" s="63" t="s">
        <v>132</v>
      </c>
      <c r="D60" s="63" t="s">
        <v>76</v>
      </c>
      <c r="E60" s="432" t="s">
        <v>1524</v>
      </c>
      <c r="F60" s="53" t="s">
        <v>699</v>
      </c>
      <c r="G60" s="430" t="str">
        <f>HYPERLINK("https://en.uesp.net/wiki/Skyrim:Blue_Palace", "Blue Palace")</f>
        <v>Blue Palace</v>
      </c>
      <c r="H60" s="53" t="s">
        <v>79</v>
      </c>
      <c r="I60" s="53">
        <v>500.0</v>
      </c>
      <c r="J60" s="432" t="s">
        <v>2317</v>
      </c>
      <c r="K60" s="432" t="s">
        <v>2317</v>
      </c>
      <c r="L60" s="433"/>
    </row>
    <row r="61">
      <c r="A61" s="430" t="str">
        <f>HYPERLINK("https://en.uesp.net/wiki/Skyrim:Fihada", "Fihada*")</f>
        <v>Fihada*</v>
      </c>
      <c r="B61" s="431" t="str">
        <f>HYPERLINK("https://en.uesp.net/wiki/Skyrim:Jawanan", "(Jawanan)")</f>
        <v>(Jawanan)</v>
      </c>
      <c r="C61" s="63" t="s">
        <v>132</v>
      </c>
      <c r="D61" s="63" t="s">
        <v>76</v>
      </c>
      <c r="E61" s="63" t="s">
        <v>76</v>
      </c>
      <c r="F61" s="53" t="s">
        <v>699</v>
      </c>
      <c r="G61" s="430" t="str">
        <f>HYPERLINK("https://en.uesp.net/wiki/Skyrim:Fletcher_(place)", "Fletcher")</f>
        <v>Fletcher</v>
      </c>
      <c r="H61" s="53" t="s">
        <v>2355</v>
      </c>
      <c r="I61" s="53">
        <v>750.0</v>
      </c>
      <c r="J61" s="432" t="s">
        <v>2326</v>
      </c>
      <c r="K61" s="432" t="s">
        <v>2317</v>
      </c>
      <c r="L61" s="53" t="s">
        <v>2356</v>
      </c>
    </row>
    <row r="62">
      <c r="A62" s="430" t="str">
        <f>HYPERLINK("https://en.uesp.net/wiki/Skyrim:Addvar", "Addvar")</f>
        <v>Addvar</v>
      </c>
      <c r="B62" s="431" t="str">
        <f>HYPERLINK("https://en.uesp.net/wiki/Skyrim:Greta", "(Greta)")</f>
        <v>(Greta)</v>
      </c>
      <c r="C62" s="432" t="s">
        <v>1524</v>
      </c>
      <c r="D62" s="63" t="s">
        <v>76</v>
      </c>
      <c r="E62" s="63" t="s">
        <v>76</v>
      </c>
      <c r="F62" s="53" t="s">
        <v>699</v>
      </c>
      <c r="G62" s="53" t="s">
        <v>2332</v>
      </c>
      <c r="H62" s="53" t="s">
        <v>2320</v>
      </c>
      <c r="I62" s="53">
        <v>50.0</v>
      </c>
      <c r="J62" s="432" t="s">
        <v>2319</v>
      </c>
      <c r="K62" s="432" t="s">
        <v>2317</v>
      </c>
      <c r="L62" s="433"/>
    </row>
    <row r="63">
      <c r="A63" s="430" t="str">
        <f>HYPERLINK("https://en.uesp.net/wiki/Skyrim:Evette_San", "Evette San")</f>
        <v>Evette San</v>
      </c>
      <c r="B63" s="434"/>
      <c r="C63" s="432" t="s">
        <v>1524</v>
      </c>
      <c r="D63" s="63" t="s">
        <v>76</v>
      </c>
      <c r="E63" s="432" t="s">
        <v>1524</v>
      </c>
      <c r="F63" s="53" t="s">
        <v>699</v>
      </c>
      <c r="G63" s="53" t="s">
        <v>2332</v>
      </c>
      <c r="H63" s="53" t="s">
        <v>2320</v>
      </c>
      <c r="I63" s="53">
        <v>50.0</v>
      </c>
      <c r="J63" s="432" t="s">
        <v>2319</v>
      </c>
      <c r="K63" s="432" t="s">
        <v>2317</v>
      </c>
      <c r="L63" s="433"/>
    </row>
    <row r="64">
      <c r="A64" s="430" t="str">
        <f>HYPERLINK("https://en.uesp.net/wiki/Skyrim:Jala", "Jala")</f>
        <v>Jala</v>
      </c>
      <c r="B64" s="434"/>
      <c r="C64" s="432" t="s">
        <v>1524</v>
      </c>
      <c r="D64" s="63" t="s">
        <v>76</v>
      </c>
      <c r="E64" s="432" t="s">
        <v>1524</v>
      </c>
      <c r="F64" s="53" t="s">
        <v>699</v>
      </c>
      <c r="G64" s="53" t="s">
        <v>2332</v>
      </c>
      <c r="H64" s="53" t="s">
        <v>2320</v>
      </c>
      <c r="I64" s="53">
        <v>50.0</v>
      </c>
      <c r="J64" s="432" t="s">
        <v>2319</v>
      </c>
      <c r="K64" s="432" t="s">
        <v>2317</v>
      </c>
      <c r="L64" s="433"/>
    </row>
    <row r="65">
      <c r="A65" s="430" t="str">
        <f>HYPERLINK("https://en.uesp.net/wiki/Skyrim:Endarie", "Endarie")</f>
        <v>Endarie</v>
      </c>
      <c r="B65" s="431" t="str">
        <f>HYPERLINK("https://en.uesp.net/wiki/Skyrim:Taarie", "Taarie")</f>
        <v>Taarie</v>
      </c>
      <c r="C65" s="63" t="s">
        <v>132</v>
      </c>
      <c r="D65" s="63" t="s">
        <v>76</v>
      </c>
      <c r="E65" s="63" t="s">
        <v>76</v>
      </c>
      <c r="F65" s="53" t="s">
        <v>699</v>
      </c>
      <c r="G65" s="430" t="str">
        <f>HYPERLINK("https://en.uesp.net/wiki/Skyrim:Radiant_Raiment", "Radiant Raiment")</f>
        <v>Radiant Raiment</v>
      </c>
      <c r="H65" s="53" t="s">
        <v>2357</v>
      </c>
      <c r="I65" s="53">
        <v>750.0</v>
      </c>
      <c r="J65" s="432" t="s">
        <v>2317</v>
      </c>
      <c r="K65" s="432" t="s">
        <v>2317</v>
      </c>
      <c r="L65" s="433"/>
    </row>
    <row r="66">
      <c r="A66" s="430" t="str">
        <f>HYPERLINK("https://en.uesp.net/wiki/Skyrim:Beirand", "Beirand")</f>
        <v>Beirand</v>
      </c>
      <c r="B66" s="434"/>
      <c r="C66" s="63" t="s">
        <v>132</v>
      </c>
      <c r="D66" s="63" t="s">
        <v>76</v>
      </c>
      <c r="E66" s="432" t="s">
        <v>1524</v>
      </c>
      <c r="F66" s="53" t="s">
        <v>699</v>
      </c>
      <c r="G66" s="430" t="str">
        <f>HYPERLINK("https://en.uesp.net/wiki/Skyrim:Solitude_Blacksmith", "Solitude Blacksmith")</f>
        <v>Solitude Blacksmith</v>
      </c>
      <c r="H66" s="53" t="s">
        <v>2316</v>
      </c>
      <c r="I66" s="53">
        <v>1000.0</v>
      </c>
      <c r="J66" s="432" t="s">
        <v>2317</v>
      </c>
      <c r="K66" s="432" t="s">
        <v>2317</v>
      </c>
      <c r="L66" s="433"/>
    </row>
    <row r="67">
      <c r="A67" s="430" t="str">
        <f>HYPERLINK("https://en.uesp.net/wiki/Skyrim:Corpulus_Vinius", "Corpulus Vinius")</f>
        <v>Corpulus Vinius</v>
      </c>
      <c r="B67" s="434"/>
      <c r="C67" s="432" t="s">
        <v>1524</v>
      </c>
      <c r="D67" s="63" t="s">
        <v>76</v>
      </c>
      <c r="E67" s="432" t="s">
        <v>1524</v>
      </c>
      <c r="F67" s="53" t="s">
        <v>699</v>
      </c>
      <c r="G67" s="430" t="str">
        <f t="shared" ref="G67:G68" si="5">HYPERLINK("https://en.uesp.net/wiki/Skyrim:The_Winking_Skeever", "The Winking Skeever")</f>
        <v>The Winking Skeever</v>
      </c>
      <c r="H67" s="53" t="s">
        <v>2320</v>
      </c>
      <c r="I67" s="53">
        <v>100.0</v>
      </c>
      <c r="J67" s="432" t="s">
        <v>2319</v>
      </c>
      <c r="K67" s="432" t="s">
        <v>2317</v>
      </c>
      <c r="L67" s="433"/>
    </row>
    <row r="68">
      <c r="A68" s="430" t="str">
        <f>HYPERLINK("https://en.uesp.net/wiki/Skyrim:Gulum-Ei", "Gulum-Ei")</f>
        <v>Gulum-Ei</v>
      </c>
      <c r="B68" s="434"/>
      <c r="C68" s="432" t="s">
        <v>1524</v>
      </c>
      <c r="D68" s="63" t="s">
        <v>76</v>
      </c>
      <c r="E68" s="432" t="s">
        <v>1524</v>
      </c>
      <c r="F68" s="53" t="s">
        <v>699</v>
      </c>
      <c r="G68" s="430" t="str">
        <f t="shared" si="5"/>
        <v>The Winking Skeever</v>
      </c>
      <c r="H68" s="53" t="s">
        <v>2328</v>
      </c>
      <c r="I68" s="53" t="s">
        <v>2358</v>
      </c>
      <c r="J68" s="432" t="s">
        <v>2319</v>
      </c>
      <c r="K68" s="432" t="s">
        <v>2317</v>
      </c>
      <c r="L68" s="433"/>
    </row>
    <row r="69">
      <c r="A69" s="430" t="str">
        <f>HYPERLINK("https://en.uesp.net/wiki/Skyrim:Faida", "Faida")</f>
        <v>Faida</v>
      </c>
      <c r="B69" s="434"/>
      <c r="C69" s="432" t="s">
        <v>1524</v>
      </c>
      <c r="D69" s="63" t="s">
        <v>76</v>
      </c>
      <c r="E69" s="432" t="s">
        <v>1524</v>
      </c>
      <c r="F69" s="53" t="s">
        <v>2359</v>
      </c>
      <c r="G69" s="430" t="str">
        <f>HYPERLINK("https://en.uesp.net/wiki/Skyrim:Four_Shields_Tavern", "Four Shields Tavern")</f>
        <v>Four Shields Tavern</v>
      </c>
      <c r="H69" s="53" t="s">
        <v>2320</v>
      </c>
      <c r="I69" s="53">
        <v>100.0</v>
      </c>
      <c r="J69" s="432" t="s">
        <v>2319</v>
      </c>
      <c r="K69" s="432" t="s">
        <v>2319</v>
      </c>
      <c r="L69" s="433"/>
    </row>
    <row r="70">
      <c r="A70" s="430" t="str">
        <f>HYPERLINK("https://en.uesp.net/wiki/Skyrim:Feran_Sadri", "Feran Sadri")</f>
        <v>Feran Sadri</v>
      </c>
      <c r="B70" s="434"/>
      <c r="C70" s="432" t="s">
        <v>1524</v>
      </c>
      <c r="D70" s="63" t="s">
        <v>76</v>
      </c>
      <c r="E70" s="432" t="s">
        <v>1524</v>
      </c>
      <c r="F70" s="53" t="s">
        <v>2360</v>
      </c>
      <c r="G70" s="433"/>
      <c r="H70" s="53" t="s">
        <v>2318</v>
      </c>
      <c r="I70" s="53">
        <v>500.0</v>
      </c>
      <c r="J70" s="432" t="s">
        <v>2319</v>
      </c>
      <c r="K70" s="432" t="s">
        <v>2319</v>
      </c>
      <c r="L70" s="53" t="s">
        <v>2361</v>
      </c>
    </row>
    <row r="71">
      <c r="A71" s="430" t="str">
        <f>HYPERLINK("https://en.uesp.net/wiki/Skyrim:Hestla", "Hestla")</f>
        <v>Hestla</v>
      </c>
      <c r="B71" s="434"/>
      <c r="C71" s="432" t="s">
        <v>1524</v>
      </c>
      <c r="D71" s="63" t="s">
        <v>76</v>
      </c>
      <c r="E71" s="432" t="s">
        <v>1524</v>
      </c>
      <c r="F71" s="53" t="s">
        <v>2360</v>
      </c>
      <c r="G71" s="433"/>
      <c r="H71" s="53" t="s">
        <v>2316</v>
      </c>
      <c r="I71" s="53">
        <v>1000.0</v>
      </c>
      <c r="J71" s="432" t="s">
        <v>2319</v>
      </c>
      <c r="K71" s="432" t="s">
        <v>2319</v>
      </c>
      <c r="L71" s="53" t="s">
        <v>2361</v>
      </c>
    </row>
    <row r="72">
      <c r="A72" s="430" t="str">
        <f>HYPERLINK("https://en.uesp.net/wiki/Skyrim:Ronthil", "Ronthil")</f>
        <v>Ronthil</v>
      </c>
      <c r="B72" s="434"/>
      <c r="C72" s="432" t="s">
        <v>1524</v>
      </c>
      <c r="D72" s="63" t="s">
        <v>76</v>
      </c>
      <c r="E72" s="432" t="s">
        <v>1524</v>
      </c>
      <c r="F72" s="53" t="s">
        <v>2360</v>
      </c>
      <c r="G72" s="433"/>
      <c r="H72" s="53" t="s">
        <v>2324</v>
      </c>
      <c r="I72" s="53">
        <v>750.0</v>
      </c>
      <c r="J72" s="432" t="s">
        <v>2319</v>
      </c>
      <c r="K72" s="432" t="s">
        <v>2319</v>
      </c>
      <c r="L72" s="53" t="s">
        <v>2361</v>
      </c>
    </row>
    <row r="73">
      <c r="A73" s="430" t="str">
        <f>HYPERLINK("https://en.uesp.net/wiki/Skyrim:Halbarn_Iron-Fur", "Halbarn Iron-Fur")</f>
        <v>Halbarn Iron-Fur</v>
      </c>
      <c r="B73" s="434"/>
      <c r="C73" s="432" t="s">
        <v>1524</v>
      </c>
      <c r="D73" s="63" t="s">
        <v>76</v>
      </c>
      <c r="E73" s="432" t="s">
        <v>1524</v>
      </c>
      <c r="F73" s="53" t="s">
        <v>2362</v>
      </c>
      <c r="G73" s="53" t="s">
        <v>2363</v>
      </c>
      <c r="H73" s="53" t="s">
        <v>2316</v>
      </c>
      <c r="I73" s="53">
        <v>1000.0</v>
      </c>
      <c r="J73" s="432" t="s">
        <v>2319</v>
      </c>
      <c r="K73" s="432" t="s">
        <v>2317</v>
      </c>
      <c r="L73" s="433"/>
    </row>
    <row r="74">
      <c r="A74" s="430" t="str">
        <f>HYPERLINK("https://en.uesp.net/wiki/Skyrim:Falas_Selvayn", "Falas Selvayn")</f>
        <v>Falas Selvayn</v>
      </c>
      <c r="B74" s="434"/>
      <c r="C74" s="432" t="s">
        <v>1524</v>
      </c>
      <c r="D74" s="63" t="s">
        <v>76</v>
      </c>
      <c r="E74" s="432" t="s">
        <v>1524</v>
      </c>
      <c r="F74" s="53" t="s">
        <v>2364</v>
      </c>
      <c r="G74" s="430" t="str">
        <f>HYPERLINK("https://en.uesp.net/wiki/Skyrim:Ramshackle_Trading_Post", "Ramshackle Trading Post")</f>
        <v>Ramshackle Trading Post</v>
      </c>
      <c r="H74" s="53" t="s">
        <v>2324</v>
      </c>
      <c r="I74" s="53">
        <v>750.0</v>
      </c>
      <c r="J74" s="432" t="s">
        <v>2319</v>
      </c>
      <c r="K74" s="432" t="s">
        <v>2317</v>
      </c>
      <c r="L74" s="433"/>
    </row>
    <row r="75">
      <c r="A75" s="430" t="str">
        <f>HYPERLINK("https://en.uesp.net/wiki/Skyrim:Fethis_Alor", "Fethis Alor")</f>
        <v>Fethis Alor</v>
      </c>
      <c r="B75" s="434"/>
      <c r="C75" s="432" t="s">
        <v>1524</v>
      </c>
      <c r="D75" s="63" t="s">
        <v>76</v>
      </c>
      <c r="E75" s="432" t="s">
        <v>1524</v>
      </c>
      <c r="F75" s="53" t="s">
        <v>2365</v>
      </c>
      <c r="G75" s="430" t="str">
        <f>HYPERLINK("https://en.uesp.net/wiki/Skyrim:Alor_House", "Alor House")</f>
        <v>Alor House</v>
      </c>
      <c r="H75" s="53" t="s">
        <v>2324</v>
      </c>
      <c r="I75" s="53">
        <v>1500.0</v>
      </c>
      <c r="J75" s="432" t="s">
        <v>2319</v>
      </c>
      <c r="K75" s="432" t="s">
        <v>2317</v>
      </c>
      <c r="L75" s="433"/>
    </row>
    <row r="76">
      <c r="A76" s="430" t="str">
        <f>HYPERLINK("https://en.uesp.net/wiki/Skyrim:Glover_Mallory", "Glover Mallory")</f>
        <v>Glover Mallory</v>
      </c>
      <c r="B76" s="434"/>
      <c r="C76" s="432" t="s">
        <v>1524</v>
      </c>
      <c r="D76" s="63" t="s">
        <v>76</v>
      </c>
      <c r="E76" s="432" t="s">
        <v>1524</v>
      </c>
      <c r="F76" s="53" t="s">
        <v>2365</v>
      </c>
      <c r="G76" s="430" t="str">
        <f>HYPERLINK("https://en.uesp.net/wiki/Skyrim:Glover_Mallory's_House", "Glover Mallory's House")</f>
        <v>Glover Mallory's House</v>
      </c>
      <c r="H76" s="53" t="s">
        <v>2316</v>
      </c>
      <c r="I76" s="53">
        <v>2000.0</v>
      </c>
      <c r="J76" s="432" t="s">
        <v>2319</v>
      </c>
      <c r="K76" s="432" t="s">
        <v>2317</v>
      </c>
      <c r="L76" s="433"/>
    </row>
    <row r="77">
      <c r="A77" s="430" t="str">
        <f>HYPERLINK("https://en.uesp.net/wiki/Skyrim:Garyn_Ienth", "Garyn Ienth")</f>
        <v>Garyn Ienth</v>
      </c>
      <c r="B77" s="434"/>
      <c r="C77" s="432" t="s">
        <v>1524</v>
      </c>
      <c r="D77" s="63" t="s">
        <v>76</v>
      </c>
      <c r="E77" s="432" t="s">
        <v>1524</v>
      </c>
      <c r="F77" s="53" t="s">
        <v>2365</v>
      </c>
      <c r="G77" s="430" t="str">
        <f t="shared" ref="G77:G78" si="6">HYPERLINK("https://en.uesp.net/wiki/Skyrim:Ienth_Farm", "Ienth Farm")</f>
        <v>Ienth Farm</v>
      </c>
      <c r="H77" s="53" t="s">
        <v>2320</v>
      </c>
      <c r="I77" s="53">
        <v>50.0</v>
      </c>
      <c r="J77" s="432" t="s">
        <v>2319</v>
      </c>
      <c r="K77" s="432" t="s">
        <v>2319</v>
      </c>
      <c r="L77" s="433"/>
    </row>
    <row r="78">
      <c r="A78" s="430" t="str">
        <f>HYPERLINK("https://en.uesp.net/wiki/Skyrim:Milore_Ienth", "Milore Ienth")</f>
        <v>Milore Ienth</v>
      </c>
      <c r="B78" s="434"/>
      <c r="C78" s="432" t="s">
        <v>1524</v>
      </c>
      <c r="D78" s="63" t="s">
        <v>76</v>
      </c>
      <c r="E78" s="432" t="s">
        <v>1524</v>
      </c>
      <c r="F78" s="53" t="s">
        <v>2365</v>
      </c>
      <c r="G78" s="430" t="str">
        <f t="shared" si="6"/>
        <v>Ienth Farm</v>
      </c>
      <c r="H78" s="53" t="s">
        <v>2318</v>
      </c>
      <c r="I78" s="53">
        <v>1000.0</v>
      </c>
      <c r="J78" s="432" t="s">
        <v>2319</v>
      </c>
      <c r="K78" s="432" t="s">
        <v>2317</v>
      </c>
      <c r="L78" s="433"/>
    </row>
    <row r="79">
      <c r="A79" s="430" t="str">
        <f>HYPERLINK("https://en.uesp.net/wiki/Skyrim:Geldis_Sadri", "Geldis Sadri")</f>
        <v>Geldis Sadri</v>
      </c>
      <c r="B79" s="434"/>
      <c r="C79" s="432" t="s">
        <v>1524</v>
      </c>
      <c r="D79" s="63" t="s">
        <v>76</v>
      </c>
      <c r="E79" s="432" t="s">
        <v>1524</v>
      </c>
      <c r="F79" s="53" t="s">
        <v>2365</v>
      </c>
      <c r="G79" s="430" t="str">
        <f>HYPERLINK("https://en.uesp.net/wiki/Skyrim:The_Retching_Netch", "The Retching Netch")</f>
        <v>The Retching Netch</v>
      </c>
      <c r="H79" s="53" t="s">
        <v>2320</v>
      </c>
      <c r="I79" s="53">
        <v>100.0</v>
      </c>
      <c r="J79" s="432" t="s">
        <v>2319</v>
      </c>
      <c r="K79" s="432" t="s">
        <v>2319</v>
      </c>
      <c r="L79" s="433"/>
    </row>
    <row r="80">
      <c r="A80" s="430" t="str">
        <f>HYPERLINK("https://en.uesp.net/wiki/Skyrim:Baldor_Iron-Shaper", "Baldor Iron-Shaper")</f>
        <v>Baldor Iron-Shaper</v>
      </c>
      <c r="B80" s="434"/>
      <c r="C80" s="432" t="s">
        <v>1524</v>
      </c>
      <c r="D80" s="63" t="s">
        <v>76</v>
      </c>
      <c r="E80" s="432" t="s">
        <v>1524</v>
      </c>
      <c r="F80" s="53" t="s">
        <v>2366</v>
      </c>
      <c r="G80" s="430" t="str">
        <f>HYPERLINK("https://en.uesp.net/wiki/Skyrim:Baldor_Iron-Shaper's_House", "Baldor Iron-Shaper's House")</f>
        <v>Baldor Iron-Shaper's House</v>
      </c>
      <c r="H80" s="53" t="s">
        <v>2316</v>
      </c>
      <c r="I80" s="53">
        <v>1000.0</v>
      </c>
      <c r="J80" s="432" t="s">
        <v>2319</v>
      </c>
      <c r="K80" s="432" t="s">
        <v>2256</v>
      </c>
      <c r="L80" s="53" t="s">
        <v>2367</v>
      </c>
    </row>
    <row r="81">
      <c r="A81" s="430" t="str">
        <f>HYPERLINK("https://en.uesp.net/wiki/Skyrim:Edla", "Edla")</f>
        <v>Edla</v>
      </c>
      <c r="B81" s="434"/>
      <c r="C81" s="432" t="s">
        <v>1524</v>
      </c>
      <c r="D81" s="63" t="s">
        <v>76</v>
      </c>
      <c r="E81" s="432" t="s">
        <v>1524</v>
      </c>
      <c r="F81" s="53" t="s">
        <v>2366</v>
      </c>
      <c r="G81" s="430" t="str">
        <f>HYPERLINK("https://en.uesp.net/wiki/Skyrim:Edla's_House", "Edla's House")</f>
        <v>Edla's House</v>
      </c>
      <c r="H81" s="53" t="s">
        <v>2318</v>
      </c>
      <c r="I81" s="53">
        <v>50.0</v>
      </c>
      <c r="J81" s="432" t="s">
        <v>2319</v>
      </c>
      <c r="K81" s="432" t="s">
        <v>2319</v>
      </c>
      <c r="L81" s="433"/>
    </row>
    <row r="82">
      <c r="A82" s="430" t="str">
        <f>HYPERLINK("https://en.uesp.net/wiki/Skyrim:Neloth", "Neloth")</f>
        <v>Neloth</v>
      </c>
      <c r="B82" s="434"/>
      <c r="C82" s="432" t="s">
        <v>1524</v>
      </c>
      <c r="D82" s="63" t="s">
        <v>76</v>
      </c>
      <c r="E82" s="432" t="s">
        <v>1524</v>
      </c>
      <c r="F82" s="53" t="s">
        <v>2368</v>
      </c>
      <c r="G82" s="430" t="str">
        <f t="shared" ref="G82:G84" si="7">HYPERLINK("https://en.uesp.net/wiki/Skyrim:Tel_Mithryn", "Tel Mithryn")</f>
        <v>Tel Mithryn</v>
      </c>
      <c r="H82" s="53" t="s">
        <v>2369</v>
      </c>
      <c r="I82" s="53">
        <v>1000.0</v>
      </c>
      <c r="J82" s="432" t="s">
        <v>2319</v>
      </c>
      <c r="K82" s="432" t="s">
        <v>2317</v>
      </c>
      <c r="L82" s="433"/>
    </row>
    <row r="83">
      <c r="A83" s="430" t="str">
        <f>HYPERLINK("https://en.uesp.net/wiki/Skyrim:Revus_Sarvani", "Revus Sarvani")</f>
        <v>Revus Sarvani</v>
      </c>
      <c r="B83" s="434"/>
      <c r="C83" s="432" t="s">
        <v>1524</v>
      </c>
      <c r="D83" s="63" t="s">
        <v>76</v>
      </c>
      <c r="E83" s="432" t="s">
        <v>1524</v>
      </c>
      <c r="F83" s="53" t="s">
        <v>2368</v>
      </c>
      <c r="G83" s="430" t="str">
        <f t="shared" si="7"/>
        <v>Tel Mithryn</v>
      </c>
      <c r="H83" s="53" t="s">
        <v>2324</v>
      </c>
      <c r="I83" s="53">
        <v>500.0</v>
      </c>
      <c r="J83" s="432" t="s">
        <v>2319</v>
      </c>
      <c r="K83" s="432" t="s">
        <v>2319</v>
      </c>
      <c r="L83" s="53" t="s">
        <v>2370</v>
      </c>
    </row>
    <row r="84">
      <c r="A84" s="430" t="str">
        <f>HYPERLINK("https://en.uesp.net/wiki/Skyrim:Talvas_Fathryon", "Talvas Fathryon")</f>
        <v>Talvas Fathryon</v>
      </c>
      <c r="B84" s="434"/>
      <c r="C84" s="432" t="s">
        <v>1524</v>
      </c>
      <c r="D84" s="63" t="s">
        <v>76</v>
      </c>
      <c r="E84" s="432" t="s">
        <v>1524</v>
      </c>
      <c r="F84" s="53" t="s">
        <v>2368</v>
      </c>
      <c r="G84" s="430" t="str">
        <f t="shared" si="7"/>
        <v>Tel Mithryn</v>
      </c>
      <c r="H84" s="53" t="s">
        <v>79</v>
      </c>
      <c r="I84" s="53">
        <v>500.0</v>
      </c>
      <c r="J84" s="432" t="s">
        <v>2319</v>
      </c>
      <c r="K84" s="432" t="s">
        <v>2317</v>
      </c>
      <c r="L84" s="433"/>
    </row>
    <row r="85">
      <c r="A85" s="430" t="str">
        <f>HYPERLINK("https://en.uesp.net/wiki/Skyrim:Elynea_Mothren", "Elynea Mothren")</f>
        <v>Elynea Mothren</v>
      </c>
      <c r="B85" s="434"/>
      <c r="C85" s="432" t="s">
        <v>1524</v>
      </c>
      <c r="D85" s="63" t="s">
        <v>76</v>
      </c>
      <c r="E85" s="432" t="s">
        <v>1524</v>
      </c>
      <c r="F85" s="53" t="s">
        <v>2368</v>
      </c>
      <c r="G85" s="430" t="str">
        <f>HYPERLINK("https://en.uesp.net/wiki/Skyrim:Tel_Mithryn_Apothecary", "Tel Mithryn Apothecary")</f>
        <v>Tel Mithryn Apothecary</v>
      </c>
      <c r="H85" s="53" t="s">
        <v>2318</v>
      </c>
      <c r="I85" s="53">
        <v>1000.0</v>
      </c>
      <c r="J85" s="432" t="s">
        <v>2319</v>
      </c>
      <c r="K85" s="432" t="s">
        <v>2317</v>
      </c>
      <c r="L85" s="433"/>
    </row>
    <row r="86">
      <c r="A86" s="430" t="str">
        <f>HYPERLINK("https://en.uesp.net/wiki/Skyrim:Ahkari", "Ahkari")</f>
        <v>Ahkari</v>
      </c>
      <c r="B86" s="434"/>
      <c r="C86" s="63" t="s">
        <v>132</v>
      </c>
      <c r="D86" s="63" t="s">
        <v>76</v>
      </c>
      <c r="E86" s="432" t="s">
        <v>1524</v>
      </c>
      <c r="F86" s="53" t="s">
        <v>2371</v>
      </c>
      <c r="G86" s="430" t="str">
        <f>HYPERLINK("https://en.uesp.net/wiki/Skyrim:khajiit_Traders", "Khajiit Traders")</f>
        <v>Khajiit Traders</v>
      </c>
      <c r="H86" s="53" t="s">
        <v>2372</v>
      </c>
      <c r="I86" s="53">
        <v>750.0</v>
      </c>
      <c r="J86" s="432" t="s">
        <v>2317</v>
      </c>
      <c r="K86" s="432" t="s">
        <v>2317</v>
      </c>
      <c r="L86" s="433"/>
    </row>
    <row r="87">
      <c r="A87" s="430" t="str">
        <f>HYPERLINK("https://en.uesp.net/wiki/Skyrim:Zaynabi", "Zaynabi")</f>
        <v>Zaynabi</v>
      </c>
      <c r="B87" s="434"/>
      <c r="C87" s="432" t="s">
        <v>1524</v>
      </c>
      <c r="D87" s="63" t="s">
        <v>76</v>
      </c>
      <c r="E87" s="432" t="s">
        <v>1524</v>
      </c>
      <c r="F87" s="53" t="s">
        <v>2371</v>
      </c>
      <c r="G87" s="430" t="str">
        <f t="shared" ref="G87:G91" si="8">HYPERLINK("https://en.uesp.net/wiki/Skyrim:khajiit_Traders", "khajiit Traders")</f>
        <v>khajiit Traders</v>
      </c>
      <c r="H87" s="53" t="s">
        <v>2328</v>
      </c>
      <c r="I87" s="53" t="s">
        <v>2329</v>
      </c>
      <c r="J87" s="432" t="s">
        <v>2319</v>
      </c>
      <c r="K87" s="432" t="s">
        <v>2317</v>
      </c>
      <c r="L87" s="433"/>
    </row>
    <row r="88">
      <c r="A88" s="430" t="str">
        <f>HYPERLINK("https://en.uesp.net/wiki/Skyrim:Atahbah", "Atahbah")</f>
        <v>Atahbah</v>
      </c>
      <c r="B88" s="434"/>
      <c r="C88" s="432" t="s">
        <v>1524</v>
      </c>
      <c r="D88" s="63" t="s">
        <v>76</v>
      </c>
      <c r="E88" s="432" t="s">
        <v>1524</v>
      </c>
      <c r="F88" s="53" t="s">
        <v>2373</v>
      </c>
      <c r="G88" s="430" t="str">
        <f t="shared" si="8"/>
        <v>khajiit Traders</v>
      </c>
      <c r="H88" s="53" t="s">
        <v>2328</v>
      </c>
      <c r="I88" s="53" t="s">
        <v>2329</v>
      </c>
      <c r="J88" s="432" t="s">
        <v>2319</v>
      </c>
      <c r="K88" s="432" t="s">
        <v>2317</v>
      </c>
      <c r="L88" s="433"/>
    </row>
    <row r="89">
      <c r="A89" s="430" t="str">
        <f>HYPERLINK("https://en.uesp.net/wiki/Skyrim:Ri'saad", "Ri'saad")</f>
        <v>Ri'saad</v>
      </c>
      <c r="B89" s="434"/>
      <c r="C89" s="63" t="s">
        <v>132</v>
      </c>
      <c r="D89" s="63" t="s">
        <v>76</v>
      </c>
      <c r="E89" s="432" t="s">
        <v>1524</v>
      </c>
      <c r="F89" s="53" t="s">
        <v>2373</v>
      </c>
      <c r="G89" s="430" t="str">
        <f t="shared" si="8"/>
        <v>khajiit Traders</v>
      </c>
      <c r="H89" s="53" t="s">
        <v>2372</v>
      </c>
      <c r="I89" s="53">
        <v>750.0</v>
      </c>
      <c r="J89" s="432" t="s">
        <v>2317</v>
      </c>
      <c r="K89" s="432" t="s">
        <v>2317</v>
      </c>
      <c r="L89" s="433"/>
    </row>
    <row r="90">
      <c r="A90" s="430" t="str">
        <f>HYPERLINK("https://en.uesp.net/wiki/Skyrim:Ma'dran", "Ma'dran")</f>
        <v>Ma'dran</v>
      </c>
      <c r="B90" s="434"/>
      <c r="C90" s="63" t="s">
        <v>132</v>
      </c>
      <c r="D90" s="63" t="s">
        <v>76</v>
      </c>
      <c r="E90" s="432" t="s">
        <v>1524</v>
      </c>
      <c r="F90" s="53" t="s">
        <v>2374</v>
      </c>
      <c r="G90" s="430" t="str">
        <f t="shared" si="8"/>
        <v>khajiit Traders</v>
      </c>
      <c r="H90" s="53" t="s">
        <v>2372</v>
      </c>
      <c r="I90" s="53">
        <v>750.0</v>
      </c>
      <c r="J90" s="432" t="s">
        <v>2317</v>
      </c>
      <c r="K90" s="432" t="s">
        <v>2317</v>
      </c>
      <c r="L90" s="433"/>
    </row>
    <row r="91">
      <c r="A91" s="430" t="str">
        <f>HYPERLINK("https://en.uesp.net/wiki/Skyrim:Ma'jhad", "Ma'jhad")</f>
        <v>Ma'jhad</v>
      </c>
      <c r="B91" s="434"/>
      <c r="C91" s="432" t="s">
        <v>1524</v>
      </c>
      <c r="D91" s="63" t="s">
        <v>76</v>
      </c>
      <c r="E91" s="432" t="s">
        <v>1524</v>
      </c>
      <c r="F91" s="53" t="s">
        <v>2374</v>
      </c>
      <c r="G91" s="430" t="str">
        <f t="shared" si="8"/>
        <v>khajiit Traders</v>
      </c>
      <c r="H91" s="53" t="s">
        <v>2328</v>
      </c>
      <c r="I91" s="53" t="s">
        <v>2329</v>
      </c>
      <c r="J91" s="432" t="s">
        <v>2319</v>
      </c>
      <c r="K91" s="432" t="s">
        <v>2317</v>
      </c>
      <c r="L91" s="433"/>
    </row>
    <row r="92">
      <c r="A92" s="430" t="str">
        <f>HYPERLINK("https://en.uesp.net/wiki/Skyrim:Arcadia", "Arcadia")</f>
        <v>Arcadia</v>
      </c>
      <c r="B92" s="434"/>
      <c r="C92" s="63" t="s">
        <v>132</v>
      </c>
      <c r="D92" s="63" t="s">
        <v>76</v>
      </c>
      <c r="E92" s="432" t="s">
        <v>1524</v>
      </c>
      <c r="F92" s="53" t="s">
        <v>885</v>
      </c>
      <c r="G92" s="430" t="str">
        <f>HYPERLINK("https://en.uesp.net/wiki/Skyrim:Arcadia's_Cauldron", "Arcadia's Cauldron")</f>
        <v>Arcadia's Cauldron</v>
      </c>
      <c r="H92" s="53" t="s">
        <v>2318</v>
      </c>
      <c r="I92" s="53">
        <v>500.0</v>
      </c>
      <c r="J92" s="432" t="s">
        <v>2317</v>
      </c>
      <c r="K92" s="432" t="s">
        <v>2317</v>
      </c>
      <c r="L92" s="433"/>
    </row>
    <row r="93">
      <c r="A93" s="430" t="str">
        <f>HYPERLINK("https://en.uesp.net/wiki/Skyrim:Belethor", "Belethor")</f>
        <v>Belethor</v>
      </c>
      <c r="B93" s="434"/>
      <c r="C93" s="63" t="s">
        <v>132</v>
      </c>
      <c r="D93" s="63" t="s">
        <v>76</v>
      </c>
      <c r="E93" s="432" t="s">
        <v>1524</v>
      </c>
      <c r="F93" s="53" t="s">
        <v>885</v>
      </c>
      <c r="G93" s="430" t="str">
        <f>HYPERLINK("https://en.uesp.net/wiki/Skyrim:Belethor's_General_Goods", "Belethor's General Goods")</f>
        <v>Belethor's General Goods</v>
      </c>
      <c r="H93" s="53" t="s">
        <v>2324</v>
      </c>
      <c r="I93" s="53">
        <v>750.0</v>
      </c>
      <c r="J93" s="432" t="s">
        <v>2317</v>
      </c>
      <c r="K93" s="432" t="s">
        <v>2317</v>
      </c>
      <c r="L93" s="433"/>
    </row>
    <row r="94">
      <c r="A94" s="430" t="str">
        <f>HYPERLINK("https://en.uesp.net/wiki/Skyrim:Farengar_Secret-Fire", "Farengar Secret-Fire")</f>
        <v>Farengar Secret-Fire</v>
      </c>
      <c r="B94" s="434"/>
      <c r="C94" s="63" t="s">
        <v>132</v>
      </c>
      <c r="D94" s="63" t="s">
        <v>76</v>
      </c>
      <c r="E94" s="432" t="s">
        <v>1524</v>
      </c>
      <c r="F94" s="53" t="s">
        <v>885</v>
      </c>
      <c r="G94" s="430" t="str">
        <f>HYPERLINK("https://en.uesp.net/wiki/Skyrim:Dragonsreach", "Dragonsreach")</f>
        <v>Dragonsreach</v>
      </c>
      <c r="H94" s="53" t="s">
        <v>79</v>
      </c>
      <c r="I94" s="53">
        <v>500.0</v>
      </c>
      <c r="J94" s="432" t="s">
        <v>2317</v>
      </c>
      <c r="K94" s="432" t="s">
        <v>2317</v>
      </c>
      <c r="L94" s="433"/>
    </row>
    <row r="95">
      <c r="A95" s="430" t="str">
        <f>HYPERLINK("https://en.uesp.net/wiki/Skyrim:Mallus_Maccius", "Mallus Maccius")</f>
        <v>Mallus Maccius</v>
      </c>
      <c r="B95" s="434"/>
      <c r="C95" s="432" t="s">
        <v>1524</v>
      </c>
      <c r="D95" s="63" t="s">
        <v>76</v>
      </c>
      <c r="E95" s="432" t="s">
        <v>1524</v>
      </c>
      <c r="F95" s="53" t="s">
        <v>885</v>
      </c>
      <c r="G95" s="430" t="str">
        <f t="shared" ref="G95:G96" si="9">HYPERLINK("https://en.uesp.net/wiki/Skyrim:Honningbrew_Meadery", "Honningbrew Meadery")</f>
        <v>Honningbrew Meadery</v>
      </c>
      <c r="H95" s="53" t="s">
        <v>2328</v>
      </c>
      <c r="I95" s="53" t="s">
        <v>2329</v>
      </c>
      <c r="J95" s="432" t="s">
        <v>2319</v>
      </c>
      <c r="K95" s="432" t="s">
        <v>2317</v>
      </c>
      <c r="L95" s="433"/>
    </row>
    <row r="96">
      <c r="A96" s="430" t="str">
        <f>HYPERLINK("https://en.uesp.net/wiki/Skyrim:Sabjorn", "Sabjorn")</f>
        <v>Sabjorn</v>
      </c>
      <c r="B96" s="434"/>
      <c r="C96" s="432" t="s">
        <v>1524</v>
      </c>
      <c r="D96" s="63" t="s">
        <v>76</v>
      </c>
      <c r="E96" s="432" t="s">
        <v>1524</v>
      </c>
      <c r="F96" s="53" t="s">
        <v>885</v>
      </c>
      <c r="G96" s="430" t="str">
        <f t="shared" si="9"/>
        <v>Honningbrew Meadery</v>
      </c>
      <c r="H96" s="53" t="s">
        <v>2320</v>
      </c>
      <c r="I96" s="53">
        <v>100.0</v>
      </c>
      <c r="J96" s="432" t="s">
        <v>2319</v>
      </c>
      <c r="K96" s="432" t="s">
        <v>2319</v>
      </c>
      <c r="L96" s="433"/>
    </row>
    <row r="97">
      <c r="A97" s="430" t="str">
        <f>HYPERLINK("https://en.uesp.net/wiki/Skyrim:Anoriath", "Anoriath*")</f>
        <v>Anoriath*</v>
      </c>
      <c r="B97" s="434"/>
      <c r="C97" s="63" t="s">
        <v>132</v>
      </c>
      <c r="D97" s="63" t="s">
        <v>76</v>
      </c>
      <c r="E97" s="432" t="s">
        <v>1524</v>
      </c>
      <c r="F97" s="53" t="s">
        <v>885</v>
      </c>
      <c r="G97" s="53" t="s">
        <v>2332</v>
      </c>
      <c r="H97" s="53" t="s">
        <v>2320</v>
      </c>
      <c r="I97" s="53">
        <v>50.0</v>
      </c>
      <c r="J97" s="432" t="s">
        <v>2326</v>
      </c>
      <c r="K97" s="432" t="s">
        <v>2317</v>
      </c>
      <c r="L97" s="53" t="s">
        <v>2375</v>
      </c>
    </row>
    <row r="98">
      <c r="A98" s="430" t="str">
        <f>HYPERLINK("https://en.uesp.net/wiki/Skyrim:Carlotta_Valentia", "Carlotta Valentia")</f>
        <v>Carlotta Valentia</v>
      </c>
      <c r="B98" s="434"/>
      <c r="C98" s="432" t="s">
        <v>1524</v>
      </c>
      <c r="D98" s="63" t="s">
        <v>76</v>
      </c>
      <c r="E98" s="432" t="s">
        <v>1524</v>
      </c>
      <c r="F98" s="53" t="s">
        <v>885</v>
      </c>
      <c r="G98" s="53" t="s">
        <v>2332</v>
      </c>
      <c r="H98" s="53" t="s">
        <v>2320</v>
      </c>
      <c r="I98" s="53">
        <v>50.0</v>
      </c>
      <c r="J98" s="432" t="s">
        <v>2319</v>
      </c>
      <c r="K98" s="432" t="s">
        <v>2317</v>
      </c>
      <c r="L98" s="433"/>
    </row>
    <row r="99">
      <c r="A99" s="430" t="str">
        <f>HYPERLINK("https://en.uesp.net/wiki/Skyrim:Fralia_Gray-Mane", "Fralia Gray-Mane")</f>
        <v>Fralia Gray-Mane</v>
      </c>
      <c r="B99" s="434"/>
      <c r="C99" s="432" t="s">
        <v>1524</v>
      </c>
      <c r="D99" s="63" t="s">
        <v>76</v>
      </c>
      <c r="E99" s="432" t="s">
        <v>1524</v>
      </c>
      <c r="F99" s="53" t="s">
        <v>885</v>
      </c>
      <c r="G99" s="53" t="s">
        <v>2332</v>
      </c>
      <c r="H99" s="53" t="s">
        <v>2333</v>
      </c>
      <c r="I99" s="53">
        <v>50.0</v>
      </c>
      <c r="J99" s="432" t="s">
        <v>2319</v>
      </c>
      <c r="K99" s="432" t="s">
        <v>2319</v>
      </c>
      <c r="L99" s="433"/>
    </row>
    <row r="100">
      <c r="A100" s="430" t="str">
        <f>HYPERLINK("https://en.uesp.net/wiki/Skyrim:Eorlund_Gray-Mane", "Eorlund Gray-Mane")</f>
        <v>Eorlund Gray-Mane</v>
      </c>
      <c r="B100" s="434"/>
      <c r="C100" s="432" t="s">
        <v>1524</v>
      </c>
      <c r="D100" s="63" t="s">
        <v>76</v>
      </c>
      <c r="E100" s="432" t="s">
        <v>1524</v>
      </c>
      <c r="F100" s="53" t="s">
        <v>885</v>
      </c>
      <c r="G100" s="430" t="str">
        <f>HYPERLINK("https://en.uesp.net/wiki/Skyrim:Skyforge", "Skyforge")</f>
        <v>Skyforge</v>
      </c>
      <c r="H100" s="53" t="s">
        <v>2316</v>
      </c>
      <c r="I100" s="53">
        <v>1000.0</v>
      </c>
      <c r="J100" s="432" t="s">
        <v>2319</v>
      </c>
      <c r="K100" s="432" t="s">
        <v>2317</v>
      </c>
      <c r="L100" s="433"/>
    </row>
    <row r="101">
      <c r="A101" s="430" t="str">
        <f>HYPERLINK("https://en.uesp.net/wiki/Skyrim:Hulda", "Hulda")</f>
        <v>Hulda</v>
      </c>
      <c r="B101" s="437" t="s">
        <v>2376</v>
      </c>
      <c r="C101" s="432" t="s">
        <v>1524</v>
      </c>
      <c r="D101" s="63" t="s">
        <v>76</v>
      </c>
      <c r="E101" s="63" t="s">
        <v>76</v>
      </c>
      <c r="F101" s="53" t="s">
        <v>885</v>
      </c>
      <c r="G101" s="430" t="str">
        <f>HYPERLINK("https://en.uesp.net/wiki/Skyrim:The_Bannered_Mare", "The Bannered Mare")</f>
        <v>The Bannered Mare</v>
      </c>
      <c r="H101" s="53" t="s">
        <v>2320</v>
      </c>
      <c r="I101" s="53">
        <v>100.0</v>
      </c>
      <c r="J101" s="432" t="s">
        <v>2319</v>
      </c>
      <c r="K101" s="432" t="s">
        <v>2317</v>
      </c>
      <c r="L101" s="433"/>
    </row>
    <row r="102">
      <c r="A102" s="430" t="str">
        <f>HYPERLINK("https://en.uesp.net/wiki/Skyrim:Elrindir", "Elrindir")</f>
        <v>Elrindir</v>
      </c>
      <c r="B102" s="434"/>
      <c r="C102" s="63" t="s">
        <v>132</v>
      </c>
      <c r="D102" s="63" t="s">
        <v>76</v>
      </c>
      <c r="E102" s="432" t="s">
        <v>1524</v>
      </c>
      <c r="F102" s="53" t="s">
        <v>885</v>
      </c>
      <c r="G102" s="430" t="str">
        <f>HYPERLINK("https://en.uesp.net/wiki/Skyrim:The_Drunken_Huntsman", "The Drunken Huntsman")</f>
        <v>The Drunken Huntsman</v>
      </c>
      <c r="H102" s="53" t="s">
        <v>2377</v>
      </c>
      <c r="I102" s="53">
        <v>750.0</v>
      </c>
      <c r="J102" s="432" t="s">
        <v>2317</v>
      </c>
      <c r="K102" s="432" t="s">
        <v>2317</v>
      </c>
      <c r="L102" s="433"/>
    </row>
    <row r="103">
      <c r="A103" s="430" t="str">
        <f>HYPERLINK("https://en.uesp.net/wiki/Skyrim:Adrianne_Avenicci", "Adrianne Avenicci (outside)")</f>
        <v>Adrianne Avenicci (outside)</v>
      </c>
      <c r="B103" s="434"/>
      <c r="C103" s="63" t="s">
        <v>132</v>
      </c>
      <c r="D103" s="63" t="s">
        <v>76</v>
      </c>
      <c r="E103" s="432" t="s">
        <v>1524</v>
      </c>
      <c r="F103" s="53" t="s">
        <v>885</v>
      </c>
      <c r="G103" s="430" t="str">
        <f t="shared" ref="G103:G104" si="10">HYPERLINK("https://en.uesp.net/wiki/Skyrim:Warmaiden's", "Warmaiden's")</f>
        <v>Warmaiden's</v>
      </c>
      <c r="H103" s="53" t="s">
        <v>2316</v>
      </c>
      <c r="I103" s="53">
        <v>1000.0</v>
      </c>
      <c r="J103" s="432" t="s">
        <v>2317</v>
      </c>
      <c r="K103" s="432" t="s">
        <v>2317</v>
      </c>
      <c r="L103" s="53" t="s">
        <v>2378</v>
      </c>
    </row>
    <row r="104">
      <c r="A104" s="430" t="str">
        <f>HYPERLINK("https://en.uesp.net/wiki/Skyrim:Ulfberth_War-Bear", "Ulfberth War-Bear")</f>
        <v>Ulfberth War-Bear</v>
      </c>
      <c r="B104" s="431" t="str">
        <f>HYPERLINK("https://en.uesp.net/wiki/Skyrim:Adrianne_Avenicci", "Adrianne Avenicci")</f>
        <v>Adrianne Avenicci</v>
      </c>
      <c r="C104" s="63" t="s">
        <v>132</v>
      </c>
      <c r="D104" s="63" t="s">
        <v>76</v>
      </c>
      <c r="E104" s="63" t="s">
        <v>76</v>
      </c>
      <c r="F104" s="53" t="s">
        <v>885</v>
      </c>
      <c r="G104" s="430" t="str">
        <f t="shared" si="10"/>
        <v>Warmaiden's</v>
      </c>
      <c r="H104" s="53" t="s">
        <v>2316</v>
      </c>
      <c r="I104" s="53">
        <v>1000.0</v>
      </c>
      <c r="J104" s="432" t="s">
        <v>2317</v>
      </c>
      <c r="K104" s="432" t="s">
        <v>2317</v>
      </c>
      <c r="L104" s="433"/>
    </row>
    <row r="105">
      <c r="A105" s="430" t="str">
        <f>HYPERLINK("https://en.uesp.net/wiki/Skyrim:Alvor", "Alvor")</f>
        <v>Alvor</v>
      </c>
      <c r="B105" s="434"/>
      <c r="C105" s="63" t="s">
        <v>132</v>
      </c>
      <c r="D105" s="63" t="s">
        <v>76</v>
      </c>
      <c r="E105" s="432" t="s">
        <v>1524</v>
      </c>
      <c r="F105" s="53" t="s">
        <v>2379</v>
      </c>
      <c r="G105" s="430" t="str">
        <f>HYPERLINK("https://en.uesp.net/wiki/Skyrim:Alvor_and_Sigrid's_House", "Alvor and Sigrid's House")</f>
        <v>Alvor and Sigrid's House</v>
      </c>
      <c r="H105" s="53" t="s">
        <v>2316</v>
      </c>
      <c r="I105" s="53">
        <v>500.0</v>
      </c>
      <c r="J105" s="432" t="s">
        <v>2317</v>
      </c>
      <c r="K105" s="432" t="s">
        <v>2317</v>
      </c>
      <c r="L105" s="433"/>
    </row>
    <row r="106">
      <c r="A106" s="430" t="str">
        <f>HYPERLINK("https://en.uesp.net/wiki/Skyrim:Lucan_Valerius", "Lucan Valerius")</f>
        <v>Lucan Valerius</v>
      </c>
      <c r="B106" s="431" t="str">
        <f>HYPERLINK("https://en.uesp.net/wiki/Skyrim:Camilla_Valerius", "(Camilla Valerius)")</f>
        <v>(Camilla Valerius)</v>
      </c>
      <c r="C106" s="63" t="s">
        <v>132</v>
      </c>
      <c r="D106" s="63" t="s">
        <v>76</v>
      </c>
      <c r="E106" s="63" t="s">
        <v>76</v>
      </c>
      <c r="F106" s="53" t="s">
        <v>2379</v>
      </c>
      <c r="G106" s="430" t="str">
        <f>HYPERLINK("https://en.uesp.net/wiki/Skyrim:Riverwood_Trader", "Riverwood Trader")</f>
        <v>Riverwood Trader</v>
      </c>
      <c r="H106" s="53" t="s">
        <v>2380</v>
      </c>
      <c r="I106" s="53">
        <v>750.0</v>
      </c>
      <c r="J106" s="432" t="s">
        <v>2317</v>
      </c>
      <c r="K106" s="432" t="s">
        <v>2317</v>
      </c>
      <c r="L106" s="53" t="s">
        <v>2381</v>
      </c>
    </row>
    <row r="107">
      <c r="A107" s="430" t="str">
        <f>HYPERLINK("https://en.uesp.net/wiki/Skyrim:Orgnar", "Orgnar")</f>
        <v>Orgnar</v>
      </c>
      <c r="B107" s="434"/>
      <c r="C107" s="432" t="s">
        <v>1524</v>
      </c>
      <c r="D107" s="63" t="s">
        <v>76</v>
      </c>
      <c r="E107" s="432" t="s">
        <v>1524</v>
      </c>
      <c r="F107" s="53" t="s">
        <v>2379</v>
      </c>
      <c r="G107" s="430" t="str">
        <f>HYPERLINK("https://en.uesp.net/wiki/Skyrim:Sleeping_Giant_Inn", "Sleeping Giant Inn")</f>
        <v>Sleeping Giant Inn</v>
      </c>
      <c r="H107" s="53" t="s">
        <v>2382</v>
      </c>
      <c r="I107" s="53">
        <v>100.0</v>
      </c>
      <c r="J107" s="432" t="s">
        <v>2319</v>
      </c>
      <c r="K107" s="432" t="s">
        <v>2319</v>
      </c>
      <c r="L107" s="433"/>
    </row>
    <row r="108">
      <c r="A108" s="430" t="str">
        <f>HYPERLINK("https://en.uesp.net/wiki/Skyrim:Mralki", "Mralki")</f>
        <v>Mralki</v>
      </c>
      <c r="B108" s="434"/>
      <c r="C108" s="432" t="s">
        <v>1524</v>
      </c>
      <c r="D108" s="63" t="s">
        <v>76</v>
      </c>
      <c r="E108" s="432" t="s">
        <v>1524</v>
      </c>
      <c r="F108" s="53" t="s">
        <v>2383</v>
      </c>
      <c r="G108" s="430" t="str">
        <f>HYPERLINK("https://en.uesp.net/wiki/Skyrim:Frostfruit_Inn", "Frostfruit Inn")</f>
        <v>Frostfruit Inn</v>
      </c>
      <c r="H108" s="53" t="s">
        <v>2320</v>
      </c>
      <c r="I108" s="53">
        <v>100.0</v>
      </c>
      <c r="J108" s="432" t="s">
        <v>2319</v>
      </c>
      <c r="K108" s="432" t="s">
        <v>2319</v>
      </c>
      <c r="L108" s="433"/>
    </row>
    <row r="109">
      <c r="A109" s="430" t="str">
        <f>HYPERLINK("https://en.uesp.net/wiki/Skyrim:Oengul_War-Anvil", "Oengul War-Anvil")</f>
        <v>Oengul War-Anvil</v>
      </c>
      <c r="B109" s="431" t="str">
        <f>HYPERLINK("https://en.uesp.net/wiki/Skyrim:Hermir_Strong-Heart", "(Hermir Strong-Heart)")</f>
        <v>(Hermir Strong-Heart)</v>
      </c>
      <c r="C109" s="63" t="s">
        <v>132</v>
      </c>
      <c r="D109" s="63" t="s">
        <v>76</v>
      </c>
      <c r="E109" s="63" t="s">
        <v>76</v>
      </c>
      <c r="F109" s="53" t="s">
        <v>574</v>
      </c>
      <c r="G109" s="430" t="str">
        <f>HYPERLINK("https://en.uesp.net/wiki/Skyrim:Blacksmith_Quarters", "Blacksmith Quarters")</f>
        <v>Blacksmith Quarters</v>
      </c>
      <c r="H109" s="53" t="s">
        <v>2316</v>
      </c>
      <c r="I109" s="53">
        <v>1000.0</v>
      </c>
      <c r="J109" s="432" t="s">
        <v>2317</v>
      </c>
      <c r="K109" s="432" t="s">
        <v>2317</v>
      </c>
      <c r="L109" s="53"/>
    </row>
    <row r="110">
      <c r="A110" s="430" t="str">
        <f>HYPERLINK("https://en.uesp.net/wiki/Skyrim:Elda_Early-Dawn", "Elda Early-Dawn")</f>
        <v>Elda Early-Dawn</v>
      </c>
      <c r="B110" s="431" t="str">
        <f>HYPERLINK("https://en.uesp.net/wiki/Skyrim:Nils", "(Nils)")</f>
        <v>(Nils)</v>
      </c>
      <c r="C110" s="432" t="s">
        <v>1524</v>
      </c>
      <c r="D110" s="63" t="s">
        <v>76</v>
      </c>
      <c r="E110" s="63" t="s">
        <v>76</v>
      </c>
      <c r="F110" s="53" t="s">
        <v>574</v>
      </c>
      <c r="G110" s="430" t="str">
        <f>HYPERLINK("https://en.uesp.net/wiki/Skyrim:Candlehearth_Hall", "Candlehearth Hall")</f>
        <v>Candlehearth Hall</v>
      </c>
      <c r="H110" s="53" t="s">
        <v>2320</v>
      </c>
      <c r="I110" s="53">
        <v>100.0</v>
      </c>
      <c r="J110" s="432" t="s">
        <v>2319</v>
      </c>
      <c r="K110" s="432" t="s">
        <v>2317</v>
      </c>
      <c r="L110" s="53"/>
    </row>
    <row r="111">
      <c r="A111" s="430" t="str">
        <f>HYPERLINK("https://en.uesp.net/wiki/Skyrim:Aval_Atheron", "Aval Atheron")</f>
        <v>Aval Atheron</v>
      </c>
      <c r="B111" s="434"/>
      <c r="C111" s="432" t="s">
        <v>1524</v>
      </c>
      <c r="D111" s="63" t="s">
        <v>76</v>
      </c>
      <c r="E111" s="432" t="s">
        <v>1524</v>
      </c>
      <c r="F111" s="53" t="s">
        <v>574</v>
      </c>
      <c r="G111" s="53" t="s">
        <v>2332</v>
      </c>
      <c r="H111" s="53" t="s">
        <v>2324</v>
      </c>
      <c r="I111" s="53">
        <v>750.0</v>
      </c>
      <c r="J111" s="432" t="s">
        <v>2319</v>
      </c>
      <c r="K111" s="432" t="s">
        <v>2317</v>
      </c>
      <c r="L111" s="53"/>
    </row>
    <row r="112">
      <c r="A112" s="430" t="str">
        <f>HYPERLINK("https://en.uesp.net/wiki/Skyrim:Hillevi_Cruel-Sea", "Hillevi Cruel-Sea")</f>
        <v>Hillevi Cruel-Sea</v>
      </c>
      <c r="B112" s="434"/>
      <c r="C112" s="432" t="s">
        <v>1524</v>
      </c>
      <c r="D112" s="63" t="s">
        <v>76</v>
      </c>
      <c r="E112" s="432" t="s">
        <v>1524</v>
      </c>
      <c r="F112" s="53" t="s">
        <v>574</v>
      </c>
      <c r="G112" s="430" t="str">
        <f>HYPERLINK("https://en.uesp.net/wiki/Skyrim:Marketplace_Stall", "Marketplace Stall")</f>
        <v>Marketplace Stall</v>
      </c>
      <c r="H112" s="53" t="s">
        <v>2320</v>
      </c>
      <c r="I112" s="53">
        <v>50.0</v>
      </c>
      <c r="J112" s="432" t="s">
        <v>2319</v>
      </c>
      <c r="K112" s="432" t="s">
        <v>2317</v>
      </c>
      <c r="L112" s="53"/>
    </row>
    <row r="113">
      <c r="A113" s="430" t="str">
        <f>HYPERLINK("https://en.uesp.net/wiki/Skyrim:Niranye", "Niranye")</f>
        <v>Niranye</v>
      </c>
      <c r="B113" s="434"/>
      <c r="C113" s="432" t="s">
        <v>1524</v>
      </c>
      <c r="D113" s="63" t="s">
        <v>76</v>
      </c>
      <c r="E113" s="432" t="s">
        <v>1524</v>
      </c>
      <c r="F113" s="53" t="s">
        <v>574</v>
      </c>
      <c r="G113" s="53" t="s">
        <v>2332</v>
      </c>
      <c r="H113" s="53" t="s">
        <v>2324</v>
      </c>
      <c r="I113" s="53">
        <v>750.0</v>
      </c>
      <c r="J113" s="432" t="s">
        <v>2319</v>
      </c>
      <c r="K113" s="432" t="s">
        <v>2317</v>
      </c>
      <c r="L113" s="53"/>
    </row>
    <row r="114">
      <c r="A114" s="430" t="str">
        <f>HYPERLINK("https://en.uesp.net/wiki/Skyrim:Ambarys_Rendar", "Ambarys Rendar")</f>
        <v>Ambarys Rendar</v>
      </c>
      <c r="B114" s="434"/>
      <c r="C114" s="432" t="s">
        <v>1524</v>
      </c>
      <c r="D114" s="63" t="s">
        <v>76</v>
      </c>
      <c r="E114" s="432" t="s">
        <v>1524</v>
      </c>
      <c r="F114" s="53" t="s">
        <v>574</v>
      </c>
      <c r="G114" s="430" t="str">
        <f>HYPERLINK("https://en.uesp.net/wiki/Skyrim:New_Gnisis_Cornerclub", "New Gnisis Cornerclub")</f>
        <v>New Gnisis Cornerclub</v>
      </c>
      <c r="H114" s="53" t="s">
        <v>2320</v>
      </c>
      <c r="I114" s="53">
        <v>100.0</v>
      </c>
      <c r="J114" s="432" t="s">
        <v>2319</v>
      </c>
      <c r="K114" s="432" t="s">
        <v>2317</v>
      </c>
      <c r="L114" s="53"/>
    </row>
    <row r="115">
      <c r="A115" s="430" t="str">
        <f>HYPERLINK("https://en.uesp.net/wiki/Skyrim:Niranye", "Niranye")</f>
        <v>Niranye</v>
      </c>
      <c r="B115" s="434"/>
      <c r="C115" s="432" t="s">
        <v>1524</v>
      </c>
      <c r="D115" s="63" t="s">
        <v>76</v>
      </c>
      <c r="E115" s="432" t="s">
        <v>1524</v>
      </c>
      <c r="F115" s="53" t="s">
        <v>574</v>
      </c>
      <c r="G115" s="430" t="str">
        <f>HYPERLINK("https://en.uesp.net/wiki/Skyrim:Niranye's_House", "Niranye's House")</f>
        <v>Niranye's House</v>
      </c>
      <c r="H115" s="53" t="s">
        <v>2328</v>
      </c>
      <c r="I115" s="53" t="s">
        <v>2329</v>
      </c>
      <c r="J115" s="432" t="s">
        <v>2319</v>
      </c>
      <c r="K115" s="432" t="s">
        <v>2317</v>
      </c>
      <c r="L115" s="53"/>
    </row>
    <row r="116">
      <c r="A116" s="430" t="str">
        <f>HYPERLINK("https://en.uesp.net/wiki/Skyrim:Wuunferth_the_Unliving", "Wuunferth the Unliving")</f>
        <v>Wuunferth the Unliving</v>
      </c>
      <c r="B116" s="434"/>
      <c r="C116" s="63" t="s">
        <v>132</v>
      </c>
      <c r="D116" s="63" t="s">
        <v>76</v>
      </c>
      <c r="E116" s="432" t="s">
        <v>1524</v>
      </c>
      <c r="F116" s="53" t="s">
        <v>574</v>
      </c>
      <c r="G116" s="430" t="str">
        <f>HYPERLINK("https://en.uesp.net/wiki/Skyrim:Palace_of_the_Kings", "Palace of the Kings")</f>
        <v>Palace of the Kings</v>
      </c>
      <c r="H116" s="53" t="s">
        <v>79</v>
      </c>
      <c r="I116" s="53">
        <v>500.0</v>
      </c>
      <c r="J116" s="432" t="s">
        <v>2317</v>
      </c>
      <c r="K116" s="432" t="s">
        <v>2317</v>
      </c>
      <c r="L116" s="53"/>
    </row>
    <row r="117">
      <c r="A117" s="430" t="str">
        <f>HYPERLINK("https://en.uesp.net/wiki/Skyrim:Revyn_Sadri", "Revyn Sadri")</f>
        <v>Revyn Sadri</v>
      </c>
      <c r="B117" s="434"/>
      <c r="C117" s="63" t="s">
        <v>132</v>
      </c>
      <c r="D117" s="63" t="s">
        <v>76</v>
      </c>
      <c r="E117" s="432" t="s">
        <v>1524</v>
      </c>
      <c r="F117" s="53" t="s">
        <v>574</v>
      </c>
      <c r="G117" s="430" t="str">
        <f>HYPERLINK("https://en.uesp.net/wiki/Skyrim:Sadri's_Used_Wares", "Sadri's Used Wares")</f>
        <v>Sadri's Used Wares</v>
      </c>
      <c r="H117" s="53" t="s">
        <v>2324</v>
      </c>
      <c r="I117" s="53">
        <v>750.0</v>
      </c>
      <c r="J117" s="432" t="s">
        <v>2317</v>
      </c>
      <c r="K117" s="432" t="s">
        <v>2317</v>
      </c>
      <c r="L117" s="53"/>
    </row>
    <row r="118">
      <c r="A118" s="430" t="str">
        <f>HYPERLINK("https://en.uesp.net/wiki/Skyrim:Nurelion", "Nurelion")</f>
        <v>Nurelion</v>
      </c>
      <c r="B118" s="431" t="str">
        <f>HYPERLINK("https://en.uesp.net/wiki/Skyrim:Quintus_Navale", "(Quintus Navale)")</f>
        <v>(Quintus Navale)</v>
      </c>
      <c r="C118" s="63" t="s">
        <v>132</v>
      </c>
      <c r="D118" s="63" t="s">
        <v>76</v>
      </c>
      <c r="E118" s="63" t="s">
        <v>76</v>
      </c>
      <c r="F118" s="53" t="s">
        <v>574</v>
      </c>
      <c r="G118" s="430" t="str">
        <f>HYPERLINK("https://en.uesp.net/wiki/Skyrim:The_White_Phial", "The White Phial")</f>
        <v>The White Phial</v>
      </c>
      <c r="H118" s="53" t="s">
        <v>2318</v>
      </c>
      <c r="I118" s="53">
        <v>500.0</v>
      </c>
      <c r="J118" s="432" t="s">
        <v>2317</v>
      </c>
      <c r="K118" s="432" t="s">
        <v>2317</v>
      </c>
      <c r="L118" s="53"/>
    </row>
    <row r="119">
      <c r="A119" s="430" t="str">
        <f>HYPERLINK("https://en.uesp.net/wiki/Skyrim:Iddra", "Iddra")</f>
        <v>Iddra</v>
      </c>
      <c r="B119" s="434"/>
      <c r="C119" s="432" t="s">
        <v>1524</v>
      </c>
      <c r="D119" s="63" t="s">
        <v>76</v>
      </c>
      <c r="E119" s="432" t="s">
        <v>1524</v>
      </c>
      <c r="F119" s="53" t="s">
        <v>2384</v>
      </c>
      <c r="G119" s="430" t="str">
        <f>HYPERLINK("https://en.uesp.net/wiki/Skyrim:Braidwood_Inn", "Braidwood Inn")</f>
        <v>Braidwood Inn</v>
      </c>
      <c r="H119" s="53" t="s">
        <v>2320</v>
      </c>
      <c r="I119" s="53">
        <v>100.0</v>
      </c>
      <c r="J119" s="432" t="s">
        <v>2319</v>
      </c>
      <c r="K119" s="432" t="s">
        <v>2319</v>
      </c>
      <c r="L119" s="433"/>
    </row>
    <row r="120">
      <c r="A120" s="430" t="str">
        <f>HYPERLINK("https://en.uesp.net/wiki/Skyrim:Bolar", "Bolar")</f>
        <v>Bolar</v>
      </c>
      <c r="B120" s="434"/>
      <c r="C120" s="432" t="s">
        <v>1524</v>
      </c>
      <c r="D120" s="63" t="s">
        <v>76</v>
      </c>
      <c r="E120" s="432" t="s">
        <v>1524</v>
      </c>
      <c r="F120" s="53" t="s">
        <v>2385</v>
      </c>
      <c r="G120" s="430" t="str">
        <f t="shared" ref="G120:G121" si="11">HYPERLINK("https://en.uesp.net/wiki/Skyrim:Mauhulakh's_Longhouse", "at Mauhulakh's Longhouse")</f>
        <v>at Mauhulakh's Longhouse</v>
      </c>
      <c r="H120" s="53" t="s">
        <v>2318</v>
      </c>
      <c r="I120" s="53">
        <v>500.0</v>
      </c>
      <c r="J120" s="432" t="s">
        <v>2319</v>
      </c>
      <c r="K120" s="432" t="s">
        <v>2317</v>
      </c>
      <c r="L120" s="433"/>
    </row>
    <row r="121">
      <c r="A121" s="430" t="str">
        <f>HYPERLINK("https://en.uesp.net/wiki/Skyrim:Dushnamub", "Dushnamub")</f>
        <v>Dushnamub</v>
      </c>
      <c r="B121" s="434"/>
      <c r="C121" s="432" t="s">
        <v>1524</v>
      </c>
      <c r="D121" s="63" t="s">
        <v>76</v>
      </c>
      <c r="E121" s="432" t="s">
        <v>1524</v>
      </c>
      <c r="F121" s="53" t="s">
        <v>2385</v>
      </c>
      <c r="G121" s="430" t="str">
        <f t="shared" si="11"/>
        <v>at Mauhulakh's Longhouse</v>
      </c>
      <c r="H121" s="53" t="s">
        <v>2316</v>
      </c>
      <c r="I121" s="53">
        <v>400.0</v>
      </c>
      <c r="J121" s="432" t="s">
        <v>2319</v>
      </c>
      <c r="K121" s="432" t="s">
        <v>2317</v>
      </c>
      <c r="L121" s="433"/>
    </row>
    <row r="122">
      <c r="A122" s="430" t="str">
        <f>HYPERLINK("https://en.uesp.net/wiki/Skyrim:Birna", "Birna")</f>
        <v>Birna</v>
      </c>
      <c r="B122" s="434"/>
      <c r="C122" s="63" t="s">
        <v>132</v>
      </c>
      <c r="D122" s="63" t="s">
        <v>76</v>
      </c>
      <c r="E122" s="432" t="s">
        <v>1524</v>
      </c>
      <c r="F122" s="53" t="s">
        <v>954</v>
      </c>
      <c r="G122" s="430" t="str">
        <f>HYPERLINK("https://en.uesp.net/wiki/Skyrim:Birna's_Oddments", "Birna's Oddments")</f>
        <v>Birna's Oddments</v>
      </c>
      <c r="H122" s="53" t="s">
        <v>2324</v>
      </c>
      <c r="I122" s="53">
        <v>750.0</v>
      </c>
      <c r="J122" s="432" t="s">
        <v>2317</v>
      </c>
      <c r="K122" s="432" t="s">
        <v>2317</v>
      </c>
      <c r="L122" s="433"/>
    </row>
    <row r="123">
      <c r="A123" s="430" t="str">
        <f>HYPERLINK("https://en.uesp.net/wiki/Skyrim:Dagur", "Dagur")</f>
        <v>Dagur</v>
      </c>
      <c r="B123" s="431" t="str">
        <f>HYPERLINK("https://en.uesp.net/wiki/Skyrim:Haran", "Haran")</f>
        <v>Haran</v>
      </c>
      <c r="C123" s="432" t="s">
        <v>1524</v>
      </c>
      <c r="D123" s="63" t="s">
        <v>76</v>
      </c>
      <c r="E123" s="63" t="s">
        <v>76</v>
      </c>
      <c r="F123" s="53" t="s">
        <v>954</v>
      </c>
      <c r="G123" s="430" t="str">
        <f t="shared" ref="G123:G124" si="12">HYPERLINK("https://en.uesp.net/wiki/Skyrim:The_Frozen_Hearth", "The Frozen Hearth")</f>
        <v>The Frozen Hearth</v>
      </c>
      <c r="H123" s="53" t="s">
        <v>2320</v>
      </c>
      <c r="I123" s="53">
        <v>100.0</v>
      </c>
      <c r="J123" s="432" t="s">
        <v>2319</v>
      </c>
      <c r="K123" s="432" t="s">
        <v>2317</v>
      </c>
      <c r="L123" s="433"/>
    </row>
    <row r="124">
      <c r="A124" s="430" t="str">
        <f>HYPERLINK("https://en.uesp.net/wiki/Skyrim:Nelacar", "Nelacar")</f>
        <v>Nelacar</v>
      </c>
      <c r="B124" s="434"/>
      <c r="C124" s="432" t="s">
        <v>1524</v>
      </c>
      <c r="D124" s="63" t="s">
        <v>76</v>
      </c>
      <c r="E124" s="432" t="s">
        <v>1524</v>
      </c>
      <c r="F124" s="53" t="s">
        <v>954</v>
      </c>
      <c r="G124" s="430" t="str">
        <f t="shared" si="12"/>
        <v>The Frozen Hearth</v>
      </c>
      <c r="H124" s="53" t="s">
        <v>79</v>
      </c>
      <c r="I124" s="53">
        <v>500.0</v>
      </c>
      <c r="J124" s="432" t="s">
        <v>2319</v>
      </c>
      <c r="K124" s="432" t="s">
        <v>2317</v>
      </c>
      <c r="L124" s="433"/>
    </row>
    <row r="125">
      <c r="A125" s="430" t="str">
        <f t="shared" ref="A125:A126" si="13">HYPERLINK("https://en.uesp.net/wiki/Skyrim:Enthir", "Enthir")</f>
        <v>Enthir</v>
      </c>
      <c r="B125" s="434"/>
      <c r="C125" s="432" t="s">
        <v>1524</v>
      </c>
      <c r="D125" s="63" t="s">
        <v>76</v>
      </c>
      <c r="E125" s="432" t="s">
        <v>1524</v>
      </c>
      <c r="F125" s="53" t="s">
        <v>2386</v>
      </c>
      <c r="G125" s="430" t="str">
        <f t="shared" ref="G125:G127" si="14">HYPERLINK("https://en.uesp.net/wiki/Skyrim:Hall_of_Attainment", "Hall of Attainment")</f>
        <v>Hall of Attainment</v>
      </c>
      <c r="H125" s="53" t="s">
        <v>2324</v>
      </c>
      <c r="I125" s="53">
        <v>500.0</v>
      </c>
      <c r="J125" s="432" t="s">
        <v>2319</v>
      </c>
      <c r="K125" s="432" t="s">
        <v>2317</v>
      </c>
      <c r="L125" s="53" t="s">
        <v>2387</v>
      </c>
    </row>
    <row r="126">
      <c r="A126" s="430" t="str">
        <f t="shared" si="13"/>
        <v>Enthir</v>
      </c>
      <c r="B126" s="434"/>
      <c r="C126" s="432" t="s">
        <v>1524</v>
      </c>
      <c r="D126" s="63" t="s">
        <v>76</v>
      </c>
      <c r="E126" s="432" t="s">
        <v>1524</v>
      </c>
      <c r="F126" s="53" t="s">
        <v>2386</v>
      </c>
      <c r="G126" s="430" t="str">
        <f t="shared" si="14"/>
        <v>Hall of Attainment</v>
      </c>
      <c r="H126" s="53" t="s">
        <v>2328</v>
      </c>
      <c r="I126" s="53" t="s">
        <v>2329</v>
      </c>
      <c r="J126" s="432" t="s">
        <v>2319</v>
      </c>
      <c r="K126" s="432" t="s">
        <v>2317</v>
      </c>
      <c r="L126" s="433"/>
    </row>
    <row r="127">
      <c r="A127" s="430" t="str">
        <f>HYPERLINK("https://en.uesp.net/wiki/Skyrim:Tolfdir", "Tolfdir")</f>
        <v>Tolfdir</v>
      </c>
      <c r="B127" s="434"/>
      <c r="C127" s="432" t="s">
        <v>1524</v>
      </c>
      <c r="D127" s="63" t="s">
        <v>76</v>
      </c>
      <c r="E127" s="432" t="s">
        <v>1524</v>
      </c>
      <c r="F127" s="53" t="s">
        <v>2386</v>
      </c>
      <c r="G127" s="430" t="str">
        <f t="shared" si="14"/>
        <v>Hall of Attainment</v>
      </c>
      <c r="H127" s="53" t="s">
        <v>2388</v>
      </c>
      <c r="I127" s="53">
        <v>500.0</v>
      </c>
      <c r="J127" s="432" t="s">
        <v>2319</v>
      </c>
      <c r="K127" s="432" t="s">
        <v>2317</v>
      </c>
      <c r="L127" s="433"/>
    </row>
    <row r="128">
      <c r="A128" s="430" t="str">
        <f>HYPERLINK("https://en.uesp.net/wiki/Skyrim:Colette_Marence", "Colette Marence")</f>
        <v>Colette Marence</v>
      </c>
      <c r="B128" s="434"/>
      <c r="C128" s="432" t="s">
        <v>1524</v>
      </c>
      <c r="D128" s="63" t="s">
        <v>76</v>
      </c>
      <c r="E128" s="432" t="s">
        <v>1524</v>
      </c>
      <c r="F128" s="53" t="s">
        <v>2386</v>
      </c>
      <c r="G128" s="430" t="str">
        <f t="shared" ref="G128:G131" si="15">HYPERLINK("https://en.uesp.net/wiki/Skyrim:Hall_of_Countenance", "Hall of Countenance")</f>
        <v>Hall of Countenance</v>
      </c>
      <c r="H128" s="53" t="s">
        <v>2389</v>
      </c>
      <c r="I128" s="53">
        <v>500.0</v>
      </c>
      <c r="J128" s="432" t="s">
        <v>2319</v>
      </c>
      <c r="K128" s="432" t="s">
        <v>2317</v>
      </c>
      <c r="L128" s="433"/>
    </row>
    <row r="129">
      <c r="A129" s="430" t="str">
        <f>HYPERLINK("https://en.uesp.net/wiki/Skyrim:Drevis_Neloren", "Drevis Neloren")</f>
        <v>Drevis Neloren</v>
      </c>
      <c r="B129" s="434"/>
      <c r="C129" s="432" t="s">
        <v>1524</v>
      </c>
      <c r="D129" s="63" t="s">
        <v>76</v>
      </c>
      <c r="E129" s="432" t="s">
        <v>1524</v>
      </c>
      <c r="F129" s="53" t="s">
        <v>2386</v>
      </c>
      <c r="G129" s="430" t="str">
        <f t="shared" si="15"/>
        <v>Hall of Countenance</v>
      </c>
      <c r="H129" s="53" t="s">
        <v>2390</v>
      </c>
      <c r="I129" s="53">
        <v>500.0</v>
      </c>
      <c r="J129" s="432" t="s">
        <v>2319</v>
      </c>
      <c r="K129" s="432" t="s">
        <v>2317</v>
      </c>
      <c r="L129" s="433"/>
    </row>
    <row r="130">
      <c r="A130" s="430" t="str">
        <f>HYPERLINK("https://en.uesp.net/wiki/Skyrim:Faralda", "Faralda")</f>
        <v>Faralda</v>
      </c>
      <c r="B130" s="434"/>
      <c r="C130" s="432" t="s">
        <v>1524</v>
      </c>
      <c r="D130" s="63" t="s">
        <v>76</v>
      </c>
      <c r="E130" s="432" t="s">
        <v>1524</v>
      </c>
      <c r="F130" s="53" t="s">
        <v>2386</v>
      </c>
      <c r="G130" s="430" t="str">
        <f t="shared" si="15"/>
        <v>Hall of Countenance</v>
      </c>
      <c r="H130" s="53" t="s">
        <v>2391</v>
      </c>
      <c r="I130" s="53">
        <v>500.0</v>
      </c>
      <c r="J130" s="432" t="s">
        <v>2319</v>
      </c>
      <c r="K130" s="432" t="s">
        <v>2317</v>
      </c>
      <c r="L130" s="433"/>
    </row>
    <row r="131">
      <c r="A131" s="430" t="str">
        <f>HYPERLINK("https://en.uesp.net/wiki/Skyrim:Phinis_Gestor", "Phinis Gestor")</f>
        <v>Phinis Gestor</v>
      </c>
      <c r="B131" s="434"/>
      <c r="C131" s="432" t="s">
        <v>1524</v>
      </c>
      <c r="D131" s="63" t="s">
        <v>76</v>
      </c>
      <c r="E131" s="432" t="s">
        <v>1524</v>
      </c>
      <c r="F131" s="53" t="s">
        <v>2386</v>
      </c>
      <c r="G131" s="430" t="str">
        <f t="shared" si="15"/>
        <v>Hall of Countenance</v>
      </c>
      <c r="H131" s="53" t="s">
        <v>2392</v>
      </c>
      <c r="I131" s="53">
        <v>500.0</v>
      </c>
      <c r="J131" s="432" t="s">
        <v>2319</v>
      </c>
      <c r="K131" s="432" t="s">
        <v>2317</v>
      </c>
      <c r="L131" s="433"/>
    </row>
    <row r="132">
      <c r="A132" s="430" t="str">
        <f>HYPERLINK("https://en.uesp.net/wiki/Skyrim:Urag_gro-Shub", "Urag gro-Shub")</f>
        <v>Urag gro-Shub</v>
      </c>
      <c r="B132" s="434"/>
      <c r="C132" s="432" t="s">
        <v>1524</v>
      </c>
      <c r="D132" s="63" t="s">
        <v>76</v>
      </c>
      <c r="E132" s="432" t="s">
        <v>1524</v>
      </c>
      <c r="F132" s="53" t="s">
        <v>2386</v>
      </c>
      <c r="G132" s="430" t="str">
        <f>HYPERLINK("https://en.uesp.net/wiki/Skyrim:The_Arcanaeum", "The Arcanaeum")</f>
        <v>The Arcanaeum</v>
      </c>
      <c r="H132" s="53" t="s">
        <v>85</v>
      </c>
      <c r="I132" s="53">
        <v>500.0</v>
      </c>
      <c r="J132" s="432" t="s">
        <v>2319</v>
      </c>
      <c r="K132" s="432" t="s">
        <v>2317</v>
      </c>
      <c r="L132" s="433"/>
    </row>
  </sheetData>
  <autoFilter ref="$A$3:$L$132">
    <sortState ref="A3:L132">
      <sortCondition ref="F3:F132"/>
      <sortCondition ref="G3:G132"/>
      <sortCondition ref="A3:A132"/>
    </sortState>
  </autoFilter>
  <conditionalFormatting sqref="C4:E132">
    <cfRule type="cellIs" dxfId="4" priority="1" operator="equal">
      <formula>"N"</formula>
    </cfRule>
  </conditionalFormatting>
  <conditionalFormatting sqref="C4:E132">
    <cfRule type="cellIs" dxfId="1" priority="2" operator="equal">
      <formula>"Y"</formula>
    </cfRule>
  </conditionalFormatting>
  <conditionalFormatting sqref="J4:K132">
    <cfRule type="containsText" dxfId="2" priority="3" operator="containsText" text="~*">
      <formula>NOT(ISERROR(SEARCH(("~*"),(J4))))</formula>
    </cfRule>
  </conditionalFormatting>
  <conditionalFormatting sqref="J4:K132">
    <cfRule type="cellIs" dxfId="4" priority="4" operator="equal">
      <formula>"No"</formula>
    </cfRule>
  </conditionalFormatting>
  <conditionalFormatting sqref="J4:K132">
    <cfRule type="cellIs" dxfId="1" priority="5" operator="equal">
      <formula>"Yes"</formula>
    </cfRule>
  </conditionalFormatting>
  <hyperlinks>
    <hyperlink r:id="rId1" ref="B10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7E6B"/>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86"/>
    <col customWidth="1" min="2" max="2" width="1.14"/>
    <col customWidth="1" min="3" max="3" width="23.14"/>
    <col customWidth="1" min="4" max="4" width="15.14"/>
    <col customWidth="1" min="5" max="5" width="39.43"/>
  </cols>
  <sheetData>
    <row r="1">
      <c r="A1" s="438" t="s">
        <v>2393</v>
      </c>
      <c r="B1" s="439"/>
      <c r="C1" s="312" t="s">
        <v>2394</v>
      </c>
      <c r="D1" s="312" t="s">
        <v>1511</v>
      </c>
      <c r="E1" s="312" t="s">
        <v>2</v>
      </c>
    </row>
    <row r="2">
      <c r="A2" s="440" t="s">
        <v>2395</v>
      </c>
      <c r="B2" s="38"/>
      <c r="C2" s="38"/>
      <c r="D2" s="38"/>
      <c r="E2" s="38"/>
    </row>
    <row r="3">
      <c r="A3" s="441" t="s">
        <v>2396</v>
      </c>
      <c r="B3" s="88"/>
      <c r="C3" s="88"/>
      <c r="D3" s="88"/>
      <c r="E3" s="88"/>
    </row>
    <row r="4">
      <c r="A4" s="90"/>
      <c r="B4" s="91"/>
      <c r="C4" s="91"/>
      <c r="D4" s="91"/>
      <c r="E4" s="91"/>
    </row>
    <row r="5">
      <c r="A5" s="438" t="s">
        <v>2393</v>
      </c>
      <c r="B5" s="439"/>
      <c r="C5" s="312" t="s">
        <v>2394</v>
      </c>
      <c r="D5" s="312" t="s">
        <v>1511</v>
      </c>
      <c r="E5" s="312" t="s">
        <v>2</v>
      </c>
    </row>
    <row r="6">
      <c r="A6" s="442" t="s">
        <v>1524</v>
      </c>
      <c r="B6" s="443"/>
      <c r="C6" s="46" t="s">
        <v>1524</v>
      </c>
      <c r="D6" s="313">
        <f>(countif(D7:D173,"Y")/Rows(D7:D173))</f>
        <v>0</v>
      </c>
      <c r="E6" s="46" t="s">
        <v>1524</v>
      </c>
    </row>
    <row r="7">
      <c r="A7" s="444" t="str">
        <f>HYPERLINK("https://en.uesp.net/wiki/Skyrim:Aegisbane","Aegisbane")</f>
        <v>Aegisbane</v>
      </c>
      <c r="B7" s="445"/>
      <c r="C7" s="446" t="s">
        <v>2397</v>
      </c>
      <c r="D7" s="63" t="s">
        <v>132</v>
      </c>
      <c r="E7" s="53"/>
    </row>
    <row r="8">
      <c r="A8" s="447" t="str">
        <f>HYPERLINK("https://en.uesp.net/wiki/Skyrim:Dungeon_Delving_(Bandits)#Amren.27s_Family_Sword","Amren's Family Sword")</f>
        <v>Amren's Family Sword</v>
      </c>
      <c r="B8" s="448"/>
      <c r="C8" s="446" t="s">
        <v>2398</v>
      </c>
      <c r="D8" s="63" t="s">
        <v>132</v>
      </c>
      <c r="E8" s="53" t="s">
        <v>2399</v>
      </c>
    </row>
    <row r="9">
      <c r="A9" s="447" t="str">
        <f>HYPERLINK("https://en.uesp.net/wiki/Skyrim:Amulet_of_Articulation", "Amulet of Articulation")</f>
        <v>Amulet of Articulation</v>
      </c>
      <c r="B9" s="448"/>
      <c r="C9" s="446" t="s">
        <v>2400</v>
      </c>
      <c r="D9" s="63" t="s">
        <v>132</v>
      </c>
      <c r="E9" s="53"/>
    </row>
    <row r="10">
      <c r="A10" s="447" t="str">
        <f>HYPERLINK("https://en.uesp.net/wiki/Skyrim:Ancient_Helmet_of_the_Unburned","Ancient Helmet of the Unburned")</f>
        <v>Ancient Helmet of the Unburned</v>
      </c>
      <c r="B10" s="448"/>
      <c r="C10" s="446" t="s">
        <v>2401</v>
      </c>
      <c r="D10" s="63" t="s">
        <v>132</v>
      </c>
      <c r="E10" s="53"/>
    </row>
    <row r="11">
      <c r="A11" s="447" t="str">
        <f>HYPERLINK("https://en.uesp.net/wiki/Skyrim:Ancient_Shrouded_Armor","Ancient Shrouded Armor")</f>
        <v>Ancient Shrouded Armor</v>
      </c>
      <c r="B11" s="448"/>
      <c r="C11" s="446" t="s">
        <v>2402</v>
      </c>
      <c r="D11" s="63" t="s">
        <v>132</v>
      </c>
      <c r="E11" s="53"/>
    </row>
    <row r="12">
      <c r="A12" s="447" t="str">
        <f>HYPERLINK("https://en.uesp.net/wiki/Skyrim:Ancient_Shrouded_Boots","Ancient Shrouded Boots")</f>
        <v>Ancient Shrouded Boots</v>
      </c>
      <c r="B12" s="448"/>
      <c r="C12" s="446" t="s">
        <v>2403</v>
      </c>
      <c r="D12" s="63" t="s">
        <v>132</v>
      </c>
      <c r="E12" s="53"/>
    </row>
    <row r="13">
      <c r="A13" s="447" t="str">
        <f>HYPERLINK("https://en.uesp.net/wiki/Skyrim:Ancient_Shrouded_Cowl","Ancient Shrouded Cowl")</f>
        <v>Ancient Shrouded Cowl</v>
      </c>
      <c r="B13" s="448"/>
      <c r="C13" s="446" t="s">
        <v>2404</v>
      </c>
      <c r="D13" s="63" t="s">
        <v>132</v>
      </c>
      <c r="E13" s="53"/>
    </row>
    <row r="14">
      <c r="A14" s="447" t="str">
        <f>HYPERLINK("https://en.uesp.net/wiki/Skyrim:Ancient_Shrouded_Gloves","Ancient Shrouded Gloves")</f>
        <v>Ancient Shrouded Gloves</v>
      </c>
      <c r="B14" s="448"/>
      <c r="C14" s="446" t="s">
        <v>2405</v>
      </c>
      <c r="D14" s="63" t="s">
        <v>132</v>
      </c>
      <c r="E14" s="53"/>
    </row>
    <row r="15">
      <c r="A15" s="447" t="str">
        <f>HYPERLINK("https://en.uesp.net/wiki/Skyrim:Angi%27s_Bow","Angi's Bow")</f>
        <v>Angi's Bow</v>
      </c>
      <c r="B15" s="448"/>
      <c r="C15" s="446" t="s">
        <v>2406</v>
      </c>
      <c r="D15" s="63" t="s">
        <v>132</v>
      </c>
      <c r="E15" s="53"/>
    </row>
    <row r="16">
      <c r="A16" s="447" t="str">
        <f>HYPERLINK("https://en.uesp.net/wiki/Skyrim:Boots_(Arch-Mage)","Archmage's Boots")</f>
        <v>Archmage's Boots</v>
      </c>
      <c r="B16" s="448"/>
      <c r="C16" s="446" t="s">
        <v>2407</v>
      </c>
      <c r="D16" s="63" t="s">
        <v>132</v>
      </c>
      <c r="E16" s="53"/>
    </row>
    <row r="17">
      <c r="A17" s="447" t="str">
        <f>HYPERLINK("https://en.uesp.net/wiki/Skyrim:Archmage%27s_Robes","Archmage's Robes")</f>
        <v>Archmage's Robes</v>
      </c>
      <c r="B17" s="448"/>
      <c r="C17" s="446" t="s">
        <v>2407</v>
      </c>
      <c r="D17" s="63" t="s">
        <v>132</v>
      </c>
      <c r="E17" s="53"/>
    </row>
    <row r="18">
      <c r="A18" s="447" t="str">
        <f>HYPERLINK("https://en.uesp.net/wiki/Skyrim:Armor_of_the_Old_Gods","Armor of the Old Gods")</f>
        <v>Armor of the Old Gods</v>
      </c>
      <c r="B18" s="449"/>
      <c r="C18" s="446" t="s">
        <v>2402</v>
      </c>
      <c r="D18" s="63" t="s">
        <v>132</v>
      </c>
      <c r="E18" s="53" t="s">
        <v>2408</v>
      </c>
    </row>
    <row r="19">
      <c r="A19" s="447" t="str">
        <f>HYPERLINK("https://en.uesp.net/wiki/Skyrim:Quest_Items#Asgeir.27s_Wedding_Band","Asgeir's Wedding Band")</f>
        <v>Asgeir's Wedding Band</v>
      </c>
      <c r="B19" s="448"/>
      <c r="C19" s="446" t="s">
        <v>2409</v>
      </c>
      <c r="D19" s="63" t="s">
        <v>132</v>
      </c>
      <c r="E19" s="53" t="s">
        <v>2410</v>
      </c>
    </row>
    <row r="20">
      <c r="A20" s="447" t="str">
        <f>HYPERLINK("https://en.uesp.net/wiki/Skyrim:Azura%27s_Star","Azura's Star")</f>
        <v>Azura's Star</v>
      </c>
      <c r="B20" s="450"/>
      <c r="C20" s="446" t="s">
        <v>2411</v>
      </c>
      <c r="D20" s="63" t="s">
        <v>132</v>
      </c>
      <c r="E20" s="53"/>
    </row>
    <row r="21">
      <c r="A21" s="447" t="str">
        <f>HYPERLINK("https://en.uesp.net/wiki/Skyrim:The_Black_Star_(item)","Black Star")</f>
        <v>Black Star</v>
      </c>
      <c r="B21" s="450"/>
      <c r="C21" s="446" t="s">
        <v>2411</v>
      </c>
      <c r="D21" s="63" t="s">
        <v>132</v>
      </c>
      <c r="E21" s="53"/>
    </row>
    <row r="22">
      <c r="A22" s="447" t="str">
        <f>HYPERLINK("https://en.uesp.net/wiki/Skyrim:Blade_of_Sacrifice","Blade of Sacrifice")</f>
        <v>Blade of Sacrifice</v>
      </c>
      <c r="B22" s="448"/>
      <c r="C22" s="446" t="s">
        <v>2412</v>
      </c>
      <c r="D22" s="63" t="s">
        <v>132</v>
      </c>
      <c r="E22" s="53" t="s">
        <v>2413</v>
      </c>
    </row>
    <row r="23">
      <c r="A23" s="447" t="str">
        <f>HYPERLINK("https://en.uesp.net/wiki/Skyrim:Blade_of_Woe","Blade of Woe")</f>
        <v>Blade of Woe</v>
      </c>
      <c r="B23" s="448"/>
      <c r="C23" s="446" t="s">
        <v>2412</v>
      </c>
      <c r="D23" s="63" t="s">
        <v>132</v>
      </c>
      <c r="E23" s="53" t="s">
        <v>2414</v>
      </c>
    </row>
    <row r="24">
      <c r="A24" s="447" t="str">
        <f>HYPERLINK("https://en.uesp.net/wiki/Skyrim:Specialty_Gear#Blades_Armor","Blades Armor")</f>
        <v>Blades Armor</v>
      </c>
      <c r="B24" s="448"/>
      <c r="C24" s="446" t="s">
        <v>2415</v>
      </c>
      <c r="D24" s="63" t="s">
        <v>132</v>
      </c>
      <c r="E24" s="53"/>
    </row>
    <row r="25">
      <c r="A25" s="447" t="str">
        <f>HYPERLINK("https://en.uesp.net/wiki/Skyrim:Specialty_Gear#Blades_Boots","Blades Boots")</f>
        <v>Blades Boots</v>
      </c>
      <c r="B25" s="448"/>
      <c r="C25" s="446" t="s">
        <v>2416</v>
      </c>
      <c r="D25" s="63" t="s">
        <v>132</v>
      </c>
      <c r="E25" s="53"/>
    </row>
    <row r="26">
      <c r="A26" s="447" t="str">
        <f>HYPERLINK("https://en.uesp.net/wiki/Skyrim:Specialty_Gear#Blades_Gauntlets","Blades Gauntlets")</f>
        <v>Blades Gauntlets</v>
      </c>
      <c r="B26" s="448"/>
      <c r="C26" s="446" t="s">
        <v>2417</v>
      </c>
      <c r="D26" s="63" t="s">
        <v>132</v>
      </c>
      <c r="E26" s="53"/>
    </row>
    <row r="27">
      <c r="A27" s="447" t="str">
        <f>HYPERLINK("https://en.uesp.net/wiki/Skyrim:Specialty_Gear#Blades_Helmet","Blades Helmet")</f>
        <v>Blades Helmet</v>
      </c>
      <c r="B27" s="448"/>
      <c r="C27" s="446" t="s">
        <v>2418</v>
      </c>
      <c r="D27" s="63" t="s">
        <v>132</v>
      </c>
      <c r="E27" s="53"/>
    </row>
    <row r="28">
      <c r="A28" s="447" t="str">
        <f>HYPERLINK("https://en.uesp.net/wiki/Skyrim:Specialty_Gear#Blades_Shield","Blades Shield")</f>
        <v>Blades Shield</v>
      </c>
      <c r="B28" s="448"/>
      <c r="C28" s="446" t="s">
        <v>2419</v>
      </c>
      <c r="D28" s="63" t="s">
        <v>132</v>
      </c>
      <c r="E28" s="53"/>
    </row>
    <row r="29">
      <c r="A29" s="447" t="str">
        <f>HYPERLINK("https://en.uesp.net/wiki/Skyrim:Specialty_Gear#Blades_Sword","Blades Sword")</f>
        <v>Blades Sword</v>
      </c>
      <c r="B29" s="448"/>
      <c r="C29" s="446" t="s">
        <v>2420</v>
      </c>
      <c r="D29" s="63" t="s">
        <v>132</v>
      </c>
      <c r="E29" s="53"/>
    </row>
    <row r="30">
      <c r="A30" s="447" t="str">
        <f>HYPERLINK("https://en.uesp.net/wiki/Skyrim:Bloodthorn","Bloodthorn")</f>
        <v>Bloodthorn</v>
      </c>
      <c r="B30" s="448"/>
      <c r="C30" s="446" t="s">
        <v>2412</v>
      </c>
      <c r="D30" s="63" t="s">
        <v>132</v>
      </c>
      <c r="E30" s="53"/>
    </row>
    <row r="31">
      <c r="A31" s="447" t="str">
        <f>HYPERLINK("https://en.uesp.net/wiki/Skyrim:Bolar%27s_Oathblade","Bolar's Oathblade")</f>
        <v>Bolar's Oathblade</v>
      </c>
      <c r="B31" s="448"/>
      <c r="C31" s="446" t="s">
        <v>2398</v>
      </c>
      <c r="D31" s="63" t="s">
        <v>132</v>
      </c>
      <c r="E31" s="53"/>
    </row>
    <row r="32">
      <c r="A32" s="447" t="str">
        <f>HYPERLINK("https://en.uesp.net/wiki/Skyrim:Boots_of_the_Old_Gods","Boots of the Old Gods")</f>
        <v>Boots of the Old Gods</v>
      </c>
      <c r="B32" s="449"/>
      <c r="C32" s="446" t="s">
        <v>2403</v>
      </c>
      <c r="D32" s="63" t="s">
        <v>132</v>
      </c>
      <c r="E32" s="53"/>
    </row>
    <row r="33">
      <c r="A33" s="447" t="str">
        <f>HYPERLINK("https://en.uesp.net/wiki/Skyrim:Borvir%27s_Dagger","Borvir's Dagger")</f>
        <v>Borvir's Dagger</v>
      </c>
      <c r="B33" s="448"/>
      <c r="C33" s="446" t="s">
        <v>2412</v>
      </c>
      <c r="D33" s="63" t="s">
        <v>132</v>
      </c>
      <c r="E33" s="53"/>
    </row>
    <row r="34">
      <c r="A34" s="447" t="str">
        <f>HYPERLINK("https://en.uesp.net/wiki/Skyrim:Bow_of_the_Hunt","Bow of the Hunt")</f>
        <v>Bow of the Hunt</v>
      </c>
      <c r="B34" s="448"/>
      <c r="C34" s="446" t="s">
        <v>2406</v>
      </c>
      <c r="D34" s="63" t="s">
        <v>132</v>
      </c>
      <c r="E34" s="53"/>
    </row>
    <row r="35">
      <c r="A35" s="447" t="str">
        <f>HYPERLINK("https://en.uesp.net/wiki/Skyrim:Charmed_Necklace","Charmed Necklace")</f>
        <v>Charmed Necklace</v>
      </c>
      <c r="B35" s="448"/>
      <c r="C35" s="446" t="s">
        <v>2400</v>
      </c>
      <c r="D35" s="63" t="s">
        <v>132</v>
      </c>
      <c r="E35" s="53" t="s">
        <v>2421</v>
      </c>
    </row>
    <row r="36">
      <c r="A36" s="447" t="str">
        <f>HYPERLINK("https://en.uesp.net/wiki/Skyrim:Chillrend","Chillrend")</f>
        <v>Chillrend</v>
      </c>
      <c r="B36" s="448"/>
      <c r="C36" s="446" t="s">
        <v>2398</v>
      </c>
      <c r="D36" s="63" t="s">
        <v>132</v>
      </c>
      <c r="E36" s="53"/>
    </row>
    <row r="37">
      <c r="A37" s="447" t="str">
        <f>HYPERLINK("https://en.uesp.net/wiki/Skyrim:Cicero%27s_Boots","Cicero's Boots")</f>
        <v>Cicero's Boots</v>
      </c>
      <c r="B37" s="448"/>
      <c r="C37" s="446" t="s">
        <v>2407</v>
      </c>
      <c r="D37" s="63" t="s">
        <v>132</v>
      </c>
      <c r="E37" s="53" t="s">
        <v>2422</v>
      </c>
    </row>
    <row r="38">
      <c r="A38" s="447" t="str">
        <f>HYPERLINK("https://en.uesp.net/wiki/Skyrim:Cicero%27s_Clothes","Cicero's Clothes")</f>
        <v>Cicero's Clothes</v>
      </c>
      <c r="B38" s="448"/>
      <c r="C38" s="446" t="s">
        <v>2407</v>
      </c>
      <c r="D38" s="63" t="s">
        <v>132</v>
      </c>
      <c r="E38" s="53" t="s">
        <v>2423</v>
      </c>
    </row>
    <row r="39">
      <c r="A39" s="447" t="str">
        <f>HYPERLINK("https://en.uesp.net/wiki/Skyrim:Cicero%27s_Gloves","Cicero's Gloves")</f>
        <v>Cicero's Gloves</v>
      </c>
      <c r="B39" s="448"/>
      <c r="C39" s="446" t="s">
        <v>2407</v>
      </c>
      <c r="D39" s="63" t="s">
        <v>132</v>
      </c>
      <c r="E39" s="53" t="s">
        <v>2424</v>
      </c>
    </row>
    <row r="40">
      <c r="A40" s="447" t="str">
        <f>HYPERLINK("https://en.uesp.net/wiki/Skyrim:Cicero%27s_Hat","Cicero's Hat")</f>
        <v>Cicero's Hat</v>
      </c>
      <c r="B40" s="448"/>
      <c r="C40" s="446" t="s">
        <v>2407</v>
      </c>
      <c r="D40" s="63" t="s">
        <v>132</v>
      </c>
      <c r="E40" s="53" t="s">
        <v>2422</v>
      </c>
    </row>
    <row r="41">
      <c r="A41" s="447" t="str">
        <f>HYPERLINK("https://en.uesp.net/wiki/Skyrim:Dawnbreaker","Dawnbreaker")</f>
        <v>Dawnbreaker</v>
      </c>
      <c r="B41" s="448"/>
      <c r="C41" s="446" t="s">
        <v>2398</v>
      </c>
      <c r="D41" s="63" t="s">
        <v>132</v>
      </c>
      <c r="E41" s="53"/>
    </row>
    <row r="42">
      <c r="A42" s="447" t="str">
        <f>HYPERLINK("https://en.uesp.net/wiki/Skyrim:Diadem_of_the_Savant","Diadem of the Savant")</f>
        <v>Diadem of the Savant</v>
      </c>
      <c r="B42" s="448"/>
      <c r="C42" s="446" t="s">
        <v>2404</v>
      </c>
      <c r="D42" s="63" t="s">
        <v>132</v>
      </c>
      <c r="E42" s="53"/>
    </row>
    <row r="43">
      <c r="A43" s="447" t="str">
        <f>HYPERLINK("https://en.uesp.net/wiki/Skyrim:Dragon_Priest_Dagger","Dragon Priest Dagger")</f>
        <v>Dragon Priest Dagger</v>
      </c>
      <c r="B43" s="448"/>
      <c r="C43" s="446" t="s">
        <v>2412</v>
      </c>
      <c r="D43" s="63" t="s">
        <v>132</v>
      </c>
      <c r="E43" s="53"/>
    </row>
    <row r="44">
      <c r="A44" s="447" t="str">
        <f>HYPERLINK("https://en.uesp.net/wiki/Skyrim:Staves#Dragon_Priest_Staff","Dragon Priest Staff (Rahgot)")</f>
        <v>Dragon Priest Staff (Rahgot)</v>
      </c>
      <c r="B44" s="448"/>
      <c r="C44" s="446" t="s">
        <v>2425</v>
      </c>
      <c r="D44" s="63" t="s">
        <v>132</v>
      </c>
      <c r="E44" s="53"/>
    </row>
    <row r="45">
      <c r="A45" s="447" t="str">
        <f>HYPERLINK("https://en.uesp.net/wiki/Skyrim:Dragonbane","Dragonbane")</f>
        <v>Dragonbane</v>
      </c>
      <c r="B45" s="448"/>
      <c r="C45" s="446" t="s">
        <v>2398</v>
      </c>
      <c r="D45" s="63" t="s">
        <v>132</v>
      </c>
      <c r="E45" s="53"/>
    </row>
    <row r="46">
      <c r="A46" s="444" t="str">
        <f>HYPERLINK("https://en.uesp.net/wiki/Skyrim:Drainblood_Battleaxe","Drainblood Battleaxe")</f>
        <v>Drainblood Battleaxe</v>
      </c>
      <c r="B46" s="445"/>
      <c r="C46" s="446" t="s">
        <v>2426</v>
      </c>
      <c r="D46" s="63" t="s">
        <v>132</v>
      </c>
      <c r="E46" s="53"/>
    </row>
    <row r="47">
      <c r="A47" s="447" t="str">
        <f>HYPERLINK("https://en.uesp.net/wiki/Skyrim:Drainheart_Sword","Drainheart Sword")</f>
        <v>Drainheart Sword</v>
      </c>
      <c r="B47" s="448"/>
      <c r="C47" s="446" t="s">
        <v>2398</v>
      </c>
      <c r="D47" s="63" t="s">
        <v>132</v>
      </c>
      <c r="E47" s="53"/>
    </row>
    <row r="48">
      <c r="A48" s="447" t="str">
        <f>HYPERLINK("https://en.uesp.net/wiki/Skyrim:Drainspell_Bow","Drainspell Bow")</f>
        <v>Drainspell Bow</v>
      </c>
      <c r="B48" s="448"/>
      <c r="C48" s="446" t="s">
        <v>2406</v>
      </c>
      <c r="D48" s="63" t="s">
        <v>132</v>
      </c>
      <c r="E48" s="53"/>
    </row>
    <row r="49">
      <c r="A49" s="447" t="str">
        <f>HYPERLINK("https://en.uesp.net/wiki/Skyrim:Ebony_Blade","Ebony Blade")</f>
        <v>Ebony Blade</v>
      </c>
      <c r="B49" s="448"/>
      <c r="C49" s="446" t="s">
        <v>2427</v>
      </c>
      <c r="D49" s="63" t="s">
        <v>132</v>
      </c>
      <c r="E49" s="53"/>
    </row>
    <row r="50">
      <c r="A50" s="447" t="str">
        <f>HYPERLINK("https://en.uesp.net/wiki/Skyrim:Ebony_Mail","Ebony Mail")</f>
        <v>Ebony Mail</v>
      </c>
      <c r="B50" s="448"/>
      <c r="C50" s="446" t="s">
        <v>2415</v>
      </c>
      <c r="D50" s="63" t="s">
        <v>132</v>
      </c>
      <c r="E50" s="53"/>
    </row>
    <row r="51">
      <c r="A51" s="447" t="str">
        <f>HYPERLINK("https://en.uesp.net/wiki/Skyrim:Eduj","Eduj")</f>
        <v>Eduj</v>
      </c>
      <c r="B51" s="448"/>
      <c r="C51" s="446" t="s">
        <v>2398</v>
      </c>
      <c r="D51" s="63" t="s">
        <v>132</v>
      </c>
      <c r="E51" s="53"/>
    </row>
    <row r="52">
      <c r="A52" s="447" t="str">
        <f>HYPERLINK("https://en.uesp.net/wiki/Skyrim:Clothing#00015516","Emperor's Robes")</f>
        <v>Emperor's Robes</v>
      </c>
      <c r="B52" s="448"/>
      <c r="C52" s="446" t="s">
        <v>2407</v>
      </c>
      <c r="D52" s="63" t="s">
        <v>132</v>
      </c>
      <c r="E52" s="53" t="s">
        <v>2428</v>
      </c>
    </row>
    <row r="53">
      <c r="A53" s="447" t="str">
        <f>HYPERLINK("https://en.uesp.net/wiki/Skyrim:Enchanted_Ring","Enchanted Ring")</f>
        <v>Enchanted Ring</v>
      </c>
      <c r="B53" s="448"/>
      <c r="C53" s="446" t="s">
        <v>2409</v>
      </c>
      <c r="D53" s="63" t="s">
        <v>132</v>
      </c>
      <c r="E53" s="53" t="s">
        <v>2429</v>
      </c>
    </row>
    <row r="54">
      <c r="A54" s="447" t="str">
        <f>HYPERLINK("https://en.uesp.net/wiki/Skyrim:Execution_Hood","Execution Hood")</f>
        <v>Execution Hood</v>
      </c>
      <c r="B54" s="448"/>
      <c r="C54" s="446" t="s">
        <v>2407</v>
      </c>
      <c r="D54" s="63" t="s">
        <v>132</v>
      </c>
      <c r="E54" s="53" t="s">
        <v>2430</v>
      </c>
    </row>
    <row r="55">
      <c r="A55" s="447" t="str">
        <f>HYPERLINK("https://en.uesp.net/wiki/Skyrim:Staves#Eye_of_Melka","Eye of Melka")</f>
        <v>Eye of Melka</v>
      </c>
      <c r="B55" s="448"/>
      <c r="C55" s="446" t="s">
        <v>2425</v>
      </c>
      <c r="D55" s="63" t="s">
        <v>132</v>
      </c>
      <c r="E55" s="53"/>
    </row>
    <row r="56">
      <c r="A56" s="447" t="str">
        <f>HYPERLINK("https://en.uesp.net/wiki/Skyrim:Firiniel%27s_End","Firiniel's End")</f>
        <v>Firiniel's End</v>
      </c>
      <c r="B56" s="448"/>
      <c r="C56" s="446" t="s">
        <v>2406</v>
      </c>
      <c r="D56" s="63" t="s">
        <v>132</v>
      </c>
      <c r="E56" s="53"/>
    </row>
    <row r="57">
      <c r="A57" s="447" t="str">
        <f>HYPERLINK("https://en.uesp.net/wiki/Skyrim:Quest_Items#Fjola.27s_Wedding_Band","Fjola's Wedding Band")</f>
        <v>Fjola's Wedding Band</v>
      </c>
      <c r="B57" s="448"/>
      <c r="C57" s="446" t="s">
        <v>2409</v>
      </c>
      <c r="D57" s="63" t="s">
        <v>132</v>
      </c>
      <c r="E57" s="53" t="s">
        <v>2431</v>
      </c>
    </row>
    <row r="58">
      <c r="A58" s="447" t="str">
        <f>HYPERLINK("https://en.uesp.net/wiki/Skyrim:Froki%27s_Bow","Froki's Bow")</f>
        <v>Froki's Bow</v>
      </c>
      <c r="B58" s="448"/>
      <c r="C58" s="446" t="s">
        <v>2406</v>
      </c>
      <c r="D58" s="63" t="s">
        <v>132</v>
      </c>
      <c r="E58" s="53"/>
    </row>
    <row r="59">
      <c r="A59" s="447" t="str">
        <f>HYPERLINK("https://en.uesp.net/wiki/Skyrim:Staves#Gadnor.27s_Staff_of_Charming","Gadnor's Staff of Charming")</f>
        <v>Gadnor's Staff of Charming</v>
      </c>
      <c r="B59" s="448"/>
      <c r="C59" s="446" t="s">
        <v>2425</v>
      </c>
      <c r="D59" s="63" t="s">
        <v>132</v>
      </c>
      <c r="E59" s="53"/>
    </row>
    <row r="60">
      <c r="A60" s="451" t="str">
        <f>HYPERLINK("https://en.uesp.net/wiki/Skyrim:Gauldur_Blackblade","Gauldur Blackblade")</f>
        <v>Gauldur Blackblade</v>
      </c>
      <c r="B60" s="452"/>
      <c r="C60" s="453" t="s">
        <v>2398</v>
      </c>
      <c r="D60" s="63" t="s">
        <v>132</v>
      </c>
      <c r="E60" s="53"/>
    </row>
    <row r="61">
      <c r="A61" s="447" t="str">
        <f>HYPERLINK("https://en.uesp.net/wiki/Skyrim:Gauldur_Blackbow","Gauldur Blackbow")</f>
        <v>Gauldur Blackbow</v>
      </c>
      <c r="B61" s="448"/>
      <c r="C61" s="446" t="s">
        <v>2406</v>
      </c>
      <c r="D61" s="63" t="s">
        <v>132</v>
      </c>
      <c r="E61" s="53"/>
    </row>
    <row r="62">
      <c r="A62" s="447" t="str">
        <f>HYPERLINK("https://en.uesp.net/wiki/Skyrim:Gauntlets_of_the_Old_Gods","Gauntlets of the Old Gods")</f>
        <v>Gauntlets of the Old Gods</v>
      </c>
      <c r="B62" s="449"/>
      <c r="C62" s="446" t="s">
        <v>2405</v>
      </c>
      <c r="D62" s="63" t="s">
        <v>132</v>
      </c>
      <c r="E62" s="53"/>
    </row>
    <row r="63">
      <c r="A63" s="444" t="str">
        <f>HYPERLINK("https://en.uesp.net/wiki/Skyrim:General_Tullius%27_Armor","General Tullius' Armor")</f>
        <v>General Tullius' Armor</v>
      </c>
      <c r="B63" s="454"/>
      <c r="C63" s="446" t="s">
        <v>2415</v>
      </c>
      <c r="D63" s="63" t="s">
        <v>132</v>
      </c>
      <c r="E63" s="53"/>
    </row>
    <row r="64">
      <c r="A64" s="447" t="str">
        <f>HYPERLINK("https://en.uesp.net/wiki/Skyrim:Ghostblade","Ghostblade")</f>
        <v>Ghostblade</v>
      </c>
      <c r="B64" s="448"/>
      <c r="C64" s="446" t="s">
        <v>2398</v>
      </c>
      <c r="D64" s="63" t="s">
        <v>132</v>
      </c>
      <c r="E64" s="53"/>
    </row>
    <row r="65">
      <c r="A65" s="447" t="str">
        <f>HYPERLINK("https://en.uesp.net/wiki/Skyrim:Gilded_Wristguards","Gilded Wristguards")</f>
        <v>Gilded Wristguards</v>
      </c>
      <c r="B65" s="448"/>
      <c r="C65" s="446" t="s">
        <v>2405</v>
      </c>
      <c r="D65" s="63" t="s">
        <v>132</v>
      </c>
      <c r="E65" s="53"/>
    </row>
    <row r="66">
      <c r="A66" s="447" t="str">
        <f>HYPERLINK("https://en.uesp.net/wiki/Skyrim:Gloves_of_the_Pugilist","Gloves of the Pugilist")</f>
        <v>Gloves of the Pugilist</v>
      </c>
      <c r="B66" s="448"/>
      <c r="C66" s="446" t="s">
        <v>2405</v>
      </c>
      <c r="D66" s="63" t="s">
        <v>132</v>
      </c>
      <c r="E66" s="53" t="s">
        <v>2432</v>
      </c>
    </row>
    <row r="67">
      <c r="A67" s="447" t="str">
        <f>HYPERLINK("https://en.uesp.net/wiki/Skyrim:Guild_Master%27s_Armor","Guild Master's Armor")</f>
        <v>Guild Master's Armor</v>
      </c>
      <c r="B67" s="448"/>
      <c r="C67" s="446" t="s">
        <v>2402</v>
      </c>
      <c r="D67" s="63" t="s">
        <v>132</v>
      </c>
      <c r="E67" s="53"/>
    </row>
    <row r="68">
      <c r="A68" s="447" t="str">
        <f>HYPERLINK("https://en.uesp.net/wiki/Skyrim:Guild_Master%27s_Boots","Guild Master's Boots")</f>
        <v>Guild Master's Boots</v>
      </c>
      <c r="B68" s="448"/>
      <c r="C68" s="446" t="s">
        <v>2403</v>
      </c>
      <c r="D68" s="63" t="s">
        <v>132</v>
      </c>
      <c r="E68" s="53"/>
    </row>
    <row r="69">
      <c r="A69" s="447" t="str">
        <f>HYPERLINK("https://en.uesp.net/wiki/Skyrim:Guild_Master%27s_Gloves","Guild Master's Gloves")</f>
        <v>Guild Master's Gloves</v>
      </c>
      <c r="B69" s="448"/>
      <c r="C69" s="446" t="s">
        <v>2405</v>
      </c>
      <c r="D69" s="63" t="s">
        <v>132</v>
      </c>
      <c r="E69" s="53"/>
    </row>
    <row r="70">
      <c r="A70" s="447" t="str">
        <f>HYPERLINK("https://en.uesp.net/wiki/Skyrim:Guild_Master%27s_Hood","Guild Master's Hood")</f>
        <v>Guild Master's Hood</v>
      </c>
      <c r="B70" s="448"/>
      <c r="C70" s="446" t="s">
        <v>2404</v>
      </c>
      <c r="D70" s="63" t="s">
        <v>132</v>
      </c>
      <c r="E70" s="53"/>
    </row>
    <row r="71">
      <c r="A71" s="451" t="str">
        <f>HYPERLINK("https://en.uesp.net/wiki/Skyrim:Halldir's_Staff", "Halldir's Staff")</f>
        <v>Halldir's Staff</v>
      </c>
      <c r="B71" s="452"/>
      <c r="C71" s="453" t="s">
        <v>2425</v>
      </c>
      <c r="D71" s="63" t="s">
        <v>132</v>
      </c>
      <c r="E71" s="453"/>
    </row>
    <row r="72">
      <c r="A72" s="455" t="str">
        <f>HYPERLINK("https://en.uesp.net/wiki/Skyrim:Specialty_Gear#Headsman.27s_Axe","Headsman's Axe")</f>
        <v>Headsman's Axe</v>
      </c>
      <c r="B72" s="448"/>
      <c r="C72" s="456" t="s">
        <v>2433</v>
      </c>
      <c r="D72" s="63" t="s">
        <v>132</v>
      </c>
      <c r="E72" s="53" t="s">
        <v>2434</v>
      </c>
    </row>
    <row r="73">
      <c r="A73" s="447" t="str">
        <f>HYPERLINK("https://en.uesp.net/wiki/Skyrim:Quest_Items#Helm_of_Winterhold","Helm of Winterhold")</f>
        <v>Helm of Winterhold</v>
      </c>
      <c r="B73" s="448"/>
      <c r="C73" s="446" t="s">
        <v>2418</v>
      </c>
      <c r="D73" s="63" t="s">
        <v>132</v>
      </c>
      <c r="E73" s="53" t="s">
        <v>2399</v>
      </c>
    </row>
    <row r="74">
      <c r="A74" s="447" t="str">
        <f>HYPERLINK("https://en.uesp.net/wiki/Skyrim:Helm_of_Yngol","Helm of Yngol")</f>
        <v>Helm of Yngol</v>
      </c>
      <c r="B74" s="448"/>
      <c r="C74" s="446" t="s">
        <v>2418</v>
      </c>
      <c r="D74" s="63" t="s">
        <v>132</v>
      </c>
      <c r="E74" s="53"/>
    </row>
    <row r="75">
      <c r="A75" s="447" t="str">
        <f>HYPERLINK("https://en.uesp.net/wiki/Skyrim:Helmet_of_the_Old_Gods","Helmet of the Old Gods")</f>
        <v>Helmet of the Old Gods</v>
      </c>
      <c r="B75" s="449"/>
      <c r="C75" s="446" t="s">
        <v>2404</v>
      </c>
      <c r="D75" s="63" t="s">
        <v>132</v>
      </c>
      <c r="E75" s="53"/>
    </row>
    <row r="76">
      <c r="A76" s="447" t="str">
        <f>HYPERLINK("https://en.uesp.net/wiki/Skyrim:Hevnoraak_(item)","Hevnoraak")</f>
        <v>Hevnoraak</v>
      </c>
      <c r="B76" s="448"/>
      <c r="C76" s="446" t="s">
        <v>2418</v>
      </c>
      <c r="D76" s="63" t="s">
        <v>132</v>
      </c>
      <c r="E76" s="53"/>
    </row>
    <row r="77">
      <c r="A77" s="451" t="str">
        <f>HYPERLINK("https://en.uesp.net/wiki/Skyrim:Hevnoraak's_Staff", "Hevnoraak's Staff")</f>
        <v>Hevnoraak's Staff</v>
      </c>
      <c r="B77" s="452"/>
      <c r="C77" s="453" t="s">
        <v>2425</v>
      </c>
      <c r="D77" s="63" t="s">
        <v>132</v>
      </c>
      <c r="E77" s="453"/>
    </row>
    <row r="78">
      <c r="A78" s="447" t="str">
        <f>HYPERLINK("https://en.uesp.net/wiki/Skyrim:Quest_Items#Hrolfdir.27s_Shield","Hrolfdir's Shield")</f>
        <v>Hrolfdir's Shield</v>
      </c>
      <c r="B78" s="448"/>
      <c r="C78" s="446" t="s">
        <v>2419</v>
      </c>
      <c r="D78" s="63" t="s">
        <v>132</v>
      </c>
      <c r="E78" s="53" t="s">
        <v>2399</v>
      </c>
    </row>
    <row r="79">
      <c r="A79" s="447" t="str">
        <f>HYPERLINK("https://en.uesp.net/wiki/Skyrim:Ilas-Tei%27s_Ring","Ilas-Tei's Ring")</f>
        <v>Ilas-Tei's Ring</v>
      </c>
      <c r="B79" s="448"/>
      <c r="C79" s="446" t="s">
        <v>2409</v>
      </c>
      <c r="D79" s="63" t="s">
        <v>132</v>
      </c>
      <c r="E79" s="53"/>
    </row>
    <row r="80">
      <c r="A80" s="447" t="str">
        <f>HYPERLINK("https://en.uesp.net/wiki/Skyrim:Ironhand_Gauntlets","Ironhand Gauntlets")</f>
        <v>Ironhand Gauntlets</v>
      </c>
      <c r="B80" s="448"/>
      <c r="C80" s="446" t="s">
        <v>2417</v>
      </c>
      <c r="D80" s="63" t="s">
        <v>132</v>
      </c>
      <c r="E80" s="53"/>
    </row>
    <row r="81">
      <c r="A81" s="451" t="str">
        <f>HYPERLINK("https://en.uesp.net/wiki/Skyrim:Quest_Items#Kahvozein.27s_Fang","Kahvozein's Fang")</f>
        <v>Kahvozein's Fang</v>
      </c>
      <c r="B81" s="452"/>
      <c r="C81" s="453" t="s">
        <v>2412</v>
      </c>
      <c r="D81" s="63" t="s">
        <v>132</v>
      </c>
      <c r="E81" s="457"/>
    </row>
    <row r="82">
      <c r="A82" s="447" t="str">
        <f>HYPERLINK("https://en.uesp.net/wiki/Skyrim:Keening","Keening")</f>
        <v>Keening</v>
      </c>
      <c r="B82" s="448"/>
      <c r="C82" s="446" t="s">
        <v>2412</v>
      </c>
      <c r="D82" s="63" t="s">
        <v>132</v>
      </c>
      <c r="E82" s="53"/>
    </row>
    <row r="83">
      <c r="A83" s="444" t="str">
        <f>HYPERLINK("https://en.uesp.net/wiki/Skyrim:Konahrik","Konahrik")</f>
        <v>Konahrik</v>
      </c>
      <c r="B83" s="445"/>
      <c r="C83" s="446" t="s">
        <v>2418</v>
      </c>
      <c r="D83" s="63" t="s">
        <v>132</v>
      </c>
      <c r="E83" s="53"/>
    </row>
    <row r="84">
      <c r="A84" s="447" t="str">
        <f>HYPERLINK("https://en.uesp.net/wiki/Skyrim:Krosis_(item)","Krosis")</f>
        <v>Krosis</v>
      </c>
      <c r="B84" s="448"/>
      <c r="C84" s="446" t="s">
        <v>2404</v>
      </c>
      <c r="D84" s="63" t="s">
        <v>132</v>
      </c>
      <c r="E84" s="53"/>
    </row>
    <row r="85">
      <c r="A85" s="447" t="str">
        <f>HYPERLINK("https://en.uesp.net/wiki/Skyrim:Kyne%27s_Token","Kyne's Token")</f>
        <v>Kyne's Token</v>
      </c>
      <c r="B85" s="448"/>
      <c r="C85" s="446" t="s">
        <v>2400</v>
      </c>
      <c r="D85" s="63" t="s">
        <v>132</v>
      </c>
      <c r="E85" s="53"/>
    </row>
    <row r="86">
      <c r="A86" s="447" t="str">
        <f>HYPERLINK("https://en.uesp.net/wiki/Skyrim:Linwe%27s_Armor","Linwe's Armor")</f>
        <v>Linwe's Armor</v>
      </c>
      <c r="B86" s="448"/>
      <c r="C86" s="446" t="s">
        <v>2402</v>
      </c>
      <c r="D86" s="63" t="s">
        <v>132</v>
      </c>
      <c r="E86" s="53"/>
    </row>
    <row r="87">
      <c r="A87" s="447" t="str">
        <f>HYPERLINK("https://en.uesp.net/wiki/Skyrim:Linwe%27s_Boots","Linwe's Boots")</f>
        <v>Linwe's Boots</v>
      </c>
      <c r="B87" s="448"/>
      <c r="C87" s="446" t="s">
        <v>2403</v>
      </c>
      <c r="D87" s="63" t="s">
        <v>132</v>
      </c>
      <c r="E87" s="53"/>
    </row>
    <row r="88">
      <c r="A88" s="447" t="str">
        <f>HYPERLINK("https://en.uesp.net/wiki/Skyrim:Linwe%27s_Gloves","Linwe's Gloves")</f>
        <v>Linwe's Gloves</v>
      </c>
      <c r="B88" s="448"/>
      <c r="C88" s="446" t="s">
        <v>2405</v>
      </c>
      <c r="D88" s="63" t="s">
        <v>132</v>
      </c>
      <c r="E88" s="53"/>
    </row>
    <row r="89">
      <c r="A89" s="447" t="str">
        <f>HYPERLINK("https://en.uesp.net/wiki/Skyrim:Linwe%27s_Hood","Linwe's Hood")</f>
        <v>Linwe's Hood</v>
      </c>
      <c r="B89" s="448"/>
      <c r="C89" s="446" t="s">
        <v>2404</v>
      </c>
      <c r="D89" s="63" t="s">
        <v>132</v>
      </c>
      <c r="E89" s="53"/>
    </row>
    <row r="90">
      <c r="A90" s="447" t="str">
        <f>HYPERLINK("https://en.uesp.net/wiki/Skyrim:Mace_of_Molag_Bal","Mace of Molag Bal")</f>
        <v>Mace of Molag Bal</v>
      </c>
      <c r="B90" s="448"/>
      <c r="C90" s="446" t="s">
        <v>2435</v>
      </c>
      <c r="D90" s="63" t="s">
        <v>132</v>
      </c>
      <c r="E90" s="53"/>
    </row>
    <row r="91">
      <c r="A91" s="451" t="str">
        <f>HYPERLINK("https://en.uesp.net/wiki/Skyrim:Mage's_Circlet", "Mage's Circlet")</f>
        <v>Mage's Circlet</v>
      </c>
      <c r="B91" s="452"/>
      <c r="C91" s="453" t="s">
        <v>2436</v>
      </c>
      <c r="D91" s="63" t="s">
        <v>132</v>
      </c>
      <c r="E91" s="453"/>
    </row>
    <row r="92">
      <c r="A92" s="447" t="str">
        <f>HYPERLINK("https://en.uesp.net/wiki/Skyrim:Masque_of_Clavicus_Vile","Masque of Clavicus Vile")</f>
        <v>Masque of Clavicus Vile</v>
      </c>
      <c r="B92" s="458"/>
      <c r="C92" s="446" t="s">
        <v>2418</v>
      </c>
      <c r="D92" s="63" t="s">
        <v>132</v>
      </c>
      <c r="E92" s="53"/>
    </row>
    <row r="93">
      <c r="A93" s="447" t="str">
        <f>HYPERLINK("https://en.uesp.net/wiki/Skyrim:Mehrunes%27_Razor","Mehrunes' Razor")</f>
        <v>Mehrunes' Razor</v>
      </c>
      <c r="B93" s="448"/>
      <c r="C93" s="446" t="s">
        <v>2412</v>
      </c>
      <c r="D93" s="63" t="s">
        <v>132</v>
      </c>
      <c r="E93" s="53"/>
    </row>
    <row r="94">
      <c r="A94" s="447" t="str">
        <f>HYPERLINK("https://en.uesp.net/wiki/Skyrim:Morokei_(item)","Morokei")</f>
        <v>Morokei</v>
      </c>
      <c r="B94" s="448"/>
      <c r="C94" s="446" t="s">
        <v>2404</v>
      </c>
      <c r="D94" s="63" t="s">
        <v>132</v>
      </c>
      <c r="E94" s="53"/>
    </row>
    <row r="95">
      <c r="A95" s="447" t="str">
        <f>HYPERLINK("https://en.uesp.net/wiki/Skyrim:Movarth%27s_Boots","Movarth's Boots")</f>
        <v>Movarth's Boots</v>
      </c>
      <c r="B95" s="448"/>
      <c r="C95" s="446" t="s">
        <v>2403</v>
      </c>
      <c r="D95" s="63" t="s">
        <v>132</v>
      </c>
      <c r="E95" s="53"/>
    </row>
    <row r="96">
      <c r="A96" s="447" t="str">
        <f>HYPERLINK("https://en.uesp.net/wiki/Skyrim:Muiri%27s_Ring","Muiri's Ring")</f>
        <v>Muiri's Ring</v>
      </c>
      <c r="B96" s="448"/>
      <c r="C96" s="446" t="s">
        <v>2409</v>
      </c>
      <c r="D96" s="63" t="s">
        <v>132</v>
      </c>
      <c r="E96" s="53"/>
    </row>
    <row r="97">
      <c r="A97" s="447" t="str">
        <f>HYPERLINK("https://en.uesp.net/wiki/Skyrim:Clothing#000b1460","Mythic Dawn Boots")</f>
        <v>Mythic Dawn Boots</v>
      </c>
      <c r="B97" s="448"/>
      <c r="C97" s="446" t="s">
        <v>2407</v>
      </c>
      <c r="D97" s="63" t="s">
        <v>132</v>
      </c>
      <c r="E97" s="53"/>
    </row>
    <row r="98">
      <c r="A98" s="447" t="str">
        <f>HYPERLINK("https://en.uesp.net/wiki/Skyrim:Clothing#000b145b","Mythic Dawn Gloves")</f>
        <v>Mythic Dawn Gloves</v>
      </c>
      <c r="B98" s="448"/>
      <c r="C98" s="446" t="s">
        <v>2407</v>
      </c>
      <c r="D98" s="63" t="s">
        <v>132</v>
      </c>
      <c r="E98" s="53"/>
    </row>
    <row r="99">
      <c r="A99" s="447" t="str">
        <f>HYPERLINK("https://en.uesp.net/wiki/Skyrim:Mythic_Dawn_Robes","Mythic Dawn Robes")</f>
        <v>Mythic Dawn Robes</v>
      </c>
      <c r="B99" s="448"/>
      <c r="C99" s="446" t="s">
        <v>2407</v>
      </c>
      <c r="D99" s="63" t="s">
        <v>132</v>
      </c>
      <c r="E99" s="53"/>
    </row>
    <row r="100">
      <c r="A100" s="447" t="str">
        <f>HYPERLINK("https://en.uesp.net/wiki/Skyrim:Nahkriin_(item)","Nahkriin")</f>
        <v>Nahkriin</v>
      </c>
      <c r="B100" s="448"/>
      <c r="C100" s="446" t="s">
        <v>2418</v>
      </c>
      <c r="D100" s="63" t="s">
        <v>132</v>
      </c>
      <c r="E100" s="53"/>
    </row>
    <row r="101">
      <c r="A101" s="447" t="str">
        <f>HYPERLINK("https://en.uesp.net/wiki/Skyrim:Necromancer_Amulet","Necromancer Amulet")</f>
        <v>Necromancer Amulet</v>
      </c>
      <c r="B101" s="448"/>
      <c r="C101" s="446" t="s">
        <v>2400</v>
      </c>
      <c r="D101" s="63" t="s">
        <v>132</v>
      </c>
      <c r="E101" s="53" t="s">
        <v>2437</v>
      </c>
    </row>
    <row r="102">
      <c r="A102" s="447" t="str">
        <f>HYPERLINK("https://en.uesp.net/wiki/Skyrim:Nettlebane","Nettlebane")</f>
        <v>Nettlebane</v>
      </c>
      <c r="B102" s="448"/>
      <c r="C102" s="446" t="s">
        <v>2412</v>
      </c>
      <c r="D102" s="63" t="s">
        <v>132</v>
      </c>
      <c r="E102" s="53"/>
    </row>
    <row r="103">
      <c r="A103" s="447" t="str">
        <f>HYPERLINK("https://en.uesp.net/wiki/Skyrim:Nightingale_Armor","Nightingale Armor")</f>
        <v>Nightingale Armor</v>
      </c>
      <c r="B103" s="448"/>
      <c r="C103" s="446" t="s">
        <v>2402</v>
      </c>
      <c r="D103" s="63" t="s">
        <v>132</v>
      </c>
      <c r="E103" s="53"/>
    </row>
    <row r="104">
      <c r="A104" s="447" t="str">
        <f>HYPERLINK("https://en.uesp.net/wiki/Skyrim:Nightingale_Blade","Nightingale Blade")</f>
        <v>Nightingale Blade</v>
      </c>
      <c r="B104" s="448"/>
      <c r="C104" s="446" t="s">
        <v>2398</v>
      </c>
      <c r="D104" s="63" t="s">
        <v>132</v>
      </c>
      <c r="E104" s="53"/>
    </row>
    <row r="105">
      <c r="A105" s="451" t="str">
        <f>HYPERLINK("https://en.uesp.net/wiki/Skyrim:Nightingale_Boots", "Nightingale Boots")</f>
        <v>Nightingale Boots</v>
      </c>
      <c r="B105" s="452"/>
      <c r="C105" s="453" t="s">
        <v>2402</v>
      </c>
      <c r="D105" s="63" t="s">
        <v>132</v>
      </c>
      <c r="E105" s="457"/>
    </row>
    <row r="106">
      <c r="A106" s="447" t="str">
        <f>HYPERLINK("https://en.uesp.net/wiki/Skyrim:Nightingale_Bow","Nightingale Bow")</f>
        <v>Nightingale Bow</v>
      </c>
      <c r="B106" s="448"/>
      <c r="C106" s="446" t="s">
        <v>2406</v>
      </c>
      <c r="D106" s="63" t="s">
        <v>132</v>
      </c>
      <c r="E106" s="53"/>
    </row>
    <row r="107">
      <c r="A107" s="451" t="str">
        <f>HYPERLINK("https://en.uesp.net/wiki/Skyrim:Nightingale_Gloves", "Nightingale Gloves")</f>
        <v>Nightingale Gloves</v>
      </c>
      <c r="B107" s="452"/>
      <c r="C107" s="453" t="s">
        <v>2402</v>
      </c>
      <c r="D107" s="63" t="s">
        <v>132</v>
      </c>
      <c r="E107" s="457"/>
    </row>
    <row r="108">
      <c r="A108" s="451" t="str">
        <f>HYPERLINK("https://en.uesp.net/wiki/Skyrim:Nightingale_Hood", "Nightingale Hood")</f>
        <v>Nightingale Hood</v>
      </c>
      <c r="B108" s="452"/>
      <c r="C108" s="453" t="s">
        <v>2402</v>
      </c>
      <c r="D108" s="63" t="s">
        <v>132</v>
      </c>
      <c r="E108" s="457"/>
    </row>
    <row r="109">
      <c r="A109" s="447" t="str">
        <f>HYPERLINK("https://en.uesp.net/wiki/Skyrim:Nightweaver%27s_Band","Nightweaver's Band")</f>
        <v>Nightweaver's Band</v>
      </c>
      <c r="B109" s="448"/>
      <c r="C109" s="446" t="s">
        <v>2409</v>
      </c>
      <c r="D109" s="63" t="s">
        <v>132</v>
      </c>
      <c r="E109" s="53"/>
    </row>
    <row r="110">
      <c r="A110" s="447" t="str">
        <f>HYPERLINK("https://en.uesp.net/wiki/Skyrim:Quest_Items#Noster.27s_Helmet","Noster's Helmet")</f>
        <v>Noster's Helmet</v>
      </c>
      <c r="B110" s="448"/>
      <c r="C110" s="446" t="s">
        <v>2404</v>
      </c>
      <c r="D110" s="63" t="s">
        <v>132</v>
      </c>
      <c r="E110" s="53" t="s">
        <v>2399</v>
      </c>
    </row>
    <row r="111">
      <c r="A111" s="447" t="str">
        <f>HYPERLINK("https://en.uesp.net/wiki/Skyrim:Notched_Pickaxe","Notched Pickaxe")</f>
        <v>Notched Pickaxe</v>
      </c>
      <c r="B111" s="448"/>
      <c r="C111" s="446" t="s">
        <v>2438</v>
      </c>
      <c r="D111" s="63" t="s">
        <v>132</v>
      </c>
      <c r="E111" s="53" t="s">
        <v>2439</v>
      </c>
    </row>
    <row r="112">
      <c r="A112" s="447" t="str">
        <f>HYPERLINK("https://en.uesp.net/wiki/Skyrim:Oghma_Infinium","Oghma Infinium")</f>
        <v>Oghma Infinium</v>
      </c>
      <c r="B112" s="448"/>
      <c r="C112" s="446" t="s">
        <v>2440</v>
      </c>
      <c r="D112" s="63" t="s">
        <v>132</v>
      </c>
      <c r="E112" s="53"/>
    </row>
    <row r="113">
      <c r="A113" s="447" t="str">
        <f>HYPERLINK("https://en.uesp.net/wiki/Skyrim:Okin","Okin")</f>
        <v>Okin</v>
      </c>
      <c r="B113" s="448"/>
      <c r="C113" s="446" t="s">
        <v>2438</v>
      </c>
      <c r="D113" s="63" t="s">
        <v>132</v>
      </c>
      <c r="E113" s="53"/>
    </row>
    <row r="114">
      <c r="A114" s="447" t="str">
        <f>HYPERLINK("https://en.uesp.net/wiki/Skyrim:Otar","Otar")</f>
        <v>Otar</v>
      </c>
      <c r="B114" s="448"/>
      <c r="C114" s="459" t="s">
        <v>2418</v>
      </c>
      <c r="D114" s="63" t="s">
        <v>132</v>
      </c>
      <c r="E114" s="53"/>
    </row>
    <row r="115">
      <c r="A115" s="447" t="str">
        <f>HYPERLINK("https://en.uesp.net/wiki/Skyrim:Poacher%27s_Axe","Poacher's Axe")</f>
        <v>Poacher's Axe</v>
      </c>
      <c r="B115" s="448"/>
      <c r="C115" s="446" t="s">
        <v>2438</v>
      </c>
      <c r="D115" s="63" t="s">
        <v>132</v>
      </c>
      <c r="E115" s="53" t="s">
        <v>2432</v>
      </c>
    </row>
    <row r="116">
      <c r="A116" s="447" t="str">
        <f>HYPERLINK("https://en.uesp.net/wiki/Skyrim:Predator%27s_Grace","Predator's Grace")</f>
        <v>Predator's Grace</v>
      </c>
      <c r="B116" s="448"/>
      <c r="C116" s="446" t="s">
        <v>2403</v>
      </c>
      <c r="D116" s="63" t="s">
        <v>132</v>
      </c>
      <c r="E116" s="53"/>
    </row>
    <row r="117">
      <c r="A117" s="447" t="str">
        <f>HYPERLINK("https://en.uesp.net/wiki/Skyrim:Quest_Items#Queen_Freydis.27s_Sword","Queen Freydis's Sword")</f>
        <v>Queen Freydis's Sword</v>
      </c>
      <c r="B117" s="448"/>
      <c r="C117" s="446" t="s">
        <v>2398</v>
      </c>
      <c r="D117" s="63" t="s">
        <v>132</v>
      </c>
      <c r="E117" s="53" t="s">
        <v>2399</v>
      </c>
    </row>
    <row r="118">
      <c r="A118" s="447" t="str">
        <f>HYPERLINK("https://en.uesp.net/wiki/Skyrim:Clothing#000e9eb5","Radiant Raiment Fine Clothes")</f>
        <v>Radiant Raiment Fine Clothes</v>
      </c>
      <c r="B118" s="448"/>
      <c r="C118" s="446" t="s">
        <v>2407</v>
      </c>
      <c r="D118" s="63" t="s">
        <v>132</v>
      </c>
      <c r="E118" s="53"/>
    </row>
    <row r="119">
      <c r="A119" s="447" t="str">
        <f>HYPERLINK("https://en.uesp.net/wiki/Skyrim:Rahgot_(item)","Rahgot")</f>
        <v>Rahgot</v>
      </c>
      <c r="B119" s="448"/>
      <c r="C119" s="459" t="s">
        <v>2418</v>
      </c>
      <c r="D119" s="63" t="s">
        <v>132</v>
      </c>
      <c r="E119" s="53"/>
    </row>
    <row r="120">
      <c r="A120" s="447" t="str">
        <f>HYPERLINK("https://en.uesp.net/wiki/Skyrim:Red_Eagle%27s_Bane","Red Eagle's Bane")</f>
        <v>Red Eagle's Bane</v>
      </c>
      <c r="B120" s="448"/>
      <c r="C120" s="446" t="s">
        <v>2398</v>
      </c>
      <c r="D120" s="63" t="s">
        <v>132</v>
      </c>
      <c r="E120" s="53"/>
    </row>
    <row r="121">
      <c r="A121" s="447" t="str">
        <f>HYPERLINK("https://en.uesp.net/wiki/Skyrim:Ring_of_Hircine","Ring of Hircine")</f>
        <v>Ring of Hircine</v>
      </c>
      <c r="B121" s="460"/>
      <c r="C121" s="446" t="s">
        <v>2409</v>
      </c>
      <c r="D121" s="63" t="s">
        <v>132</v>
      </c>
      <c r="E121" s="53" t="s">
        <v>2441</v>
      </c>
    </row>
    <row r="122">
      <c r="A122" s="447" t="str">
        <f>HYPERLINK("https://en.uesp.net/wiki/Skyrim:Ring_of_Namira","Ring of Namira")</f>
        <v>Ring of Namira</v>
      </c>
      <c r="B122" s="448"/>
      <c r="C122" s="446" t="s">
        <v>2409</v>
      </c>
      <c r="D122" s="63" t="s">
        <v>132</v>
      </c>
      <c r="E122" s="53"/>
    </row>
    <row r="123">
      <c r="A123" s="447" t="str">
        <f>HYPERLINK("https://en.uesp.net/wiki/Skyrim:Quest_Items#Ring_of_Pure_Mixtures","Ring of Pure Mixtures")</f>
        <v>Ring of Pure Mixtures</v>
      </c>
      <c r="B123" s="448"/>
      <c r="C123" s="446" t="s">
        <v>2409</v>
      </c>
      <c r="D123" s="63" t="s">
        <v>132</v>
      </c>
      <c r="E123" s="53" t="s">
        <v>2399</v>
      </c>
    </row>
    <row r="124">
      <c r="A124" s="447" t="str">
        <f>HYPERLINK("https://en.uesp.net/wiki/Skyrim:Quest_Items#Roggi.27s_Ancestral_Shield","Roggi's Ancestral Shield")</f>
        <v>Roggi's Ancestral Shield</v>
      </c>
      <c r="B124" s="448"/>
      <c r="C124" s="446" t="s">
        <v>2419</v>
      </c>
      <c r="D124" s="63" t="s">
        <v>132</v>
      </c>
      <c r="E124" s="53" t="s">
        <v>2399</v>
      </c>
    </row>
    <row r="125">
      <c r="A125" s="447" t="str">
        <f>HYPERLINK("https://en.uesp.net/wiki/Skyrim:Rundi%27s_Dagger","Rundi's Dagger")</f>
        <v>Rundi's Dagger</v>
      </c>
      <c r="B125" s="448"/>
      <c r="C125" s="446" t="s">
        <v>2412</v>
      </c>
      <c r="D125" s="63" t="s">
        <v>132</v>
      </c>
      <c r="E125" s="53"/>
    </row>
    <row r="126">
      <c r="A126" s="447" t="str">
        <f>HYPERLINK("https://en.uesp.net/wiki/Skyrim:Saarthal_Amulet","Saarthal Amulet")</f>
        <v>Saarthal Amulet</v>
      </c>
      <c r="B126" s="448"/>
      <c r="C126" s="446" t="s">
        <v>2400</v>
      </c>
      <c r="D126" s="63" t="s">
        <v>132</v>
      </c>
      <c r="E126" s="53"/>
    </row>
    <row r="127">
      <c r="A127" s="447" t="str">
        <f>HYPERLINK("https://en.uesp.net/wiki/Skyrim:Sanguine_Rose","Sanguine Rose")</f>
        <v>Sanguine Rose</v>
      </c>
      <c r="B127" s="448"/>
      <c r="C127" s="446" t="s">
        <v>2425</v>
      </c>
      <c r="D127" s="63" t="s">
        <v>132</v>
      </c>
      <c r="E127" s="53"/>
    </row>
    <row r="128">
      <c r="A128" s="447" t="str">
        <f>HYPERLINK("https://en.uesp.net/wiki/Skyrim:Savior%27s_Hide","Savior's Hide")</f>
        <v>Savior's Hide</v>
      </c>
      <c r="B128" s="460"/>
      <c r="C128" s="446" t="s">
        <v>2402</v>
      </c>
      <c r="D128" s="63" t="s">
        <v>132</v>
      </c>
      <c r="E128" s="53" t="s">
        <v>2442</v>
      </c>
    </row>
    <row r="129">
      <c r="A129" s="447" t="str">
        <f>HYPERLINK("https://en.uesp.net/wiki/Skyrim:Savos_Aren%27s_Amulet","Savos Aren's Amulet")</f>
        <v>Savos Aren's Amulet</v>
      </c>
      <c r="B129" s="448"/>
      <c r="C129" s="446" t="s">
        <v>2400</v>
      </c>
      <c r="D129" s="63" t="s">
        <v>132</v>
      </c>
      <c r="E129" s="53"/>
    </row>
    <row r="130">
      <c r="A130" s="447" t="str">
        <f>HYPERLINK("https://en.uesp.net/wiki/Skyrim:Dungeon_Delving_(Bandits)#Shahvee.27s_Amulet_of_Zenithar","Shahvee's Amulet of Zenithar")</f>
        <v>Shahvee's Amulet of Zenithar</v>
      </c>
      <c r="B130" s="448"/>
      <c r="C130" s="446" t="s">
        <v>2400</v>
      </c>
      <c r="D130" s="63" t="s">
        <v>132</v>
      </c>
      <c r="E130" s="53" t="s">
        <v>2399</v>
      </c>
    </row>
    <row r="131">
      <c r="A131" s="447" t="str">
        <f>HYPERLINK("https://en.uesp.net/wiki/Skyrim:Shield_of_Solitude","Shield of Solitude")</f>
        <v>Shield of Solitude</v>
      </c>
      <c r="B131" s="448"/>
      <c r="C131" s="446" t="s">
        <v>2419</v>
      </c>
      <c r="D131" s="63" t="s">
        <v>132</v>
      </c>
      <c r="E131" s="53"/>
    </row>
    <row r="132">
      <c r="A132" s="447" t="str">
        <f>HYPERLINK("https://en.uesp.net/wiki/Skyrim:Shield_of_Ysgramor","Shield of Ysgramor")</f>
        <v>Shield of Ysgramor</v>
      </c>
      <c r="B132" s="448"/>
      <c r="C132" s="446" t="s">
        <v>2419</v>
      </c>
      <c r="D132" s="63" t="s">
        <v>132</v>
      </c>
      <c r="E132" s="53"/>
    </row>
    <row r="133">
      <c r="A133" s="447" t="str">
        <f>HYPERLINK("https://en.uesp.net/wiki/Skyrim:Shiv_(item)","Shiv")</f>
        <v>Shiv</v>
      </c>
      <c r="B133" s="448"/>
      <c r="C133" s="446" t="s">
        <v>2412</v>
      </c>
      <c r="D133" s="63" t="s">
        <v>132</v>
      </c>
      <c r="E133" s="53"/>
    </row>
    <row r="134">
      <c r="A134" s="447" t="str">
        <f>HYPERLINK("https://en.uesp.net/wiki/Skyrim:Shrouded_Armor","Shrouded Armor")</f>
        <v>Shrouded Armor</v>
      </c>
      <c r="B134" s="448"/>
      <c r="C134" s="446" t="s">
        <v>2402</v>
      </c>
      <c r="D134" s="63" t="s">
        <v>132</v>
      </c>
      <c r="E134" s="53"/>
    </row>
    <row r="135">
      <c r="A135" s="447" t="str">
        <f>HYPERLINK("https://en.uesp.net/wiki/Skyrim:Shrouded_Boots","Shrouded Boots")</f>
        <v>Shrouded Boots</v>
      </c>
      <c r="B135" s="448"/>
      <c r="C135" s="446" t="s">
        <v>2403</v>
      </c>
      <c r="D135" s="63" t="s">
        <v>132</v>
      </c>
      <c r="E135" s="53"/>
    </row>
    <row r="136">
      <c r="A136" s="447" t="str">
        <f>HYPERLINK("https://en.uesp.net/wiki/Skyrim:Shrouded_Cowl","Shrouded Cowl")</f>
        <v>Shrouded Cowl</v>
      </c>
      <c r="B136" s="448"/>
      <c r="C136" s="446" t="s">
        <v>2404</v>
      </c>
      <c r="D136" s="63" t="s">
        <v>132</v>
      </c>
      <c r="E136" s="53"/>
    </row>
    <row r="137">
      <c r="A137" s="447" t="str">
        <f>HYPERLINK("https://en.uesp.net/wiki/Skyrim:Shrouded_Cowl","Shrouded Cowl Maskless")</f>
        <v>Shrouded Cowl Maskless</v>
      </c>
      <c r="B137" s="448"/>
      <c r="C137" s="446" t="s">
        <v>2404</v>
      </c>
      <c r="D137" s="63" t="s">
        <v>132</v>
      </c>
      <c r="E137" s="53"/>
    </row>
    <row r="138">
      <c r="A138" s="447" t="str">
        <f>HYPERLINK("https://en.uesp.net/wiki/Skyrim:Shrouded_Gloves","Shrouded Gloves")</f>
        <v>Shrouded Gloves</v>
      </c>
      <c r="B138" s="448"/>
      <c r="C138" s="446" t="s">
        <v>2405</v>
      </c>
      <c r="D138" s="63" t="s">
        <v>132</v>
      </c>
      <c r="E138" s="53"/>
    </row>
    <row r="139">
      <c r="A139" s="447" t="str">
        <f>HYPERLINK("https://en.uesp.net/wiki/Skyrim:Shrouded_Hand_Wraps","Shrouded Hand Wraps")</f>
        <v>Shrouded Hand Wraps</v>
      </c>
      <c r="B139" s="448"/>
      <c r="C139" s="446" t="s">
        <v>2407</v>
      </c>
      <c r="D139" s="63" t="s">
        <v>132</v>
      </c>
      <c r="E139" s="53"/>
    </row>
    <row r="140">
      <c r="A140" s="447" t="str">
        <f>HYPERLINK("https://en.uesp.net/wiki/Skyrim:Shrouded_Hood","Shrouded Hood")</f>
        <v>Shrouded Hood</v>
      </c>
      <c r="B140" s="448"/>
      <c r="C140" s="446" t="s">
        <v>2407</v>
      </c>
      <c r="D140" s="63" t="s">
        <v>132</v>
      </c>
      <c r="E140" s="53"/>
    </row>
    <row r="141">
      <c r="A141" s="447" t="str">
        <f>HYPERLINK("https://en.uesp.net/wiki/Skyrim:Shrouded_Robes","Shrouded Robes")</f>
        <v>Shrouded Robes</v>
      </c>
      <c r="B141" s="448"/>
      <c r="C141" s="446" t="s">
        <v>2407</v>
      </c>
      <c r="D141" s="63" t="s">
        <v>132</v>
      </c>
      <c r="E141" s="53"/>
    </row>
    <row r="142">
      <c r="A142" s="447" t="str">
        <f>HYPERLINK("https://en.uesp.net/wiki/Skyrim:Shrouded_Shoes","Shrouded Shoes")</f>
        <v>Shrouded Shoes</v>
      </c>
      <c r="B142" s="448"/>
      <c r="C142" s="446" t="s">
        <v>2407</v>
      </c>
      <c r="D142" s="63" t="s">
        <v>132</v>
      </c>
      <c r="E142" s="53"/>
    </row>
    <row r="143">
      <c r="A143" s="447" t="str">
        <f>HYPERLINK("https://en.uesp.net/wiki/Skyrim:Silver-Blood_Family_Ring","Silver-Blood Family Ring")</f>
        <v>Silver-Blood Family Ring</v>
      </c>
      <c r="B143" s="449"/>
      <c r="C143" s="446" t="s">
        <v>2409</v>
      </c>
      <c r="D143" s="63" t="s">
        <v>132</v>
      </c>
      <c r="E143" s="53" t="s">
        <v>2443</v>
      </c>
    </row>
    <row r="144">
      <c r="A144" s="447" t="str">
        <f>HYPERLINK("https://en.uesp.net/wiki/Skyrim:Skull_of_Corruption","Skull of Corruption")</f>
        <v>Skull of Corruption</v>
      </c>
      <c r="B144" s="448"/>
      <c r="C144" s="446" t="s">
        <v>2425</v>
      </c>
      <c r="D144" s="63" t="s">
        <v>132</v>
      </c>
      <c r="E144" s="53"/>
    </row>
    <row r="145">
      <c r="A145" s="447" t="str">
        <f>HYPERLINK("https://en.uesp.net/wiki/Skyrim:Spellbreaker","Spellbreaker")</f>
        <v>Spellbreaker</v>
      </c>
      <c r="B145" s="448"/>
      <c r="C145" s="446" t="s">
        <v>2419</v>
      </c>
      <c r="D145" s="63" t="s">
        <v>132</v>
      </c>
      <c r="E145" s="53"/>
    </row>
    <row r="146">
      <c r="A146" s="447" t="str">
        <f>HYPERLINK("https://en.uesp.net/wiki/Skyrim:Staves#Spider_Control_Rod","Spider Control Rod")</f>
        <v>Spider Control Rod</v>
      </c>
      <c r="B146" s="448"/>
      <c r="C146" s="446" t="s">
        <v>2425</v>
      </c>
      <c r="D146" s="63" t="s">
        <v>132</v>
      </c>
      <c r="E146" s="53" t="s">
        <v>2444</v>
      </c>
    </row>
    <row r="147">
      <c r="A147" s="451" t="str">
        <f>HYPERLINK("https://en.uesp.net/wiki/Skyrim:Staff_of_Hag's_Wrath", "Staff of Hag's Wrath")</f>
        <v>Staff of Hag's Wrath</v>
      </c>
      <c r="B147" s="452"/>
      <c r="C147" s="453" t="s">
        <v>2425</v>
      </c>
      <c r="D147" s="63" t="s">
        <v>132</v>
      </c>
      <c r="E147" s="453"/>
    </row>
    <row r="148">
      <c r="A148" s="451" t="str">
        <f>HYPERLINK("https://en.uesp.net/wiki/Skyrim:Staves#Staff_of_Jyrik_Gauldurson","Staff of Jyrik Gaudurson")</f>
        <v>Staff of Jyrik Gaudurson</v>
      </c>
      <c r="B148" s="452"/>
      <c r="C148" s="453" t="s">
        <v>2425</v>
      </c>
      <c r="D148" s="63" t="s">
        <v>132</v>
      </c>
      <c r="E148" s="457"/>
    </row>
    <row r="149">
      <c r="A149" s="444" t="str">
        <f>HYPERLINK("https://en.uesp.net/wiki/Skyrim:Staff_of_Magnus","Staff of Magnus")</f>
        <v>Staff of Magnus</v>
      </c>
      <c r="B149" s="448"/>
      <c r="C149" s="446" t="s">
        <v>2425</v>
      </c>
      <c r="D149" s="63" t="s">
        <v>132</v>
      </c>
      <c r="E149" s="53"/>
    </row>
    <row r="150">
      <c r="A150" s="447" t="str">
        <f>HYPERLINK("https://en.uesp.net/wiki/Skyrim:Steel_Battleaxe_of_Fiery_Souls","Steel Battleaxe of Fiery Souls")</f>
        <v>Steel Battleaxe of Fiery Souls</v>
      </c>
      <c r="B150" s="448"/>
      <c r="C150" s="446" t="s">
        <v>2426</v>
      </c>
      <c r="D150" s="63" t="s">
        <v>132</v>
      </c>
      <c r="E150" s="53" t="s">
        <v>2432</v>
      </c>
    </row>
    <row r="151">
      <c r="A151" s="447" t="str">
        <f>HYPERLINK("https://en.uesp.net/wiki/Skyrim:Targe_of_the_Blooded","Targe of the Blooded")</f>
        <v>Targe of the Blooded</v>
      </c>
      <c r="B151" s="448"/>
      <c r="C151" s="446" t="s">
        <v>2419</v>
      </c>
      <c r="D151" s="63" t="s">
        <v>132</v>
      </c>
      <c r="E151" s="53"/>
    </row>
    <row r="152">
      <c r="A152" s="447" t="str">
        <f>HYPERLINK("https://en.uesp.net/wiki/Skyrim:The_Bond_of_Matrimony","The Bond of Matrimony")</f>
        <v>The Bond of Matrimony</v>
      </c>
      <c r="B152" s="448"/>
      <c r="C152" s="446" t="s">
        <v>2409</v>
      </c>
      <c r="D152" s="63" t="s">
        <v>132</v>
      </c>
      <c r="E152" s="53"/>
    </row>
    <row r="153">
      <c r="A153" s="447" t="str">
        <f>HYPERLINK("https://en.uesp.net/wiki/Skyrim:The_Gauldur_Amulet","The Gauldur Amulet")</f>
        <v>The Gauldur Amulet</v>
      </c>
      <c r="B153" s="448"/>
      <c r="C153" s="446" t="s">
        <v>2400</v>
      </c>
      <c r="D153" s="63" t="s">
        <v>132</v>
      </c>
      <c r="E153" s="53"/>
    </row>
    <row r="154">
      <c r="A154" s="447" t="str">
        <f>HYPERLINK("https://en.uesp.net/wiki/Skyrim:The_Longhammer","The Longhammer")</f>
        <v>The Longhammer</v>
      </c>
      <c r="B154" s="448"/>
      <c r="C154" s="446" t="s">
        <v>2397</v>
      </c>
      <c r="D154" s="63" t="s">
        <v>132</v>
      </c>
      <c r="E154" s="53"/>
    </row>
    <row r="155">
      <c r="A155" s="451" t="str">
        <f>HYPERLINK("https://en.uesp.net/wiki/Skyrim:The_Pale_Blade", "The Pale Blade")</f>
        <v>The Pale Blade</v>
      </c>
      <c r="B155" s="452"/>
      <c r="C155" s="453" t="s">
        <v>2398</v>
      </c>
      <c r="D155" s="63" t="s">
        <v>132</v>
      </c>
      <c r="E155" s="453"/>
    </row>
    <row r="156">
      <c r="A156" s="447" t="str">
        <f>HYPERLINK("https://en.uesp.net/wiki/Skyrim:The_Rueful_Axe","The Rueful Axe")</f>
        <v>The Rueful Axe</v>
      </c>
      <c r="B156" s="458"/>
      <c r="C156" s="446" t="s">
        <v>2433</v>
      </c>
      <c r="D156" s="63" t="s">
        <v>132</v>
      </c>
      <c r="E156" s="53"/>
    </row>
    <row r="157">
      <c r="A157" s="447" t="str">
        <f>HYPERLINK("https://en.uesp.net/wiki/Skyrim:The_White_Phial_(item)","The White Phial")</f>
        <v>The White Phial</v>
      </c>
      <c r="B157" s="448"/>
      <c r="C157" s="446" t="s">
        <v>2445</v>
      </c>
      <c r="D157" s="63" t="s">
        <v>132</v>
      </c>
      <c r="E157" s="53"/>
    </row>
    <row r="158">
      <c r="A158" s="447" t="str">
        <f>HYPERLINK("https://en.uesp.net/wiki/Skyrim:The_Woodsman%27s_Friend","The Woodsman's Friend")</f>
        <v>The Woodsman's Friend</v>
      </c>
      <c r="B158" s="448"/>
      <c r="C158" s="446" t="s">
        <v>2426</v>
      </c>
      <c r="D158" s="63" t="s">
        <v>132</v>
      </c>
      <c r="E158" s="53"/>
    </row>
    <row r="159">
      <c r="A159" s="447" t="str">
        <f>HYPERLINK("https://en.uesp.net/wiki/Skyrim:Thieves_Guild_Armor","Thieves Guild Armor")</f>
        <v>Thieves Guild Armor</v>
      </c>
      <c r="B159" s="448"/>
      <c r="C159" s="446" t="s">
        <v>2402</v>
      </c>
      <c r="D159" s="63" t="s">
        <v>132</v>
      </c>
      <c r="E159" s="53"/>
    </row>
    <row r="160">
      <c r="A160" s="447" t="str">
        <f>HYPERLINK("https://en.uesp.net/wiki/Skyrim:Thieves_Guild_Boots","Thieves Guild Boots")</f>
        <v>Thieves Guild Boots</v>
      </c>
      <c r="B160" s="448"/>
      <c r="C160" s="446" t="s">
        <v>2403</v>
      </c>
      <c r="D160" s="63" t="s">
        <v>132</v>
      </c>
      <c r="E160" s="53" t="s">
        <v>2446</v>
      </c>
    </row>
    <row r="161">
      <c r="A161" s="447" t="str">
        <f>HYPERLINK("https://en.uesp.net/wiki/Skyrim:Thieves_Guild_Gloves","Thieves Guild Gloves")</f>
        <v>Thieves Guild Gloves</v>
      </c>
      <c r="B161" s="448"/>
      <c r="C161" s="446" t="s">
        <v>2405</v>
      </c>
      <c r="D161" s="63" t="s">
        <v>132</v>
      </c>
      <c r="E161" s="53" t="s">
        <v>2447</v>
      </c>
    </row>
    <row r="162">
      <c r="A162" s="447" t="str">
        <f>HYPERLINK("https://en.uesp.net/wiki/Skyrim:Thieves_Guild_Hood","Thieves Guild Hood")</f>
        <v>Thieves Guild Hood</v>
      </c>
      <c r="B162" s="448"/>
      <c r="C162" s="446" t="s">
        <v>2404</v>
      </c>
      <c r="D162" s="63" t="s">
        <v>132</v>
      </c>
      <c r="E162" s="53"/>
    </row>
    <row r="163">
      <c r="A163" s="447" t="str">
        <f>HYPERLINK("https://en.uesp.net/wiki/Skyrim:Trollsbane","Trollsbane")</f>
        <v>Trollsbane</v>
      </c>
      <c r="B163" s="448"/>
      <c r="C163" s="446" t="s">
        <v>2397</v>
      </c>
      <c r="D163" s="63" t="s">
        <v>132</v>
      </c>
      <c r="E163" s="53"/>
    </row>
    <row r="164">
      <c r="A164" s="447" t="str">
        <f>HYPERLINK("https://en.uesp.net/wiki/Skyrim:Tumblerbane_Gloves","Tumblerbane Glove")</f>
        <v>Tumblerbane Glove</v>
      </c>
      <c r="B164" s="448"/>
      <c r="C164" s="446" t="s">
        <v>2405</v>
      </c>
      <c r="D164" s="63" t="s">
        <v>132</v>
      </c>
      <c r="E164" s="53"/>
    </row>
    <row r="165">
      <c r="A165" s="447" t="str">
        <f>HYPERLINK("https://en.uesp.net/wiki/Skyrim:Clothing#0008698e","Ulfric's Boots")</f>
        <v>Ulfric's Boots</v>
      </c>
      <c r="B165" s="461"/>
      <c r="C165" s="446" t="s">
        <v>2407</v>
      </c>
      <c r="D165" s="63" t="s">
        <v>132</v>
      </c>
      <c r="E165" s="53"/>
    </row>
    <row r="166">
      <c r="A166" s="447" t="str">
        <f>HYPERLINK("https://en.uesp.net/wiki/Skyrim:Ulfric%27s_Bracers","Ulfric's Bracers")</f>
        <v>Ulfric's Bracers</v>
      </c>
      <c r="B166" s="461"/>
      <c r="C166" s="446" t="s">
        <v>2405</v>
      </c>
      <c r="D166" s="63" t="s">
        <v>132</v>
      </c>
      <c r="E166" s="53"/>
    </row>
    <row r="167">
      <c r="A167" s="447" t="str">
        <f>HYPERLINK("https://en.uesp.net/wiki/Skyrim:Ulfric%27s_Clothes","Ulfric's Clothes")</f>
        <v>Ulfric's Clothes</v>
      </c>
      <c r="B167" s="461"/>
      <c r="C167" s="446" t="s">
        <v>2407</v>
      </c>
      <c r="D167" s="63" t="s">
        <v>132</v>
      </c>
      <c r="E167" s="53"/>
    </row>
    <row r="168">
      <c r="A168" s="447" t="str">
        <f>HYPERLINK("https://en.uesp.net/wiki/Skyrim:Clothing#Vaermina_Robes","Vaermina Robes")</f>
        <v>Vaermina Robes</v>
      </c>
      <c r="B168" s="448"/>
      <c r="C168" s="446" t="s">
        <v>2407</v>
      </c>
      <c r="D168" s="63" t="s">
        <v>132</v>
      </c>
      <c r="E168" s="53"/>
    </row>
    <row r="169">
      <c r="A169" s="447" t="str">
        <f>HYPERLINK("https://en.uesp.net/wiki/Skyrim:Valdr%27s_Lucky_Dagger","Valdr's Lucky Dagger")</f>
        <v>Valdr's Lucky Dagger</v>
      </c>
      <c r="B169" s="448"/>
      <c r="C169" s="446" t="s">
        <v>2412</v>
      </c>
      <c r="D169" s="63" t="s">
        <v>132</v>
      </c>
      <c r="E169" s="53"/>
    </row>
    <row r="170">
      <c r="A170" s="447" t="str">
        <f>HYPERLINK("https://en.uesp.net/wiki/Skyrim:Vittoria%27s_Wedding_Band","Vittoria's Wedding Band")</f>
        <v>Vittoria's Wedding Band</v>
      </c>
      <c r="B170" s="448"/>
      <c r="C170" s="446" t="s">
        <v>2409</v>
      </c>
      <c r="D170" s="63" t="s">
        <v>132</v>
      </c>
      <c r="E170" s="53"/>
    </row>
    <row r="171">
      <c r="A171" s="447" t="str">
        <f>HYPERLINK("https://en.uesp.net/wiki/Skyrim:Vokun_(item)","Vokun")</f>
        <v>Vokun</v>
      </c>
      <c r="B171" s="448"/>
      <c r="C171" s="459" t="s">
        <v>2418</v>
      </c>
      <c r="D171" s="63" t="s">
        <v>132</v>
      </c>
      <c r="E171" s="53"/>
    </row>
    <row r="172">
      <c r="A172" s="447" t="str">
        <f>HYPERLINK("https://en.uesp.net/wiki/Skyrim:Volendrung","Volendrung")</f>
        <v>Volendrung</v>
      </c>
      <c r="B172" s="448"/>
      <c r="C172" s="446" t="s">
        <v>2448</v>
      </c>
      <c r="D172" s="63" t="s">
        <v>132</v>
      </c>
      <c r="E172" s="53"/>
    </row>
    <row r="173">
      <c r="A173" s="447" t="str">
        <f>HYPERLINK("https://en.uesp.net/wiki/Skyrim:Volsung_(item)","Volsung")</f>
        <v>Volsung</v>
      </c>
      <c r="B173" s="448"/>
      <c r="C173" s="446" t="s">
        <v>2404</v>
      </c>
      <c r="D173" s="63" t="s">
        <v>132</v>
      </c>
      <c r="E173" s="53"/>
    </row>
    <row r="174">
      <c r="A174" s="447" t="str">
        <f>HYPERLINK("https://en.uesp.net/wiki/Skyrim:Wabbajack","Wabbajack")</f>
        <v>Wabbajack</v>
      </c>
      <c r="B174" s="448"/>
      <c r="C174" s="446" t="s">
        <v>2425</v>
      </c>
      <c r="D174" s="63" t="s">
        <v>132</v>
      </c>
      <c r="E174" s="53"/>
    </row>
    <row r="175">
      <c r="A175" s="447" t="str">
        <f>HYPERLINK("https://en.uesp.net/wiki/Skyrim:Clothing#Wedding_Dress","Wedding Dress")</f>
        <v>Wedding Dress</v>
      </c>
      <c r="B175" s="448"/>
      <c r="C175" s="446" t="s">
        <v>2407</v>
      </c>
      <c r="D175" s="63" t="s">
        <v>132</v>
      </c>
      <c r="E175" s="53"/>
    </row>
    <row r="176">
      <c r="A176" s="447" t="str">
        <f>HYPERLINK("https://en.uesp.net/wiki/Skyrim:Clothing#Wedding_Sandals","Wedding Sandals")</f>
        <v>Wedding Sandals</v>
      </c>
      <c r="B176" s="448"/>
      <c r="C176" s="446" t="s">
        <v>2407</v>
      </c>
      <c r="D176" s="63" t="s">
        <v>132</v>
      </c>
      <c r="E176" s="53"/>
    </row>
    <row r="177">
      <c r="A177" s="447" t="str">
        <f>HYPERLINK("https://en.uesp.net/wiki/Skyrim:Clothing#Wedding_Wreath","Wedding Wreath")</f>
        <v>Wedding Wreath</v>
      </c>
      <c r="B177" s="448"/>
      <c r="C177" s="446" t="s">
        <v>2407</v>
      </c>
      <c r="D177" s="63" t="s">
        <v>132</v>
      </c>
      <c r="E177" s="53"/>
    </row>
    <row r="178">
      <c r="A178" s="447" t="str">
        <f>HYPERLINK("https://en.uesp.net/wiki/Skyrim:Windshear","Windshear")</f>
        <v>Windshear</v>
      </c>
      <c r="B178" s="448"/>
      <c r="C178" s="446" t="s">
        <v>2398</v>
      </c>
      <c r="D178" s="63" t="s">
        <v>132</v>
      </c>
      <c r="E178" s="53"/>
    </row>
    <row r="179">
      <c r="A179" s="447" t="str">
        <f>HYPERLINK("https://en.uesp.net/wiki/Skyrim:Wooden_Mask","Wooden Mask")</f>
        <v>Wooden Mask</v>
      </c>
      <c r="B179" s="448"/>
      <c r="C179" s="446" t="s">
        <v>2404</v>
      </c>
      <c r="D179" s="63" t="s">
        <v>132</v>
      </c>
      <c r="E179" s="53"/>
    </row>
    <row r="180">
      <c r="A180" s="447" t="str">
        <f>HYPERLINK("https://en.uesp.net/wiki/Skyrim:Wuuthrad","Wuuthrad")</f>
        <v>Wuuthrad</v>
      </c>
      <c r="B180" s="448"/>
      <c r="C180" s="456" t="s">
        <v>2433</v>
      </c>
      <c r="D180" s="63" t="s">
        <v>132</v>
      </c>
      <c r="E180" s="53"/>
    </row>
    <row r="181">
      <c r="A181" s="447" t="str">
        <f>HYPERLINK("https://en.uesp.net/wiki/Skyrim:Yisra%27s_Necklace","Yisra's Necklace")</f>
        <v>Yisra's Necklace</v>
      </c>
      <c r="B181" s="448"/>
      <c r="C181" s="446" t="s">
        <v>2400</v>
      </c>
      <c r="D181" s="63" t="s">
        <v>132</v>
      </c>
      <c r="E181" s="53"/>
    </row>
    <row r="182" ht="22.5" customHeight="1">
      <c r="A182" s="462"/>
      <c r="B182" s="463"/>
      <c r="C182" s="463"/>
      <c r="D182" s="463"/>
      <c r="E182" s="464"/>
    </row>
    <row r="183">
      <c r="A183" s="465" t="s">
        <v>2449</v>
      </c>
    </row>
    <row r="184">
      <c r="A184" s="90"/>
      <c r="B184" s="91"/>
      <c r="C184" s="91"/>
      <c r="D184" s="91"/>
      <c r="E184" s="91"/>
    </row>
    <row r="185">
      <c r="A185" s="438" t="s">
        <v>2393</v>
      </c>
      <c r="B185" s="439"/>
      <c r="C185" s="312" t="s">
        <v>2394</v>
      </c>
      <c r="D185" s="312" t="s">
        <v>1511</v>
      </c>
      <c r="E185" s="466"/>
    </row>
    <row r="186">
      <c r="A186" s="438" t="s">
        <v>1524</v>
      </c>
      <c r="B186" s="439"/>
      <c r="C186" s="312" t="s">
        <v>1524</v>
      </c>
      <c r="D186" s="467">
        <f>(countif(D187:D211,"Y")/Rows(D187:D211))</f>
        <v>0</v>
      </c>
      <c r="E186" s="468"/>
    </row>
    <row r="187" ht="18.75" customHeight="1">
      <c r="A187" s="469" t="str">
        <f>HYPERLINK("https://en.uesp.net/wiki/Skyrim:Aetherial_Crown","Aetherial Crown")</f>
        <v>Aetherial Crown</v>
      </c>
      <c r="B187" s="470"/>
      <c r="C187" s="446" t="s">
        <v>2436</v>
      </c>
      <c r="D187" s="63" t="s">
        <v>132</v>
      </c>
      <c r="E187" s="471"/>
    </row>
    <row r="188" ht="18.75" customHeight="1">
      <c r="A188" s="469" t="str">
        <f>HYPERLINK("https://en.uesp.net/wiki/Skyrim:Aetherial_Shield","Aetherial Shield")</f>
        <v>Aetherial Shield</v>
      </c>
      <c r="B188" s="470"/>
      <c r="C188" s="446" t="s">
        <v>2419</v>
      </c>
      <c r="D188" s="63" t="s">
        <v>132</v>
      </c>
      <c r="E188" s="471"/>
    </row>
    <row r="189" ht="18.75" customHeight="1">
      <c r="A189" s="469" t="str">
        <f>HYPERLINK("https://en.uesp.net/wiki/Skyrim:Aetherial_Staff","Aetherial Staff")</f>
        <v>Aetherial Staff</v>
      </c>
      <c r="B189" s="470"/>
      <c r="C189" s="446" t="s">
        <v>2425</v>
      </c>
      <c r="D189" s="63" t="s">
        <v>132</v>
      </c>
      <c r="E189" s="471"/>
    </row>
    <row r="190" ht="18.75" customHeight="1">
      <c r="A190" s="447" t="str">
        <f>HYPERLINK("https://en.uesp.net/wiki/Skyrim:Specialty_Gear#Akaviri_Sword","Akaviri Sword")</f>
        <v>Akaviri Sword</v>
      </c>
      <c r="B190" s="452"/>
      <c r="C190" s="446" t="s">
        <v>2398</v>
      </c>
      <c r="D190" s="63" t="s">
        <v>132</v>
      </c>
      <c r="E190" s="472" t="s">
        <v>2450</v>
      </c>
    </row>
    <row r="191" ht="18.75" customHeight="1">
      <c r="A191" s="469" t="str">
        <f>HYPERLINK("https://en.uesp.net/wiki/Skyrim:Amulet_of_Bats","Amulet of Bats")</f>
        <v>Amulet of Bats</v>
      </c>
      <c r="B191" s="473"/>
      <c r="C191" s="446" t="s">
        <v>2400</v>
      </c>
      <c r="D191" s="63" t="s">
        <v>132</v>
      </c>
      <c r="E191" s="471"/>
    </row>
    <row r="192" ht="18.75" customHeight="1">
      <c r="A192" s="469" t="str">
        <f>HYPERLINK("https://en.uesp.net/wiki/Skyrim:Amulet_of_The_Gargoyle","Amulet of The Gargoyle")</f>
        <v>Amulet of The Gargoyle</v>
      </c>
      <c r="B192" s="473"/>
      <c r="C192" s="446" t="s">
        <v>2400</v>
      </c>
      <c r="D192" s="63" t="s">
        <v>132</v>
      </c>
      <c r="E192" s="471"/>
    </row>
    <row r="193" ht="45.0" customHeight="1">
      <c r="A193" s="469" t="str">
        <f>HYPERLINK("https://en.uesp.net/wiki/Skyrim:Ancient_Falmer_Boots#Ancient_Falmer_Boots","Ancient Falmer Boots")</f>
        <v>Ancient Falmer Boots</v>
      </c>
      <c r="B193" s="474"/>
      <c r="C193" s="446" t="s">
        <v>2403</v>
      </c>
      <c r="D193" s="63" t="s">
        <v>132</v>
      </c>
      <c r="E193" s="475" t="s">
        <v>2451</v>
      </c>
    </row>
    <row r="194" ht="18.75" customHeight="1">
      <c r="A194" s="469" t="str">
        <f>HYPERLINK("https://en.uesp.net/wiki/Skyrim:Ancient_Falmer_Boots#Ancient_Falmer_Boots","Ancient Falmer Cuirass")</f>
        <v>Ancient Falmer Cuirass</v>
      </c>
      <c r="B194" s="474"/>
      <c r="C194" s="446" t="s">
        <v>2402</v>
      </c>
      <c r="D194" s="63" t="s">
        <v>132</v>
      </c>
      <c r="E194" s="471"/>
    </row>
    <row r="195" ht="18.75" customHeight="1">
      <c r="A195" s="469" t="str">
        <f>HYPERLINK("https://en.uesp.net/wiki/Skyrim:Ancient_Falmer_Boots#Ancient_Falmer_Boots","Ancient Falmer Gauntlets")</f>
        <v>Ancient Falmer Gauntlets</v>
      </c>
      <c r="B195" s="474"/>
      <c r="C195" s="446" t="s">
        <v>2405</v>
      </c>
      <c r="D195" s="63" t="s">
        <v>132</v>
      </c>
      <c r="E195" s="471"/>
    </row>
    <row r="196" ht="18.75" customHeight="1">
      <c r="A196" s="469" t="str">
        <f>HYPERLINK("https://en.uesp.net/wiki/Skyrim:Auriel%27s_Bow","Auriel's Bow")</f>
        <v>Auriel's Bow</v>
      </c>
      <c r="B196" s="474"/>
      <c r="C196" s="446" t="s">
        <v>2406</v>
      </c>
      <c r="D196" s="63" t="s">
        <v>132</v>
      </c>
      <c r="E196" s="471"/>
    </row>
    <row r="197" ht="18.75" customHeight="1">
      <c r="A197" s="469" t="str">
        <f>HYPERLINK("https://en.uesp.net/wiki/Skyrim:Auriel%27s_Shield","Auriel's Shield")</f>
        <v>Auriel's Shield</v>
      </c>
      <c r="B197" s="474"/>
      <c r="C197" s="446" t="s">
        <v>2419</v>
      </c>
      <c r="D197" s="63" t="s">
        <v>132</v>
      </c>
      <c r="E197" s="471"/>
    </row>
    <row r="198" ht="18.75" customHeight="1">
      <c r="A198" s="469" t="str">
        <f>HYPERLINK("https://en.uesp.net/wiki/Skyrim:Bloodcursed_Elven_Arrow","Bloodcursed Elven Arrow")</f>
        <v>Bloodcursed Elven Arrow</v>
      </c>
      <c r="B198" s="474"/>
      <c r="C198" s="446" t="s">
        <v>2452</v>
      </c>
      <c r="D198" s="476" t="s">
        <v>132</v>
      </c>
      <c r="E198" s="471"/>
    </row>
    <row r="199" ht="18.75" customHeight="1">
      <c r="A199" s="469" t="str">
        <f>HYPERLINK("https://en.uesp.net/wiki/Skyrim:Circlet_of_Waterbreathing","Circlet of Waterbreathing")</f>
        <v>Circlet of Waterbreathing</v>
      </c>
      <c r="B199" s="474"/>
      <c r="C199" s="446" t="s">
        <v>2436</v>
      </c>
      <c r="D199" s="63" t="s">
        <v>132</v>
      </c>
      <c r="E199" s="471"/>
    </row>
    <row r="200" ht="18.75" customHeight="1">
      <c r="A200" s="469" t="str">
        <f>HYPERLINK("https://en.uesp.net/wiki/Skyrim:Dawnguard_Rune_Axe","Dawnguard Rune Axe")</f>
        <v>Dawnguard Rune Axe</v>
      </c>
      <c r="B200" s="473"/>
      <c r="C200" s="446" t="s">
        <v>2453</v>
      </c>
      <c r="D200" s="63" t="s">
        <v>132</v>
      </c>
      <c r="E200" s="471"/>
    </row>
    <row r="201" ht="18.75" customHeight="1">
      <c r="A201" s="469" t="str">
        <f>HYPERLINK("https://en.uesp.net/wiki/Skyrim:Dawnguard_Rune_Hammer","Dawnguard Rune Hammer")</f>
        <v>Dawnguard Rune Hammer</v>
      </c>
      <c r="B201" s="473"/>
      <c r="C201" s="446" t="s">
        <v>2397</v>
      </c>
      <c r="D201" s="63" t="s">
        <v>132</v>
      </c>
      <c r="E201" s="471"/>
    </row>
    <row r="202" ht="18.75" customHeight="1">
      <c r="A202" s="469" t="str">
        <f>HYPERLINK("https://en.uesp.net/wiki/Skyrim:Dawnguard_Rune_Shield","Dawnguard Rune Shield")</f>
        <v>Dawnguard Rune Shield</v>
      </c>
      <c r="B202" s="473"/>
      <c r="C202" s="446" t="s">
        <v>2454</v>
      </c>
      <c r="D202" s="63" t="s">
        <v>132</v>
      </c>
      <c r="E202" s="471"/>
    </row>
    <row r="203" ht="18.75" customHeight="1">
      <c r="A203" s="469" t="str">
        <f>HYPERLINK("https://en.uesp.net/wiki/Skyrim:Harkon%27s_Sword","Harkon's Sword")</f>
        <v>Harkon's Sword</v>
      </c>
      <c r="B203" s="474"/>
      <c r="C203" s="446" t="s">
        <v>2398</v>
      </c>
      <c r="D203" s="63" t="s">
        <v>132</v>
      </c>
      <c r="E203" s="471"/>
    </row>
    <row r="204" ht="18.75" customHeight="1">
      <c r="A204" s="469" t="str">
        <f>HYPERLINK("https://en.uesp.net/wiki/Skyrim:Locket_of_Saint_Jiub","Locket of Saint Jiub")</f>
        <v>Locket of Saint Jiub</v>
      </c>
      <c r="B204" s="474"/>
      <c r="C204" s="446" t="s">
        <v>2400</v>
      </c>
      <c r="D204" s="63" t="s">
        <v>132</v>
      </c>
      <c r="E204" s="471"/>
    </row>
    <row r="205" ht="18.75" customHeight="1">
      <c r="A205" s="469" t="str">
        <f>HYPERLINK("https://en.uesp.net/wiki/Skyrim:Ring_of_The_Beast","Ring of The Beast")</f>
        <v>Ring of The Beast</v>
      </c>
      <c r="B205" s="473"/>
      <c r="C205" s="446" t="s">
        <v>2409</v>
      </c>
      <c r="D205" s="63" t="s">
        <v>132</v>
      </c>
      <c r="E205" s="471"/>
    </row>
    <row r="206" ht="18.75" customHeight="1">
      <c r="A206" s="477" t="str">
        <f>HYPERLINK("https://en.uesp.net/wiki/Skyrim:Ring_of_the_Erudite","Ring of the Erudite")</f>
        <v>Ring of the Erudite</v>
      </c>
      <c r="B206" s="478"/>
      <c r="C206" s="446" t="s">
        <v>2409</v>
      </c>
      <c r="D206" s="63" t="s">
        <v>132</v>
      </c>
      <c r="E206" s="471"/>
    </row>
    <row r="207" ht="18.75" customHeight="1">
      <c r="A207" s="444" t="str">
        <f>HYPERLINK("https://en.uesp.net/wiki/Skyrim:Staves#Staff_of_Ruunvald","Staff of Ruunvald")</f>
        <v>Staff of Ruunvald</v>
      </c>
      <c r="B207" s="479"/>
      <c r="C207" s="446" t="s">
        <v>2425</v>
      </c>
      <c r="D207" s="63" t="s">
        <v>132</v>
      </c>
      <c r="E207" s="472"/>
    </row>
    <row r="208" ht="18.75" customHeight="1">
      <c r="A208" s="480" t="str">
        <f>HYPERLINK("https://en.uesp.net/wiki/Skyrim:Sunhallowed_Elven_Arrow","Sunhallowed Elven Arrow")</f>
        <v>Sunhallowed Elven Arrow</v>
      </c>
      <c r="B208" s="481"/>
      <c r="C208" s="446" t="s">
        <v>2452</v>
      </c>
      <c r="D208" s="63" t="s">
        <v>132</v>
      </c>
      <c r="E208" s="471"/>
    </row>
    <row r="209" ht="18.75" customHeight="1">
      <c r="A209" s="482" t="str">
        <f>HYPERLINK("https://en.uesp.net/wiki/Skyrim:Taron_Dreth's_Robes", "Taron Dreth's Robes")</f>
        <v>Taron Dreth's Robes</v>
      </c>
      <c r="B209" s="483"/>
      <c r="C209" s="453" t="s">
        <v>2407</v>
      </c>
      <c r="D209" s="63" t="s">
        <v>132</v>
      </c>
      <c r="E209" s="472" t="s">
        <v>2455</v>
      </c>
    </row>
    <row r="210" ht="30.0" customHeight="1">
      <c r="A210" s="447" t="str">
        <f>HYPERLINK("https://en.uesp.net/wiki/Skyrim:Specialty_Gear#Vampire_Royal_Armor","Vampire Royal Armor")</f>
        <v>Vampire Royal Armor</v>
      </c>
      <c r="B210" s="484"/>
      <c r="C210" s="446" t="s">
        <v>2402</v>
      </c>
      <c r="D210" s="63" t="s">
        <v>132</v>
      </c>
      <c r="E210" s="485" t="s">
        <v>2456</v>
      </c>
    </row>
    <row r="211" ht="18.75" customHeight="1">
      <c r="A211" s="447" t="str">
        <f>HYPERLINK("https://en.uesp.net/wiki/Skyrim:Zephyr","Zephyr")</f>
        <v>Zephyr</v>
      </c>
      <c r="B211" s="448"/>
      <c r="C211" s="446" t="s">
        <v>2406</v>
      </c>
      <c r="D211" s="63" t="s">
        <v>132</v>
      </c>
      <c r="E211" s="53"/>
    </row>
    <row r="212" ht="22.5" customHeight="1">
      <c r="A212" s="462"/>
      <c r="B212" s="463"/>
      <c r="C212" s="463"/>
      <c r="D212" s="463"/>
      <c r="E212" s="464"/>
    </row>
    <row r="213">
      <c r="A213" s="465" t="s">
        <v>2457</v>
      </c>
    </row>
    <row r="214">
      <c r="A214" s="90"/>
      <c r="B214" s="91"/>
      <c r="C214" s="91"/>
      <c r="D214" s="91"/>
      <c r="E214" s="91"/>
    </row>
    <row r="215">
      <c r="A215" s="438" t="s">
        <v>2393</v>
      </c>
      <c r="B215" s="439"/>
      <c r="C215" s="312" t="s">
        <v>2394</v>
      </c>
      <c r="D215" s="312" t="s">
        <v>1511</v>
      </c>
      <c r="E215" s="466"/>
    </row>
    <row r="216">
      <c r="A216" s="486" t="s">
        <v>1524</v>
      </c>
      <c r="B216" s="487"/>
      <c r="C216" s="488" t="s">
        <v>1524</v>
      </c>
      <c r="D216" s="489">
        <f>(COUNTIF(D217:D255,"Y"))/Rows(D217:D255)</f>
        <v>0</v>
      </c>
      <c r="E216" s="490"/>
    </row>
    <row r="217" ht="18.75" customHeight="1">
      <c r="A217" s="469" t="str">
        <f>HYPERLINK("https://en.uesp.net/wiki/Dragonborn:Ahzidal_(item)","Ahzidal")</f>
        <v>Ahzidal</v>
      </c>
      <c r="B217" s="474"/>
      <c r="C217" s="446" t="s">
        <v>2418</v>
      </c>
      <c r="D217" s="63" t="s">
        <v>132</v>
      </c>
      <c r="E217" s="471"/>
    </row>
    <row r="218" ht="18.75" customHeight="1">
      <c r="A218" s="469" t="str">
        <f>HYPERLINK("https://en.uesp.net/wiki/Dragonborn:Ahzidal%27s_Armor_of_Retribution","Ahzidal's Armor of Retribution")</f>
        <v>Ahzidal's Armor of Retribution</v>
      </c>
      <c r="B218" s="474"/>
      <c r="C218" s="446" t="s">
        <v>2415</v>
      </c>
      <c r="D218" s="63" t="s">
        <v>132</v>
      </c>
      <c r="E218" s="471"/>
    </row>
    <row r="219" ht="18.75" customHeight="1">
      <c r="A219" s="469" t="str">
        <f>HYPERLINK("https://en.uesp.net/wiki/Dragonborn:Ahzidal%27s_Boots_of_Waterwalking","Ahzidal's Boots of Waterwalking")</f>
        <v>Ahzidal's Boots of Waterwalking</v>
      </c>
      <c r="B219" s="474"/>
      <c r="C219" s="446" t="s">
        <v>2416</v>
      </c>
      <c r="D219" s="63" t="s">
        <v>132</v>
      </c>
      <c r="E219" s="471"/>
    </row>
    <row r="220" ht="18.75" customHeight="1">
      <c r="A220" s="469" t="str">
        <f>HYPERLINK("https://en.uesp.net/wiki/Dragonborn:Ahzidal%27s_Gauntlets_of_Warding","Ahzidal's Gauntlets of Warding")</f>
        <v>Ahzidal's Gauntlets of Warding</v>
      </c>
      <c r="B220" s="474"/>
      <c r="C220" s="446" t="s">
        <v>2458</v>
      </c>
      <c r="D220" s="63" t="s">
        <v>132</v>
      </c>
      <c r="E220" s="471"/>
    </row>
    <row r="221" ht="18.75" customHeight="1">
      <c r="A221" s="469" t="str">
        <f>HYPERLINK("https://en.uesp.net/wiki/Dragonborn:Ahzidal%27s_Helm_of_Vision","Ahzidal's Helm of Vision")</f>
        <v>Ahzidal's Helm of Vision</v>
      </c>
      <c r="B221" s="474"/>
      <c r="C221" s="491" t="s">
        <v>2418</v>
      </c>
      <c r="D221" s="63" t="s">
        <v>132</v>
      </c>
      <c r="E221" s="471"/>
    </row>
    <row r="222" ht="18.75" customHeight="1">
      <c r="A222" s="469" t="str">
        <f>HYPERLINK("https://en.uesp.net/wiki/Dragonborn:Unearthed","Ahzidal's Ring of Arcana")</f>
        <v>Ahzidal's Ring of Arcana</v>
      </c>
      <c r="B222" s="474"/>
      <c r="C222" s="446" t="s">
        <v>2409</v>
      </c>
      <c r="D222" s="63" t="s">
        <v>132</v>
      </c>
      <c r="E222" s="471"/>
    </row>
    <row r="223" ht="18.75" customHeight="1">
      <c r="A223" s="469" t="str">
        <f>HYPERLINK("https://en.uesp.net/wiki/Dragonborn:Unearthed","Ahzidal's Ring of Necromancy")</f>
        <v>Ahzidal's Ring of Necromancy</v>
      </c>
      <c r="B223" s="474"/>
      <c r="C223" s="446" t="s">
        <v>2409</v>
      </c>
      <c r="D223" s="63" t="s">
        <v>132</v>
      </c>
      <c r="E223" s="471"/>
    </row>
    <row r="224" ht="18.75" customHeight="1">
      <c r="A224" s="469" t="str">
        <f>HYPERLINK("https://en.uesp.net/wiki/Skyrim:Specialty_Gear#Ancient_Nordic_Pickaxe","Ancient Nordic Pickaxe")</f>
        <v>Ancient Nordic Pickaxe</v>
      </c>
      <c r="B224" s="474"/>
      <c r="C224" s="446" t="s">
        <v>2438</v>
      </c>
      <c r="D224" s="63" t="s">
        <v>132</v>
      </c>
      <c r="E224" s="471" t="s">
        <v>2459</v>
      </c>
    </row>
    <row r="225" ht="18.75" customHeight="1">
      <c r="A225" s="469" t="str">
        <f>HYPERLINK("https://en.uesp.net/wiki/Dragonborn:Blackguard%27s_Armor","Blackguard's Armor")</f>
        <v>Blackguard's Armor</v>
      </c>
      <c r="B225" s="474"/>
      <c r="C225" s="446" t="s">
        <v>2402</v>
      </c>
      <c r="D225" s="63" t="s">
        <v>132</v>
      </c>
      <c r="E225" s="471"/>
    </row>
    <row r="226" ht="18.75" customHeight="1">
      <c r="A226" s="469" t="str">
        <f>HYPERLINK("https://en.uesp.net/wiki/Dragonborn:Blackguard%27s_Boots","Blackguard's Boots")</f>
        <v>Blackguard's Boots</v>
      </c>
      <c r="B226" s="474"/>
      <c r="C226" s="446" t="s">
        <v>2403</v>
      </c>
      <c r="D226" s="63" t="s">
        <v>132</v>
      </c>
      <c r="E226" s="471"/>
    </row>
    <row r="227" ht="18.75" customHeight="1">
      <c r="A227" s="469" t="str">
        <f>HYPERLINK("https://en.uesp.net/wiki/Dragonborn:Blackguard%27s_Gloves","Blackguard's Gloves")</f>
        <v>Blackguard's Gloves</v>
      </c>
      <c r="B227" s="474"/>
      <c r="C227" s="446" t="s">
        <v>2405</v>
      </c>
      <c r="D227" s="63" t="s">
        <v>132</v>
      </c>
      <c r="E227" s="471"/>
    </row>
    <row r="228" ht="18.75" customHeight="1">
      <c r="A228" s="469" t="str">
        <f>HYPERLINK("https://en.uesp.net/wiki/Dragonborn:Blackguard%27s_Hood","Blackguard's Hood")</f>
        <v>Blackguard's Hood</v>
      </c>
      <c r="B228" s="474"/>
      <c r="C228" s="446" t="s">
        <v>2404</v>
      </c>
      <c r="D228" s="63" t="s">
        <v>132</v>
      </c>
      <c r="E228" s="471"/>
    </row>
    <row r="229" ht="18.75" customHeight="1">
      <c r="A229" s="469" t="str">
        <f>HYPERLINK("https://en.uesp.net/wiki/Dragonborn:Bloodscythe","Bloodscythe")</f>
        <v>Bloodscythe</v>
      </c>
      <c r="B229" s="474"/>
      <c r="C229" s="446" t="s">
        <v>2398</v>
      </c>
      <c r="D229" s="63" t="s">
        <v>132</v>
      </c>
      <c r="E229" s="471"/>
    </row>
    <row r="230" ht="18.75" customHeight="1">
      <c r="A230" s="469" t="str">
        <f>HYPERLINK("https://en.uesp.net/wiki/Dragonborn:Bloodskal_Blade","Bloodskal Blade")</f>
        <v>Bloodskal Blade</v>
      </c>
      <c r="B230" s="474"/>
      <c r="C230" s="446" t="s">
        <v>2460</v>
      </c>
      <c r="D230" s="63" t="s">
        <v>132</v>
      </c>
      <c r="E230" s="471"/>
    </row>
    <row r="231" ht="18.75" customHeight="1">
      <c r="A231" s="469" t="str">
        <f>HYPERLINK("https://en.uesp.net/wiki/Dragonborn:Champion%27s_Cudgel","Champion's Cudgel")</f>
        <v>Champion's Cudgel</v>
      </c>
      <c r="B231" s="474"/>
      <c r="C231" s="446" t="s">
        <v>2397</v>
      </c>
      <c r="D231" s="63" t="s">
        <v>132</v>
      </c>
      <c r="E231" s="471"/>
    </row>
    <row r="232" ht="18.75" customHeight="1">
      <c r="A232" s="469" t="str">
        <f>HYPERLINK("https://en.uesp.net/wiki/Dragonborn:Deathbrand_Armor","Deathbrand Armor")</f>
        <v>Deathbrand Armor</v>
      </c>
      <c r="B232" s="474"/>
      <c r="C232" s="446" t="s">
        <v>2402</v>
      </c>
      <c r="D232" s="63" t="s">
        <v>132</v>
      </c>
      <c r="E232" s="471"/>
    </row>
    <row r="233" ht="18.75" customHeight="1">
      <c r="A233" s="469" t="str">
        <f>HYPERLINK("https://en.uesp.net/wiki/Dragonborn:Deathbrand_(quest)#Deathbrand_Locations","Deathbrand Boots")</f>
        <v>Deathbrand Boots</v>
      </c>
      <c r="B233" s="474"/>
      <c r="C233" s="446" t="s">
        <v>2403</v>
      </c>
      <c r="D233" s="63" t="s">
        <v>132</v>
      </c>
      <c r="E233" s="471"/>
    </row>
    <row r="234" ht="18.75" customHeight="1">
      <c r="A234" s="469" t="str">
        <f>HYPERLINK("https://en.uesp.net/wiki/Dragonborn:Deathbrand_(quest)#Deathbrand_Locations","Deathbrand Gauntlets")</f>
        <v>Deathbrand Gauntlets</v>
      </c>
      <c r="B234" s="474"/>
      <c r="C234" s="446" t="s">
        <v>2461</v>
      </c>
      <c r="D234" s="63" t="s">
        <v>132</v>
      </c>
      <c r="E234" s="471"/>
    </row>
    <row r="235" ht="18.75" customHeight="1">
      <c r="A235" s="469" t="str">
        <f>HYPERLINK("https://en.uesp.net/wiki/Dragonborn:Deathbrand_(quest)#Deathbrand_Locations","Deathbrand Helm")</f>
        <v>Deathbrand Helm</v>
      </c>
      <c r="B235" s="474"/>
      <c r="C235" s="446" t="s">
        <v>2404</v>
      </c>
      <c r="D235" s="63" t="s">
        <v>132</v>
      </c>
      <c r="E235" s="471"/>
    </row>
    <row r="236" ht="18.75" customHeight="1">
      <c r="A236" s="469" t="str">
        <f>HYPERLINK("https://en.uesp.net/wiki/Dragonborn:Dukaan_(item)","Dukaan")</f>
        <v>Dukaan</v>
      </c>
      <c r="B236" s="474"/>
      <c r="C236" s="446" t="s">
        <v>2418</v>
      </c>
      <c r="D236" s="63" t="s">
        <v>132</v>
      </c>
      <c r="E236" s="471"/>
    </row>
    <row r="237" ht="18.75" customHeight="1">
      <c r="A237" s="469" t="str">
        <f>HYPERLINK("https://en.uesp.net/wiki/Dragonborn:Dwarven_Black_Bow_of_Fate","Dwarven Black Bow of Fate")</f>
        <v>Dwarven Black Bow of Fate</v>
      </c>
      <c r="B237" s="474"/>
      <c r="C237" s="446" t="s">
        <v>2406</v>
      </c>
      <c r="D237" s="63" t="s">
        <v>132</v>
      </c>
      <c r="E237" s="471"/>
    </row>
    <row r="238" ht="18.75" customHeight="1">
      <c r="A238" s="469" t="str">
        <f>HYPERLINK("https://en.uesp.net/wiki/Dragonborn:Glass_Bow_of_the_Stag_Prince","Glass Bow of the Stag Prince")</f>
        <v>Glass Bow of the Stag Prince</v>
      </c>
      <c r="B238" s="474"/>
      <c r="C238" s="446" t="s">
        <v>2406</v>
      </c>
      <c r="D238" s="63" t="s">
        <v>132</v>
      </c>
      <c r="E238" s="471" t="s">
        <v>2462</v>
      </c>
    </row>
    <row r="239" ht="18.75" customHeight="1">
      <c r="A239" s="469" t="str">
        <f>HYPERLINK("https://en.uesp.net/wiki/Dragonborn:Hoarfrost","Hoarfrost")</f>
        <v>Hoarfrost</v>
      </c>
      <c r="B239" s="474"/>
      <c r="C239" s="446" t="s">
        <v>2438</v>
      </c>
      <c r="D239" s="63" t="s">
        <v>132</v>
      </c>
      <c r="E239" s="471"/>
    </row>
    <row r="240" ht="18.75" customHeight="1">
      <c r="A240" s="469" t="str">
        <f>HYPERLINK("https://en.uesp.net/wiki/Dragonborn:Horksbane","Horksbane")</f>
        <v>Horksbane</v>
      </c>
      <c r="B240" s="474"/>
      <c r="C240" s="446" t="s">
        <v>2463</v>
      </c>
      <c r="D240" s="63" t="s">
        <v>132</v>
      </c>
      <c r="E240" s="471"/>
    </row>
    <row r="241" ht="18.75" customHeight="1">
      <c r="A241" s="469" t="str">
        <f>HYPERLINK("https://en.uesp.net/wiki/Dragonborn:Miraak_(item)","Miraak")</f>
        <v>Miraak</v>
      </c>
      <c r="B241" s="474"/>
      <c r="C241" s="446" t="s">
        <v>2418</v>
      </c>
      <c r="D241" s="63" t="s">
        <v>132</v>
      </c>
      <c r="E241" s="471"/>
    </row>
    <row r="242" ht="18.75" customHeight="1">
      <c r="A242" s="469" t="str">
        <f>HYPERLINK("https://en.uesp.net/wiki/Dragonborn:Miraak%27s_Boots","Miraak's Boots")</f>
        <v>Miraak's Boots</v>
      </c>
      <c r="B242" s="474"/>
      <c r="C242" s="446" t="s">
        <v>2403</v>
      </c>
      <c r="D242" s="63" t="s">
        <v>132</v>
      </c>
      <c r="E242" s="471"/>
    </row>
    <row r="243" ht="18.75" customHeight="1">
      <c r="A243" s="469" t="str">
        <f>HYPERLINK("https://en.uesp.net/wiki/Dragonborn:Miraak%27s_Gloves","Miraak's Gloves")</f>
        <v>Miraak's Gloves</v>
      </c>
      <c r="B243" s="474"/>
      <c r="C243" s="446" t="s">
        <v>2461</v>
      </c>
      <c r="D243" s="63" t="s">
        <v>132</v>
      </c>
      <c r="E243" s="471"/>
    </row>
    <row r="244" ht="18.75" customHeight="1">
      <c r="A244" s="469" t="str">
        <f>HYPERLINK("https://en.uesp.net/wiki/Dragonborn:Miraak%27s_Robes","Miraak's Robes")</f>
        <v>Miraak's Robes</v>
      </c>
      <c r="B244" s="474"/>
      <c r="C244" s="446" t="s">
        <v>2407</v>
      </c>
      <c r="D244" s="63" t="s">
        <v>132</v>
      </c>
      <c r="E244" s="471"/>
    </row>
    <row r="245" ht="18.75" customHeight="1">
      <c r="A245" s="469" t="str">
        <f>HYPERLINK("https://en.uesp.net/wiki/Dragonborn:Miraak%27s_Staff","Miraak's Staff")</f>
        <v>Miraak's Staff</v>
      </c>
      <c r="B245" s="474"/>
      <c r="C245" s="446" t="s">
        <v>2425</v>
      </c>
      <c r="D245" s="63" t="s">
        <v>132</v>
      </c>
      <c r="E245" s="471"/>
    </row>
    <row r="246" ht="18.75" customHeight="1">
      <c r="A246" s="469" t="str">
        <f>HYPERLINK("https://en.uesp.net/wiki/Dragonborn:Miraak%27s_Sword","Miraak's Sword")</f>
        <v>Miraak's Sword</v>
      </c>
      <c r="B246" s="474"/>
      <c r="C246" s="446" t="s">
        <v>2398</v>
      </c>
      <c r="D246" s="63" t="s">
        <v>132</v>
      </c>
      <c r="E246" s="471"/>
    </row>
    <row r="247" ht="18.75" customHeight="1">
      <c r="A247" s="469" t="str">
        <f>HYPERLINK("https://en.uesp.net/wiki/Dragonborn:Majni","Ring of Bloodlust")</f>
        <v>Ring of Bloodlust</v>
      </c>
      <c r="B247" s="474"/>
      <c r="C247" s="446" t="s">
        <v>2409</v>
      </c>
      <c r="D247" s="63" t="s">
        <v>132</v>
      </c>
      <c r="E247" s="471"/>
    </row>
    <row r="248" ht="18.75" customHeight="1">
      <c r="A248" s="469" t="str">
        <f>HYPERLINK("https://en.uesp.net/wiki/Dragonborn:Majni","Ring of Instinct")</f>
        <v>Ring of Instinct</v>
      </c>
      <c r="B248" s="474"/>
      <c r="C248" s="446" t="s">
        <v>2409</v>
      </c>
      <c r="D248" s="63" t="s">
        <v>132</v>
      </c>
      <c r="E248" s="471"/>
    </row>
    <row r="249" ht="18.75" customHeight="1">
      <c r="A249" s="469" t="str">
        <f>HYPERLINK("https://en.uesp.net/wiki/Dragonborn:Majni","Ring of the Hunt")</f>
        <v>Ring of the Hunt</v>
      </c>
      <c r="B249" s="474"/>
      <c r="C249" s="446" t="s">
        <v>2409</v>
      </c>
      <c r="D249" s="63" t="s">
        <v>132</v>
      </c>
      <c r="E249" s="471"/>
    </row>
    <row r="250" ht="18.75" customHeight="1">
      <c r="A250" s="469" t="str">
        <f>HYPERLINK("https://en.uesp.net/wiki/Dragonborn:Majni","Ring of the Moon")</f>
        <v>Ring of the Moon</v>
      </c>
      <c r="B250" s="474"/>
      <c r="C250" s="446" t="s">
        <v>2409</v>
      </c>
      <c r="D250" s="63" t="s">
        <v>132</v>
      </c>
      <c r="E250" s="471"/>
    </row>
    <row r="251" ht="18.75" customHeight="1">
      <c r="A251" s="469" t="str">
        <f>HYPERLINK("http://elderscrolls.wikia.com/wiki/Skaal_Amulet","Skaal Amulet")</f>
        <v>Skaal Amulet</v>
      </c>
      <c r="B251" s="474"/>
      <c r="C251" s="446" t="s">
        <v>2400</v>
      </c>
      <c r="D251" s="63" t="s">
        <v>132</v>
      </c>
      <c r="E251" s="471" t="s">
        <v>2464</v>
      </c>
    </row>
    <row r="252" ht="18.75" customHeight="1">
      <c r="A252" s="469" t="str">
        <f>HYPERLINK("https://en.uesp.net/wiki/Dragonborn:Soulrender","Soulrender")</f>
        <v>Soulrender</v>
      </c>
      <c r="B252" s="474"/>
      <c r="C252" s="446" t="s">
        <v>2398</v>
      </c>
      <c r="D252" s="63" t="s">
        <v>132</v>
      </c>
      <c r="E252" s="471"/>
    </row>
    <row r="253" ht="18.75" customHeight="1">
      <c r="A253" s="469" t="str">
        <f>HYPERLINK("https://en.uesp.net/wiki/Dragonborn:Stormfang","Stormfang")</f>
        <v>Stormfang</v>
      </c>
      <c r="B253" s="474"/>
      <c r="C253" s="446" t="s">
        <v>2427</v>
      </c>
      <c r="D253" s="63" t="s">
        <v>132</v>
      </c>
      <c r="E253" s="471"/>
    </row>
    <row r="254" ht="18.75" customHeight="1">
      <c r="A254" s="469" t="str">
        <f>HYPERLINK("https://en.uesp.net/wiki/Dragonborn:Fahlbtharz","Visage of Mzund")</f>
        <v>Visage of Mzund</v>
      </c>
      <c r="B254" s="474"/>
      <c r="C254" s="446" t="s">
        <v>2418</v>
      </c>
      <c r="D254" s="63" t="s">
        <v>132</v>
      </c>
      <c r="E254" s="471"/>
    </row>
    <row r="255" ht="18.75" customHeight="1">
      <c r="A255" s="469" t="str">
        <f>HYPERLINK("https://en.uesp.net/wiki/Dragonborn:Zahkriisos_(item)","Zahkriisos")</f>
        <v>Zahkriisos</v>
      </c>
      <c r="B255" s="474"/>
      <c r="C255" s="446" t="s">
        <v>2418</v>
      </c>
      <c r="D255" s="63" t="s">
        <v>132</v>
      </c>
      <c r="E255" s="471"/>
    </row>
  </sheetData>
  <autoFilter ref="$A$6:$E$181">
    <sortState ref="A6:E181">
      <sortCondition ref="A6:A181"/>
    </sortState>
  </autoFilter>
  <mergeCells count="6">
    <mergeCell ref="A2:E2"/>
    <mergeCell ref="A3:E4"/>
    <mergeCell ref="A182:E182"/>
    <mergeCell ref="A183:E184"/>
    <mergeCell ref="A212:E212"/>
    <mergeCell ref="A213:E214"/>
  </mergeCells>
  <conditionalFormatting sqref="D7:D181 D187:D211 D217:D255">
    <cfRule type="cellIs" dxfId="1" priority="1" operator="equal">
      <formula>"Y"</formula>
    </cfRule>
  </conditionalFormatting>
  <conditionalFormatting sqref="D7:D181 D187:D211 D217:D255">
    <cfRule type="cellIs" dxfId="4" priority="2" operator="equal">
      <formula>"N"</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57"/>
    <col customWidth="1" min="2" max="4" width="14.43"/>
    <col hidden="1" min="5" max="13" width="14.43"/>
    <col customWidth="1" min="14" max="14" width="8.43"/>
    <col customWidth="1" min="15" max="15" width="50.43"/>
    <col customWidth="1" min="16" max="16" width="119.86"/>
    <col customWidth="1" min="17" max="17" width="11.29"/>
    <col customWidth="1" min="18" max="18" width="22.57"/>
  </cols>
  <sheetData>
    <row r="1">
      <c r="A1" s="416" t="s">
        <v>2465</v>
      </c>
      <c r="B1" s="492" t="s">
        <v>2466</v>
      </c>
      <c r="C1" s="492" t="s">
        <v>2467</v>
      </c>
      <c r="D1" s="492" t="s">
        <v>2468</v>
      </c>
      <c r="E1" s="416" t="s">
        <v>2469</v>
      </c>
      <c r="F1" s="416" t="s">
        <v>2470</v>
      </c>
      <c r="G1" s="416" t="s">
        <v>2471</v>
      </c>
      <c r="H1" s="416" t="s">
        <v>2472</v>
      </c>
      <c r="I1" s="416" t="s">
        <v>2473</v>
      </c>
      <c r="J1" s="416" t="s">
        <v>2474</v>
      </c>
      <c r="K1" s="416" t="s">
        <v>2475</v>
      </c>
      <c r="L1" s="416" t="s">
        <v>2476</v>
      </c>
      <c r="M1" s="416" t="s">
        <v>2477</v>
      </c>
      <c r="N1" s="493" t="s">
        <v>2478</v>
      </c>
      <c r="O1" s="416" t="s">
        <v>90</v>
      </c>
      <c r="P1" s="416" t="s">
        <v>129</v>
      </c>
      <c r="Q1" s="416" t="s">
        <v>1622</v>
      </c>
      <c r="R1" s="416" t="s">
        <v>2479</v>
      </c>
    </row>
    <row r="2">
      <c r="A2" s="494" t="s">
        <v>2480</v>
      </c>
      <c r="B2" s="495"/>
      <c r="C2" s="495"/>
      <c r="D2" s="495"/>
      <c r="E2" s="495"/>
      <c r="F2" s="495"/>
      <c r="G2" s="495"/>
      <c r="H2" s="495"/>
      <c r="I2" s="495"/>
      <c r="J2" s="495"/>
      <c r="K2" s="495"/>
      <c r="L2" s="495"/>
      <c r="M2" s="495"/>
      <c r="N2" s="495"/>
      <c r="O2" s="495"/>
      <c r="P2" s="495"/>
      <c r="Q2" s="495"/>
      <c r="R2" s="495"/>
    </row>
    <row r="3">
      <c r="A3" s="496" t="str">
        <f>concatenate("Total: ", E3, ", Remaining: ", H3, " (", I3, "%)")</f>
        <v>Total: 596, Remaining: 596 (100%)</v>
      </c>
      <c r="B3" s="496" t="str">
        <f>concatenate(F3, " (", G3, "%)")</f>
        <v>0 (0%)</v>
      </c>
      <c r="C3" s="496" t="str">
        <f>concatenate(J3, " (", K3, "%)")</f>
        <v>0 (0%)</v>
      </c>
      <c r="D3" s="496" t="str">
        <f>concatenate(L3, " (", M3, "%)")</f>
        <v>0 (0%)</v>
      </c>
      <c r="E3" s="497">
        <f>rows(A4:A599)</f>
        <v>596</v>
      </c>
      <c r="F3" s="497">
        <f>Countif(B4:B599, "Y")</f>
        <v>0</v>
      </c>
      <c r="G3" s="497">
        <f>round(100 * (F3 / E3), 0)</f>
        <v>0</v>
      </c>
      <c r="H3" s="497">
        <f>E3 - F3</f>
        <v>596</v>
      </c>
      <c r="I3" s="497">
        <f>round(100 * (H3 / E3), 0)</f>
        <v>100</v>
      </c>
      <c r="J3" s="497">
        <f>Countif(C4:C599, "Y")</f>
        <v>0</v>
      </c>
      <c r="K3" s="497">
        <f>round(100 * (J3 / E3), 0)</f>
        <v>0</v>
      </c>
      <c r="L3" s="497">
        <f>countif(D4:D599, "Y")</f>
        <v>0</v>
      </c>
      <c r="M3" s="498">
        <f>round(100 * (L3 / E3), 0)</f>
        <v>0</v>
      </c>
      <c r="N3" s="499" t="s">
        <v>1524</v>
      </c>
      <c r="O3" s="499" t="s">
        <v>1524</v>
      </c>
      <c r="P3" s="499" t="s">
        <v>1524</v>
      </c>
      <c r="Q3" s="500"/>
      <c r="R3" s="501"/>
    </row>
    <row r="4">
      <c r="A4" s="502" t="str">
        <f>HYPERLINK("http://en.uesp.net/wiki/Skyrim:16_Accords_of_Madness,_v._IX","16 Accords of Madness, v. IX")</f>
        <v>16 Accords of Madness, v. IX</v>
      </c>
      <c r="B4" s="63" t="s">
        <v>132</v>
      </c>
      <c r="C4" s="63" t="s">
        <v>132</v>
      </c>
      <c r="D4" s="63" t="s">
        <v>132</v>
      </c>
      <c r="E4" s="503"/>
      <c r="F4" s="503"/>
      <c r="G4" s="503"/>
      <c r="H4" s="503"/>
      <c r="I4" s="503"/>
      <c r="J4" s="503"/>
      <c r="K4" s="503"/>
      <c r="L4" s="503"/>
      <c r="M4" s="503"/>
      <c r="N4" s="504">
        <v>4.0</v>
      </c>
      <c r="O4" s="505" t="s">
        <v>2481</v>
      </c>
      <c r="P4" s="506" t="s">
        <v>2482</v>
      </c>
      <c r="Q4" s="340">
        <v>25.0</v>
      </c>
      <c r="R4" s="503" t="s">
        <v>2440</v>
      </c>
    </row>
    <row r="5">
      <c r="A5" s="507" t="str">
        <f>HYPERLINK("http://en.uesp.net/wiki/Skyrim:16_Accords_of_Madness,_v._VI","16 Accords of Madness, v. VI")</f>
        <v>16 Accords of Madness, v. VI</v>
      </c>
      <c r="B5" s="63" t="s">
        <v>132</v>
      </c>
      <c r="C5" s="63" t="s">
        <v>132</v>
      </c>
      <c r="D5" s="63" t="s">
        <v>132</v>
      </c>
      <c r="E5" s="503"/>
      <c r="F5" s="503"/>
      <c r="G5" s="503"/>
      <c r="H5" s="503"/>
      <c r="I5" s="503"/>
      <c r="J5" s="503"/>
      <c r="K5" s="503"/>
      <c r="L5" s="503"/>
      <c r="M5" s="503"/>
      <c r="N5" s="504">
        <v>4.0</v>
      </c>
      <c r="O5" s="505" t="s">
        <v>2481</v>
      </c>
      <c r="P5" s="506" t="s">
        <v>2483</v>
      </c>
      <c r="Q5" s="340">
        <v>25.0</v>
      </c>
      <c r="R5" s="503" t="s">
        <v>2440</v>
      </c>
    </row>
    <row r="6">
      <c r="A6" s="502" t="str">
        <f>HYPERLINK("http://en.uesp.net/wiki/Skyrim:16_Accords_of_Madness,_v._XII","16 Accords of Madness, v. XII")</f>
        <v>16 Accords of Madness, v. XII</v>
      </c>
      <c r="B6" s="63" t="s">
        <v>132</v>
      </c>
      <c r="C6" s="63" t="s">
        <v>132</v>
      </c>
      <c r="D6" s="63" t="s">
        <v>132</v>
      </c>
      <c r="E6" s="503"/>
      <c r="F6" s="503"/>
      <c r="G6" s="503"/>
      <c r="H6" s="503"/>
      <c r="I6" s="503"/>
      <c r="J6" s="503"/>
      <c r="K6" s="503"/>
      <c r="L6" s="503"/>
      <c r="M6" s="503"/>
      <c r="N6" s="504">
        <v>4.0</v>
      </c>
      <c r="O6" s="505" t="s">
        <v>2481</v>
      </c>
      <c r="P6" s="506" t="s">
        <v>2484</v>
      </c>
      <c r="Q6" s="340">
        <v>25.0</v>
      </c>
      <c r="R6" s="503" t="s">
        <v>2440</v>
      </c>
    </row>
    <row r="7">
      <c r="A7" s="502" t="str">
        <f>HYPERLINK("http://en.uesp.net/wiki/Skyrim:2920,_Evening_Star,_v12","2920, Evening Star, v12")</f>
        <v>2920, Evening Star, v12</v>
      </c>
      <c r="B7" s="63" t="s">
        <v>132</v>
      </c>
      <c r="C7" s="63" t="s">
        <v>132</v>
      </c>
      <c r="D7" s="63" t="s">
        <v>132</v>
      </c>
      <c r="E7" s="503"/>
      <c r="F7" s="503"/>
      <c r="G7" s="503"/>
      <c r="H7" s="503"/>
      <c r="I7" s="503"/>
      <c r="J7" s="503"/>
      <c r="K7" s="503"/>
      <c r="L7" s="503"/>
      <c r="M7" s="503"/>
      <c r="N7" s="320">
        <v>3.0</v>
      </c>
      <c r="O7" s="506" t="s">
        <v>2485</v>
      </c>
      <c r="P7" s="506" t="s">
        <v>2486</v>
      </c>
      <c r="Q7" s="340">
        <v>11.0</v>
      </c>
      <c r="R7" s="508" t="s">
        <v>2440</v>
      </c>
    </row>
    <row r="8">
      <c r="A8" s="502" t="str">
        <f>HYPERLINK("http://en.uesp.net/wiki/Skyrim:2920,_First_Seed,_v3","2920, First Seed, v3")</f>
        <v>2920, First Seed, v3</v>
      </c>
      <c r="B8" s="63" t="s">
        <v>132</v>
      </c>
      <c r="C8" s="63" t="s">
        <v>132</v>
      </c>
      <c r="D8" s="63" t="s">
        <v>132</v>
      </c>
      <c r="E8" s="503"/>
      <c r="F8" s="503"/>
      <c r="G8" s="503"/>
      <c r="H8" s="503"/>
      <c r="I8" s="503"/>
      <c r="J8" s="503"/>
      <c r="K8" s="503"/>
      <c r="L8" s="503"/>
      <c r="M8" s="503"/>
      <c r="N8" s="320">
        <v>3.0</v>
      </c>
      <c r="O8" s="506" t="s">
        <v>2485</v>
      </c>
      <c r="P8" s="506" t="s">
        <v>2487</v>
      </c>
      <c r="Q8" s="340">
        <v>11.0</v>
      </c>
      <c r="R8" s="508" t="s">
        <v>2440</v>
      </c>
    </row>
    <row r="9">
      <c r="A9" s="502" t="str">
        <f>HYPERLINK("http://en.uesp.net/wiki/Skyrim:2920,_Frostfall,_v10","2920, Frostfall, v10")</f>
        <v>2920, Frostfall, v10</v>
      </c>
      <c r="B9" s="63" t="s">
        <v>132</v>
      </c>
      <c r="C9" s="63" t="s">
        <v>132</v>
      </c>
      <c r="D9" s="63" t="s">
        <v>132</v>
      </c>
      <c r="E9" s="503"/>
      <c r="F9" s="503"/>
      <c r="G9" s="503"/>
      <c r="H9" s="503"/>
      <c r="I9" s="503"/>
      <c r="J9" s="503"/>
      <c r="K9" s="503"/>
      <c r="L9" s="503"/>
      <c r="M9" s="503"/>
      <c r="N9" s="320" t="s">
        <v>1524</v>
      </c>
      <c r="O9" s="506" t="s">
        <v>2485</v>
      </c>
      <c r="P9" s="506" t="s">
        <v>2488</v>
      </c>
      <c r="Q9" s="340">
        <v>50.0</v>
      </c>
      <c r="R9" s="472" t="s">
        <v>2489</v>
      </c>
    </row>
    <row r="10">
      <c r="A10" s="502" t="str">
        <f>HYPERLINK("http://en.uesp.net/wiki/Skyrim:2920,_Hearth_Fire,_v9","2920, Hearth Fire, v9")</f>
        <v>2920, Hearth Fire, v9</v>
      </c>
      <c r="B10" s="63" t="s">
        <v>132</v>
      </c>
      <c r="C10" s="63" t="s">
        <v>132</v>
      </c>
      <c r="D10" s="63" t="s">
        <v>132</v>
      </c>
      <c r="E10" s="503"/>
      <c r="F10" s="503"/>
      <c r="G10" s="503"/>
      <c r="H10" s="503"/>
      <c r="I10" s="503"/>
      <c r="J10" s="503"/>
      <c r="K10" s="503"/>
      <c r="L10" s="503"/>
      <c r="M10" s="503"/>
      <c r="N10" s="320" t="s">
        <v>1524</v>
      </c>
      <c r="O10" s="506" t="s">
        <v>2485</v>
      </c>
      <c r="P10" s="506" t="s">
        <v>2490</v>
      </c>
      <c r="Q10" s="340">
        <v>50.0</v>
      </c>
      <c r="R10" s="472" t="s">
        <v>2489</v>
      </c>
    </row>
    <row r="11">
      <c r="A11" s="502" t="str">
        <f>HYPERLINK("http://en.uesp.net/wiki/Skyrim:2920,_Last_Seed,_v8","2920, Last Seed, v8")</f>
        <v>2920, Last Seed, v8</v>
      </c>
      <c r="B11" s="63" t="s">
        <v>132</v>
      </c>
      <c r="C11" s="63" t="s">
        <v>132</v>
      </c>
      <c r="D11" s="63" t="s">
        <v>132</v>
      </c>
      <c r="E11" s="503"/>
      <c r="F11" s="503"/>
      <c r="G11" s="503"/>
      <c r="H11" s="503"/>
      <c r="I11" s="503"/>
      <c r="J11" s="503"/>
      <c r="K11" s="503"/>
      <c r="L11" s="503"/>
      <c r="M11" s="503"/>
      <c r="N11" s="320" t="s">
        <v>1524</v>
      </c>
      <c r="O11" s="506" t="s">
        <v>2485</v>
      </c>
      <c r="P11" s="506" t="s">
        <v>2491</v>
      </c>
      <c r="Q11" s="340">
        <v>75.0</v>
      </c>
      <c r="R11" s="509" t="s">
        <v>2492</v>
      </c>
    </row>
    <row r="12">
      <c r="A12" s="502" t="str">
        <f>HYPERLINK("http://en.uesp.net/wiki/Skyrim:2920,_MidYear,_v6","2920, MidYear, v6")</f>
        <v>2920, MidYear, v6</v>
      </c>
      <c r="B12" s="63" t="s">
        <v>132</v>
      </c>
      <c r="C12" s="63" t="s">
        <v>132</v>
      </c>
      <c r="D12" s="63" t="s">
        <v>132</v>
      </c>
      <c r="E12" s="503"/>
      <c r="F12" s="503"/>
      <c r="G12" s="503"/>
      <c r="H12" s="503"/>
      <c r="I12" s="503"/>
      <c r="J12" s="503"/>
      <c r="K12" s="503"/>
      <c r="L12" s="503"/>
      <c r="M12" s="503"/>
      <c r="N12" s="320" t="s">
        <v>1524</v>
      </c>
      <c r="O12" s="506" t="s">
        <v>2485</v>
      </c>
      <c r="P12" s="506" t="s">
        <v>2493</v>
      </c>
      <c r="Q12" s="340">
        <v>70.0</v>
      </c>
      <c r="R12" s="509" t="s">
        <v>2494</v>
      </c>
    </row>
    <row r="13">
      <c r="A13" s="502" t="str">
        <f>HYPERLINK("http://en.uesp.net/wiki/Skyrim:2920,_Morning_Star,_v1","2920, Morning Star, v1")</f>
        <v>2920, Morning Star, v1</v>
      </c>
      <c r="B13" s="63" t="s">
        <v>132</v>
      </c>
      <c r="C13" s="63" t="s">
        <v>132</v>
      </c>
      <c r="D13" s="63" t="s">
        <v>132</v>
      </c>
      <c r="E13" s="503"/>
      <c r="F13" s="503"/>
      <c r="G13" s="503"/>
      <c r="H13" s="503"/>
      <c r="I13" s="503"/>
      <c r="J13" s="503"/>
      <c r="K13" s="503"/>
      <c r="L13" s="503"/>
      <c r="M13" s="503"/>
      <c r="N13" s="320" t="s">
        <v>1524</v>
      </c>
      <c r="O13" s="506" t="s">
        <v>2485</v>
      </c>
      <c r="P13" s="506" t="s">
        <v>2495</v>
      </c>
      <c r="Q13" s="340">
        <v>50.0</v>
      </c>
      <c r="R13" s="472" t="s">
        <v>2496</v>
      </c>
    </row>
    <row r="14">
      <c r="A14" s="502" t="str">
        <f>HYPERLINK("http://en.uesp.net/wiki/Skyrim:2920,_Rain%27s_Hand,_v4","2920, Rain's Hand, v4")</f>
        <v>2920, Rain's Hand, v4</v>
      </c>
      <c r="B14" s="63" t="s">
        <v>132</v>
      </c>
      <c r="C14" s="63" t="s">
        <v>132</v>
      </c>
      <c r="D14" s="63" t="s">
        <v>132</v>
      </c>
      <c r="E14" s="503"/>
      <c r="F14" s="503"/>
      <c r="G14" s="503"/>
      <c r="H14" s="503"/>
      <c r="I14" s="503"/>
      <c r="J14" s="503"/>
      <c r="K14" s="503"/>
      <c r="L14" s="503"/>
      <c r="M14" s="503"/>
      <c r="N14" s="320" t="s">
        <v>1524</v>
      </c>
      <c r="O14" s="506" t="s">
        <v>2485</v>
      </c>
      <c r="P14" s="506" t="s">
        <v>2497</v>
      </c>
      <c r="Q14" s="340">
        <v>55.0</v>
      </c>
      <c r="R14" s="509" t="s">
        <v>2498</v>
      </c>
    </row>
    <row r="15">
      <c r="A15" s="502" t="str">
        <f>HYPERLINK("http://en.uesp.net/wiki/Skyrim:2920,_Second_Seed,_v5","2920, Second Seed, v5")</f>
        <v>2920, Second Seed, v5</v>
      </c>
      <c r="B15" s="63" t="s">
        <v>132</v>
      </c>
      <c r="C15" s="63" t="s">
        <v>132</v>
      </c>
      <c r="D15" s="63" t="s">
        <v>132</v>
      </c>
      <c r="E15" s="503"/>
      <c r="F15" s="503"/>
      <c r="G15" s="503"/>
      <c r="H15" s="503"/>
      <c r="I15" s="503"/>
      <c r="J15" s="503"/>
      <c r="K15" s="503"/>
      <c r="L15" s="503"/>
      <c r="M15" s="503"/>
      <c r="N15" s="320" t="s">
        <v>1524</v>
      </c>
      <c r="O15" s="506" t="s">
        <v>2485</v>
      </c>
      <c r="P15" s="506" t="s">
        <v>2499</v>
      </c>
      <c r="Q15" s="340">
        <v>60.0</v>
      </c>
      <c r="R15" s="509" t="s">
        <v>2500</v>
      </c>
    </row>
    <row r="16">
      <c r="A16" s="502" t="str">
        <f>HYPERLINK("http://en.uesp.net/wiki/Skyrim:2920,_Sun%27s_Dawn,_v2","2920, Sun's Dawn, v2")</f>
        <v>2920, Sun's Dawn, v2</v>
      </c>
      <c r="B16" s="63" t="s">
        <v>132</v>
      </c>
      <c r="C16" s="63" t="s">
        <v>132</v>
      </c>
      <c r="D16" s="63" t="s">
        <v>132</v>
      </c>
      <c r="E16" s="503"/>
      <c r="F16" s="503"/>
      <c r="G16" s="503"/>
      <c r="H16" s="503"/>
      <c r="I16" s="503"/>
      <c r="J16" s="503"/>
      <c r="K16" s="503"/>
      <c r="L16" s="503"/>
      <c r="M16" s="503"/>
      <c r="N16" s="320" t="s">
        <v>1524</v>
      </c>
      <c r="O16" s="506" t="s">
        <v>2485</v>
      </c>
      <c r="P16" s="506" t="s">
        <v>2501</v>
      </c>
      <c r="Q16" s="340">
        <v>60.0</v>
      </c>
      <c r="R16" s="509" t="s">
        <v>2502</v>
      </c>
    </row>
    <row r="17">
      <c r="A17" s="502" t="str">
        <f>HYPERLINK("http://en.uesp.net/wiki/Skyrim:2920,_Sun%27s_Dusk,_v11","2920, Sun's Dusk, v11")</f>
        <v>2920, Sun's Dusk, v11</v>
      </c>
      <c r="B17" s="63" t="s">
        <v>132</v>
      </c>
      <c r="C17" s="63" t="s">
        <v>132</v>
      </c>
      <c r="D17" s="63" t="s">
        <v>132</v>
      </c>
      <c r="E17" s="503"/>
      <c r="F17" s="503"/>
      <c r="G17" s="503"/>
      <c r="H17" s="503"/>
      <c r="I17" s="503"/>
      <c r="J17" s="503"/>
      <c r="K17" s="503"/>
      <c r="L17" s="503"/>
      <c r="M17" s="503"/>
      <c r="N17" s="320">
        <v>3.0</v>
      </c>
      <c r="O17" s="506" t="s">
        <v>2485</v>
      </c>
      <c r="P17" s="506" t="s">
        <v>2503</v>
      </c>
      <c r="Q17" s="340">
        <v>11.0</v>
      </c>
      <c r="R17" s="503" t="s">
        <v>2440</v>
      </c>
    </row>
    <row r="18">
      <c r="A18" s="502" t="str">
        <f>HYPERLINK("http://en.uesp.net/wiki/Skyrim:2920,_Sun%27s_Height,_v7","2920, Sun's Height, v7")</f>
        <v>2920, Sun's Height, v7</v>
      </c>
      <c r="B18" s="63" t="s">
        <v>132</v>
      </c>
      <c r="C18" s="63" t="s">
        <v>132</v>
      </c>
      <c r="D18" s="63" t="s">
        <v>132</v>
      </c>
      <c r="E18" s="503"/>
      <c r="F18" s="503"/>
      <c r="G18" s="503"/>
      <c r="H18" s="503"/>
      <c r="I18" s="503"/>
      <c r="J18" s="503"/>
      <c r="K18" s="503"/>
      <c r="L18" s="503"/>
      <c r="M18" s="503"/>
      <c r="N18" s="320">
        <v>0.0</v>
      </c>
      <c r="O18" s="506" t="s">
        <v>2485</v>
      </c>
      <c r="P18" s="506" t="s">
        <v>2504</v>
      </c>
      <c r="Q18" s="340">
        <v>3.0</v>
      </c>
      <c r="R18" s="503" t="s">
        <v>2440</v>
      </c>
    </row>
    <row r="19">
      <c r="A19" s="502" t="str">
        <f>HYPERLINK("http://en.uesp.net/wiki/Skyrim:A_Children%27s_Anuad","A Children's Anuad")</f>
        <v>A Children's Anuad</v>
      </c>
      <c r="B19" s="63" t="s">
        <v>132</v>
      </c>
      <c r="C19" s="63" t="s">
        <v>132</v>
      </c>
      <c r="D19" s="63" t="s">
        <v>132</v>
      </c>
      <c r="E19" s="503"/>
      <c r="F19" s="503"/>
      <c r="G19" s="503"/>
      <c r="H19" s="503"/>
      <c r="I19" s="503"/>
      <c r="J19" s="503"/>
      <c r="K19" s="503"/>
      <c r="L19" s="503"/>
      <c r="M19" s="503"/>
      <c r="N19" s="320">
        <v>2.0</v>
      </c>
      <c r="O19" s="506" t="s">
        <v>2481</v>
      </c>
      <c r="P19" s="506" t="s">
        <v>2505</v>
      </c>
      <c r="Q19" s="340">
        <v>6.0</v>
      </c>
      <c r="R19" s="503" t="s">
        <v>2440</v>
      </c>
    </row>
    <row r="20">
      <c r="A20" s="502" t="str">
        <f>HYPERLINK("http://en.uesp.net/wiki/Skyrim:A_Dance_in_Fire,_v1","A Dance in Fire, v1")</f>
        <v>A Dance in Fire, v1</v>
      </c>
      <c r="B20" s="63" t="s">
        <v>132</v>
      </c>
      <c r="C20" s="63" t="s">
        <v>132</v>
      </c>
      <c r="D20" s="63" t="s">
        <v>132</v>
      </c>
      <c r="E20" s="503"/>
      <c r="F20" s="503"/>
      <c r="G20" s="503"/>
      <c r="H20" s="503"/>
      <c r="I20" s="503"/>
      <c r="J20" s="503"/>
      <c r="K20" s="503"/>
      <c r="L20" s="503"/>
      <c r="M20" s="503"/>
      <c r="N20" s="320">
        <v>0.0</v>
      </c>
      <c r="O20" s="506" t="s">
        <v>2506</v>
      </c>
      <c r="P20" s="506" t="s">
        <v>2507</v>
      </c>
      <c r="Q20" s="340">
        <v>3.0</v>
      </c>
      <c r="R20" s="503" t="s">
        <v>2440</v>
      </c>
    </row>
    <row r="21">
      <c r="A21" s="502" t="str">
        <f>HYPERLINK("http://en.uesp.net/wiki/Skyrim:A_Dance_in_Fire,_v2","A Dance in Fire, v2")</f>
        <v>A Dance in Fire, v2</v>
      </c>
      <c r="B21" s="63" t="s">
        <v>132</v>
      </c>
      <c r="C21" s="63" t="s">
        <v>132</v>
      </c>
      <c r="D21" s="63" t="s">
        <v>132</v>
      </c>
      <c r="E21" s="503"/>
      <c r="F21" s="503"/>
      <c r="G21" s="503"/>
      <c r="H21" s="503"/>
      <c r="I21" s="503"/>
      <c r="J21" s="503"/>
      <c r="K21" s="503"/>
      <c r="L21" s="503"/>
      <c r="M21" s="503"/>
      <c r="N21" s="504" t="s">
        <v>1524</v>
      </c>
      <c r="O21" s="505" t="s">
        <v>2506</v>
      </c>
      <c r="P21" s="506" t="s">
        <v>2508</v>
      </c>
      <c r="Q21" s="340">
        <v>50.0</v>
      </c>
      <c r="R21" s="472" t="s">
        <v>2509</v>
      </c>
    </row>
    <row r="22">
      <c r="A22" s="502" t="str">
        <f>HYPERLINK("http://en.uesp.net/wiki/Skyrim:A_Dance_in_Fire,_v3","A Dance in Fire, v3")</f>
        <v>A Dance in Fire, v3</v>
      </c>
      <c r="B22" s="63" t="s">
        <v>132</v>
      </c>
      <c r="C22" s="63" t="s">
        <v>132</v>
      </c>
      <c r="D22" s="63" t="s">
        <v>132</v>
      </c>
      <c r="E22" s="503"/>
      <c r="F22" s="503"/>
      <c r="G22" s="503"/>
      <c r="H22" s="503"/>
      <c r="I22" s="503"/>
      <c r="J22" s="503"/>
      <c r="K22" s="503"/>
      <c r="L22" s="503"/>
      <c r="M22" s="503"/>
      <c r="N22" s="320">
        <v>0.0</v>
      </c>
      <c r="O22" s="506" t="s">
        <v>2506</v>
      </c>
      <c r="P22" s="506" t="s">
        <v>2510</v>
      </c>
      <c r="Q22" s="340">
        <v>3.0</v>
      </c>
      <c r="R22" s="503" t="s">
        <v>2440</v>
      </c>
    </row>
    <row r="23">
      <c r="A23" s="502" t="str">
        <f>HYPERLINK("http://en.uesp.net/wiki/Skyrim:A_Dance_in_Fire,_v4","A Dance in Fire, v4")</f>
        <v>A Dance in Fire, v4</v>
      </c>
      <c r="B23" s="63" t="s">
        <v>132</v>
      </c>
      <c r="C23" s="63" t="s">
        <v>132</v>
      </c>
      <c r="D23" s="63" t="s">
        <v>132</v>
      </c>
      <c r="E23" s="503"/>
      <c r="F23" s="503"/>
      <c r="G23" s="503"/>
      <c r="H23" s="503"/>
      <c r="I23" s="503"/>
      <c r="J23" s="503"/>
      <c r="K23" s="503"/>
      <c r="L23" s="503"/>
      <c r="M23" s="503"/>
      <c r="N23" s="504">
        <v>0.0</v>
      </c>
      <c r="O23" s="505" t="s">
        <v>2506</v>
      </c>
      <c r="P23" s="506" t="s">
        <v>2511</v>
      </c>
      <c r="Q23" s="340">
        <v>4.0</v>
      </c>
      <c r="R23" s="508" t="s">
        <v>2440</v>
      </c>
    </row>
    <row r="24">
      <c r="A24" s="502" t="str">
        <f>HYPERLINK("http://en.uesp.net/wiki/Skyrim:A_Dance_in_Fire,_v5","A Dance in Fire, v5")</f>
        <v>A Dance in Fire, v5</v>
      </c>
      <c r="B24" s="63" t="s">
        <v>132</v>
      </c>
      <c r="C24" s="63" t="s">
        <v>132</v>
      </c>
      <c r="D24" s="63" t="s">
        <v>132</v>
      </c>
      <c r="E24" s="503"/>
      <c r="F24" s="503"/>
      <c r="G24" s="503"/>
      <c r="H24" s="503"/>
      <c r="I24" s="503"/>
      <c r="J24" s="503"/>
      <c r="K24" s="503"/>
      <c r="L24" s="503"/>
      <c r="M24" s="503"/>
      <c r="N24" s="504">
        <v>4.0</v>
      </c>
      <c r="O24" s="505" t="s">
        <v>2506</v>
      </c>
      <c r="P24" s="506" t="s">
        <v>2512</v>
      </c>
      <c r="Q24" s="340">
        <v>30.0</v>
      </c>
      <c r="R24" s="503" t="s">
        <v>2440</v>
      </c>
    </row>
    <row r="25">
      <c r="A25" s="502" t="str">
        <f>HYPERLINK("http://en.uesp.net/wiki/Skyrim:A_Dance_in_Fire,_v6","A Dance in Fire, v6")</f>
        <v>A Dance in Fire, v6</v>
      </c>
      <c r="B25" s="63" t="s">
        <v>132</v>
      </c>
      <c r="C25" s="63" t="s">
        <v>132</v>
      </c>
      <c r="D25" s="63" t="s">
        <v>132</v>
      </c>
      <c r="E25" s="503"/>
      <c r="F25" s="503"/>
      <c r="G25" s="503"/>
      <c r="H25" s="503"/>
      <c r="I25" s="503"/>
      <c r="J25" s="503"/>
      <c r="K25" s="503"/>
      <c r="L25" s="503"/>
      <c r="M25" s="503"/>
      <c r="N25" s="504" t="s">
        <v>1524</v>
      </c>
      <c r="O25" s="505" t="s">
        <v>2506</v>
      </c>
      <c r="P25" s="506" t="s">
        <v>2513</v>
      </c>
      <c r="Q25" s="340">
        <v>60.0</v>
      </c>
      <c r="R25" s="509" t="s">
        <v>2500</v>
      </c>
    </row>
    <row r="26">
      <c r="A26" s="502" t="str">
        <f>HYPERLINK("http://en.uesp.net/wiki/Skyrim:A_Dance_in_Fire,_v7","A Dance in Fire, v7")</f>
        <v>A Dance in Fire, v7</v>
      </c>
      <c r="B26" s="63" t="s">
        <v>132</v>
      </c>
      <c r="C26" s="63" t="s">
        <v>132</v>
      </c>
      <c r="D26" s="63" t="s">
        <v>132</v>
      </c>
      <c r="E26" s="503"/>
      <c r="F26" s="503"/>
      <c r="G26" s="503"/>
      <c r="H26" s="503"/>
      <c r="I26" s="503"/>
      <c r="J26" s="503"/>
      <c r="K26" s="503"/>
      <c r="L26" s="503"/>
      <c r="M26" s="503"/>
      <c r="N26" s="320" t="s">
        <v>1524</v>
      </c>
      <c r="O26" s="506" t="s">
        <v>2506</v>
      </c>
      <c r="P26" s="506" t="s">
        <v>2514</v>
      </c>
      <c r="Q26" s="340">
        <v>60.0</v>
      </c>
      <c r="R26" s="509" t="s">
        <v>2500</v>
      </c>
    </row>
    <row r="27">
      <c r="A27" s="502" t="str">
        <f>HYPERLINK("http://en.uesp.net/wiki/Skyrim:A_Dream_of_Sovngarde","A Dream of Sovngarde")</f>
        <v>A Dream of Sovngarde</v>
      </c>
      <c r="B27" s="63" t="s">
        <v>132</v>
      </c>
      <c r="C27" s="63" t="s">
        <v>132</v>
      </c>
      <c r="D27" s="63" t="s">
        <v>132</v>
      </c>
      <c r="E27" s="503"/>
      <c r="F27" s="503"/>
      <c r="G27" s="503"/>
      <c r="H27" s="503"/>
      <c r="I27" s="503"/>
      <c r="J27" s="503"/>
      <c r="K27" s="503"/>
      <c r="L27" s="503"/>
      <c r="M27" s="503"/>
      <c r="N27" s="504">
        <v>2.0</v>
      </c>
      <c r="O27" s="505" t="s">
        <v>2515</v>
      </c>
      <c r="P27" s="506" t="s">
        <v>2516</v>
      </c>
      <c r="Q27" s="340">
        <v>8.0</v>
      </c>
      <c r="R27" s="508" t="s">
        <v>2440</v>
      </c>
    </row>
    <row r="28">
      <c r="A28" s="502" t="str">
        <f>HYPERLINK("http://en.uesp.net/wiki/Skyrim:A_Game_at_Dinner","A Game at Dinner")</f>
        <v>A Game at Dinner</v>
      </c>
      <c r="B28" s="63" t="s">
        <v>132</v>
      </c>
      <c r="C28" s="63" t="s">
        <v>132</v>
      </c>
      <c r="D28" s="63" t="s">
        <v>132</v>
      </c>
      <c r="E28" s="503"/>
      <c r="F28" s="503"/>
      <c r="G28" s="503"/>
      <c r="H28" s="503"/>
      <c r="I28" s="503"/>
      <c r="J28" s="503"/>
      <c r="K28" s="503"/>
      <c r="L28" s="503"/>
      <c r="M28" s="503"/>
      <c r="N28" s="320" t="s">
        <v>1524</v>
      </c>
      <c r="O28" s="506" t="s">
        <v>2517</v>
      </c>
      <c r="P28" s="506" t="s">
        <v>2518</v>
      </c>
      <c r="Q28" s="340">
        <v>55.0</v>
      </c>
      <c r="R28" s="472" t="s">
        <v>2519</v>
      </c>
    </row>
    <row r="29">
      <c r="A29" s="502" t="str">
        <f>HYPERLINK("http://en.uesp.net/wiki/Skyrim:A_Gentleman%27s_Guide_to_Whiterun","A Gentleman's Guide to Whiterun")</f>
        <v>A Gentleman's Guide to Whiterun</v>
      </c>
      <c r="B29" s="63" t="s">
        <v>132</v>
      </c>
      <c r="C29" s="63" t="s">
        <v>132</v>
      </c>
      <c r="D29" s="63" t="s">
        <v>132</v>
      </c>
      <c r="E29" s="503"/>
      <c r="F29" s="503"/>
      <c r="G29" s="503"/>
      <c r="H29" s="503"/>
      <c r="I29" s="503"/>
      <c r="J29" s="503"/>
      <c r="K29" s="503"/>
      <c r="L29" s="503"/>
      <c r="M29" s="503"/>
      <c r="N29" s="320">
        <v>1.0</v>
      </c>
      <c r="O29" s="506" t="s">
        <v>2520</v>
      </c>
      <c r="P29" s="506" t="s">
        <v>2521</v>
      </c>
      <c r="Q29" s="340">
        <v>3.0</v>
      </c>
      <c r="R29" s="503" t="s">
        <v>2440</v>
      </c>
    </row>
    <row r="30">
      <c r="A30" s="502" t="str">
        <f>HYPERLINK("http://en.uesp.net/wiki/Skyrim:A_Hypothetical_Treachery","A Hypothetical Treachery")</f>
        <v>A Hypothetical Treachery</v>
      </c>
      <c r="B30" s="63" t="s">
        <v>132</v>
      </c>
      <c r="C30" s="63" t="s">
        <v>132</v>
      </c>
      <c r="D30" s="63" t="s">
        <v>132</v>
      </c>
      <c r="E30" s="503"/>
      <c r="F30" s="503"/>
      <c r="G30" s="503"/>
      <c r="H30" s="503"/>
      <c r="I30" s="503"/>
      <c r="J30" s="503"/>
      <c r="K30" s="503"/>
      <c r="L30" s="503"/>
      <c r="M30" s="503"/>
      <c r="N30" s="320" t="s">
        <v>1524</v>
      </c>
      <c r="O30" s="508" t="s">
        <v>2522</v>
      </c>
      <c r="P30" s="506" t="s">
        <v>2523</v>
      </c>
      <c r="Q30" s="340">
        <v>55.0</v>
      </c>
      <c r="R30" s="472" t="s">
        <v>2524</v>
      </c>
    </row>
    <row r="31">
      <c r="A31" s="502" t="str">
        <f>HYPERLINK("http://en.uesp.net/wiki/Skyrim:A_Kiss,_Sweet_Mother","A Kiss, Sweet Mother")</f>
        <v>A Kiss, Sweet Mother</v>
      </c>
      <c r="B31" s="63" t="s">
        <v>132</v>
      </c>
      <c r="C31" s="63" t="s">
        <v>132</v>
      </c>
      <c r="D31" s="63" t="s">
        <v>132</v>
      </c>
      <c r="E31" s="503"/>
      <c r="F31" s="503"/>
      <c r="G31" s="503"/>
      <c r="H31" s="503"/>
      <c r="I31" s="503"/>
      <c r="J31" s="503"/>
      <c r="K31" s="503"/>
      <c r="L31" s="503"/>
      <c r="M31" s="503"/>
      <c r="N31" s="504">
        <v>2.0</v>
      </c>
      <c r="O31" s="505" t="s">
        <v>2481</v>
      </c>
      <c r="P31" s="506" t="s">
        <v>2525</v>
      </c>
      <c r="Q31" s="340">
        <v>6.0</v>
      </c>
      <c r="R31" s="503" t="s">
        <v>2526</v>
      </c>
    </row>
    <row r="32">
      <c r="A32" s="502" t="str">
        <f>HYPERLINK("http://en.uesp.net/wiki/Skyrim:A_Minor_Maze","A Minor Maze")</f>
        <v>A Minor Maze</v>
      </c>
      <c r="B32" s="63" t="s">
        <v>132</v>
      </c>
      <c r="C32" s="63" t="s">
        <v>132</v>
      </c>
      <c r="D32" s="63" t="s">
        <v>132</v>
      </c>
      <c r="E32" s="503"/>
      <c r="F32" s="503"/>
      <c r="G32" s="503"/>
      <c r="H32" s="503"/>
      <c r="I32" s="503"/>
      <c r="J32" s="503"/>
      <c r="K32" s="503"/>
      <c r="L32" s="503"/>
      <c r="M32" s="503"/>
      <c r="N32" s="504">
        <v>2.0</v>
      </c>
      <c r="O32" s="505" t="s">
        <v>2481</v>
      </c>
      <c r="P32" s="506" t="s">
        <v>2527</v>
      </c>
      <c r="Q32" s="340">
        <v>8.0</v>
      </c>
      <c r="R32" s="503" t="s">
        <v>2440</v>
      </c>
    </row>
    <row r="33">
      <c r="A33" s="502" t="str">
        <f>HYPERLINK("http://en.uesp.net/wiki/Skyrim:A_Tragedy_in_Black","A Tragedy in Black")</f>
        <v>A Tragedy in Black</v>
      </c>
      <c r="B33" s="63" t="s">
        <v>132</v>
      </c>
      <c r="C33" s="63" t="s">
        <v>132</v>
      </c>
      <c r="D33" s="63" t="s">
        <v>132</v>
      </c>
      <c r="E33" s="503"/>
      <c r="F33" s="503"/>
      <c r="G33" s="503"/>
      <c r="H33" s="503"/>
      <c r="I33" s="503"/>
      <c r="J33" s="503"/>
      <c r="K33" s="503"/>
      <c r="L33" s="503"/>
      <c r="M33" s="503"/>
      <c r="N33" s="320" t="s">
        <v>1524</v>
      </c>
      <c r="O33" s="506" t="s">
        <v>2481</v>
      </c>
      <c r="P33" s="506" t="s">
        <v>2528</v>
      </c>
      <c r="Q33" s="340">
        <v>50.0</v>
      </c>
      <c r="R33" s="472" t="s">
        <v>2529</v>
      </c>
    </row>
    <row r="34">
      <c r="A34" s="502" t="str">
        <f>HYPERLINK("http://en.uesp.net/wiki/Skyrim:Admonition_Against_Ebony","Admonition Against Ebony")</f>
        <v>Admonition Against Ebony</v>
      </c>
      <c r="B34" s="63" t="s">
        <v>132</v>
      </c>
      <c r="C34" s="63" t="s">
        <v>132</v>
      </c>
      <c r="D34" s="63" t="s">
        <v>132</v>
      </c>
      <c r="E34" s="503"/>
      <c r="F34" s="503"/>
      <c r="G34" s="503"/>
      <c r="H34" s="503"/>
      <c r="I34" s="503"/>
      <c r="J34" s="503"/>
      <c r="K34" s="503"/>
      <c r="L34" s="503"/>
      <c r="M34" s="503"/>
      <c r="N34" s="320" t="s">
        <v>1524</v>
      </c>
      <c r="O34" s="506" t="s">
        <v>2481</v>
      </c>
      <c r="P34" s="508" t="s">
        <v>2530</v>
      </c>
      <c r="Q34" s="340">
        <v>5.0</v>
      </c>
      <c r="R34" s="503" t="s">
        <v>2440</v>
      </c>
    </row>
    <row r="35">
      <c r="A35" s="502" t="str">
        <f>HYPERLINK("http://en.uesp.net/wiki/Skyrim:Advances_in_Lockpicking","Advances in Lockpicking")</f>
        <v>Advances in Lockpicking</v>
      </c>
      <c r="B35" s="63" t="s">
        <v>132</v>
      </c>
      <c r="C35" s="63" t="s">
        <v>132</v>
      </c>
      <c r="D35" s="63" t="s">
        <v>132</v>
      </c>
      <c r="E35" s="503"/>
      <c r="F35" s="503"/>
      <c r="G35" s="503"/>
      <c r="H35" s="503"/>
      <c r="I35" s="503"/>
      <c r="J35" s="503"/>
      <c r="K35" s="503"/>
      <c r="L35" s="503"/>
      <c r="M35" s="503"/>
      <c r="N35" s="320" t="s">
        <v>1524</v>
      </c>
      <c r="O35" s="508" t="s">
        <v>2531</v>
      </c>
      <c r="P35" s="506" t="s">
        <v>2532</v>
      </c>
      <c r="Q35" s="340">
        <v>75.0</v>
      </c>
      <c r="R35" s="472" t="s">
        <v>2533</v>
      </c>
    </row>
    <row r="36">
      <c r="A36" s="502" t="str">
        <f>HYPERLINK("http://en.uesp.net/wiki/Skyrim:Adventurer%27s_Journal","Adventurer's Journal")</f>
        <v>Adventurer's Journal</v>
      </c>
      <c r="B36" s="63" t="s">
        <v>132</v>
      </c>
      <c r="C36" s="63" t="s">
        <v>132</v>
      </c>
      <c r="D36" s="63" t="s">
        <v>132</v>
      </c>
      <c r="E36" s="503"/>
      <c r="F36" s="503"/>
      <c r="G36" s="503"/>
      <c r="H36" s="503"/>
      <c r="I36" s="503"/>
      <c r="J36" s="503"/>
      <c r="K36" s="503"/>
      <c r="L36" s="503"/>
      <c r="M36" s="503"/>
      <c r="N36" s="320" t="s">
        <v>1524</v>
      </c>
      <c r="O36" s="508" t="s">
        <v>2534</v>
      </c>
      <c r="P36" s="506" t="s">
        <v>2535</v>
      </c>
      <c r="Q36" s="340">
        <v>5.0</v>
      </c>
      <c r="R36" s="503" t="s">
        <v>2536</v>
      </c>
    </row>
    <row r="37">
      <c r="A37" s="502" t="str">
        <f>HYPERLINK("http://en.uesp.net/wiki/Skyrim:Aedra_and_Daedra","Aedra and Daedra")</f>
        <v>Aedra and Daedra</v>
      </c>
      <c r="B37" s="63" t="s">
        <v>132</v>
      </c>
      <c r="C37" s="63" t="s">
        <v>132</v>
      </c>
      <c r="D37" s="63" t="s">
        <v>132</v>
      </c>
      <c r="E37" s="503"/>
      <c r="F37" s="503"/>
      <c r="G37" s="503"/>
      <c r="H37" s="503"/>
      <c r="I37" s="503"/>
      <c r="J37" s="503"/>
      <c r="K37" s="503"/>
      <c r="L37" s="503"/>
      <c r="M37" s="503"/>
      <c r="N37" s="320">
        <v>2.0</v>
      </c>
      <c r="O37" s="506" t="s">
        <v>2481</v>
      </c>
      <c r="P37" s="506" t="s">
        <v>2537</v>
      </c>
      <c r="Q37" s="340">
        <v>5.0</v>
      </c>
      <c r="R37" s="503" t="s">
        <v>2440</v>
      </c>
    </row>
    <row r="38">
      <c r="A38" s="502" t="str">
        <f>HYPERLINK("http://en.uesp.net/wiki/Skyrim:Aevar_Stone-Singer","Aevar Stone-Singer")</f>
        <v>Aevar Stone-Singer</v>
      </c>
      <c r="B38" s="63" t="s">
        <v>132</v>
      </c>
      <c r="C38" s="63" t="s">
        <v>132</v>
      </c>
      <c r="D38" s="63" t="s">
        <v>132</v>
      </c>
      <c r="E38" s="503"/>
      <c r="F38" s="503"/>
      <c r="G38" s="503"/>
      <c r="H38" s="503"/>
      <c r="I38" s="503"/>
      <c r="J38" s="503"/>
      <c r="K38" s="503"/>
      <c r="L38" s="503"/>
      <c r="M38" s="503"/>
      <c r="N38" s="504" t="s">
        <v>1524</v>
      </c>
      <c r="O38" s="505" t="s">
        <v>2481</v>
      </c>
      <c r="P38" s="506" t="s">
        <v>2538</v>
      </c>
      <c r="Q38" s="340">
        <v>60.0</v>
      </c>
      <c r="R38" s="472" t="s">
        <v>2539</v>
      </c>
    </row>
    <row r="39">
      <c r="A39" s="502" t="str">
        <f>HYPERLINK("http://en.uesp.net/wiki/Skyrim:Agrius%27s_Journal","Agrius's Journal")</f>
        <v>Agrius's Journal</v>
      </c>
      <c r="B39" s="63" t="s">
        <v>132</v>
      </c>
      <c r="C39" s="63" t="s">
        <v>132</v>
      </c>
      <c r="D39" s="63" t="s">
        <v>132</v>
      </c>
      <c r="E39" s="503"/>
      <c r="F39" s="503"/>
      <c r="G39" s="503"/>
      <c r="H39" s="503"/>
      <c r="I39" s="503"/>
      <c r="J39" s="503"/>
      <c r="K39" s="503"/>
      <c r="L39" s="503"/>
      <c r="M39" s="503"/>
      <c r="N39" s="320" t="s">
        <v>1524</v>
      </c>
      <c r="O39" s="508" t="s">
        <v>2540</v>
      </c>
      <c r="P39" s="506" t="s">
        <v>2541</v>
      </c>
      <c r="Q39" s="340">
        <v>5.0</v>
      </c>
      <c r="R39" s="503" t="s">
        <v>2536</v>
      </c>
    </row>
    <row r="40">
      <c r="A40" s="510" t="str">
        <f>HYPERLINK("https://en.uesp.net/wiki/Lore:Ahzidal%27s_Descent","Ahzidal's Descent")</f>
        <v>Ahzidal's Descent</v>
      </c>
      <c r="B40" s="63" t="s">
        <v>132</v>
      </c>
      <c r="C40" s="63" t="s">
        <v>132</v>
      </c>
      <c r="D40" s="63" t="s">
        <v>132</v>
      </c>
      <c r="E40" s="503"/>
      <c r="F40" s="503"/>
      <c r="G40" s="503"/>
      <c r="H40" s="503"/>
      <c r="I40" s="503"/>
      <c r="J40" s="503"/>
      <c r="K40" s="503"/>
      <c r="L40" s="503"/>
      <c r="M40" s="503"/>
      <c r="N40" s="42">
        <v>4.0</v>
      </c>
      <c r="O40" s="345" t="s">
        <v>2542</v>
      </c>
      <c r="P40" s="506" t="s">
        <v>2543</v>
      </c>
      <c r="Q40" s="340">
        <v>16.0</v>
      </c>
      <c r="R40" s="503" t="s">
        <v>2440</v>
      </c>
    </row>
    <row r="41">
      <c r="A41" s="502" t="str">
        <f>HYPERLINK("http://en.uesp.net/wiki/Skyrim:Ahzirr_Traajijazeri","Ahzirr Traajijazeri")</f>
        <v>Ahzirr Traajijazeri</v>
      </c>
      <c r="B41" s="63" t="s">
        <v>132</v>
      </c>
      <c r="C41" s="63" t="s">
        <v>132</v>
      </c>
      <c r="D41" s="63" t="s">
        <v>132</v>
      </c>
      <c r="E41" s="503"/>
      <c r="F41" s="503"/>
      <c r="G41" s="503"/>
      <c r="H41" s="503"/>
      <c r="I41" s="503"/>
      <c r="J41" s="503"/>
      <c r="K41" s="503"/>
      <c r="L41" s="503"/>
      <c r="M41" s="503"/>
      <c r="N41" s="320">
        <v>0.0</v>
      </c>
      <c r="O41" s="506" t="s">
        <v>2481</v>
      </c>
      <c r="P41" s="506" t="s">
        <v>2544</v>
      </c>
      <c r="Q41" s="340">
        <v>4.0</v>
      </c>
      <c r="R41" s="503" t="s">
        <v>2440</v>
      </c>
    </row>
    <row r="42">
      <c r="A42" s="502" t="str">
        <f>HYPERLINK("http://en.uesp.net/wiki/Skyrim:Aicantar%27s_Lab_Journal","Aicantar's Lab Journal")</f>
        <v>Aicantar's Lab Journal</v>
      </c>
      <c r="B42" s="63" t="s">
        <v>132</v>
      </c>
      <c r="C42" s="63" t="s">
        <v>132</v>
      </c>
      <c r="D42" s="63" t="s">
        <v>132</v>
      </c>
      <c r="E42" s="503"/>
      <c r="F42" s="503"/>
      <c r="G42" s="503"/>
      <c r="H42" s="503"/>
      <c r="I42" s="503"/>
      <c r="J42" s="503"/>
      <c r="K42" s="503"/>
      <c r="L42" s="503"/>
      <c r="M42" s="503"/>
      <c r="N42" s="320" t="s">
        <v>1524</v>
      </c>
      <c r="O42" s="508" t="s">
        <v>2522</v>
      </c>
      <c r="P42" s="506" t="s">
        <v>2545</v>
      </c>
      <c r="Q42" s="340">
        <v>5.0</v>
      </c>
      <c r="R42" s="503" t="s">
        <v>2536</v>
      </c>
    </row>
    <row r="43">
      <c r="A43" s="502" t="str">
        <f>HYPERLINK("http://en.uesp.net/wiki/Skyrim:Alchemist%27s_Journal_(camp)","Alchemist's Journal")</f>
        <v>Alchemist's Journal</v>
      </c>
      <c r="B43" s="63" t="s">
        <v>132</v>
      </c>
      <c r="C43" s="63" t="s">
        <v>132</v>
      </c>
      <c r="D43" s="63" t="s">
        <v>132</v>
      </c>
      <c r="E43" s="503"/>
      <c r="F43" s="503"/>
      <c r="G43" s="503"/>
      <c r="H43" s="503"/>
      <c r="I43" s="503"/>
      <c r="J43" s="503"/>
      <c r="K43" s="503"/>
      <c r="L43" s="503"/>
      <c r="M43" s="503"/>
      <c r="N43" s="320" t="s">
        <v>1524</v>
      </c>
      <c r="O43" s="508" t="s">
        <v>2546</v>
      </c>
      <c r="P43" s="506" t="s">
        <v>2547</v>
      </c>
      <c r="Q43" s="340">
        <v>5.0</v>
      </c>
      <c r="R43" s="503" t="s">
        <v>2536</v>
      </c>
    </row>
    <row r="44">
      <c r="A44" s="502" t="str">
        <f>HYPERLINK("http://en.uesp.net/wiki/Skyrim:Alchemist%27s_Journal_(shack)","Alchemist's Journal")</f>
        <v>Alchemist's Journal</v>
      </c>
      <c r="B44" s="63" t="s">
        <v>132</v>
      </c>
      <c r="C44" s="63" t="s">
        <v>132</v>
      </c>
      <c r="D44" s="63" t="s">
        <v>132</v>
      </c>
      <c r="E44" s="503"/>
      <c r="F44" s="503"/>
      <c r="G44" s="503"/>
      <c r="H44" s="503"/>
      <c r="I44" s="503"/>
      <c r="J44" s="503"/>
      <c r="K44" s="503"/>
      <c r="L44" s="503"/>
      <c r="M44" s="503"/>
      <c r="N44" s="320" t="s">
        <v>1524</v>
      </c>
      <c r="O44" s="508" t="s">
        <v>2546</v>
      </c>
      <c r="P44" s="506" t="s">
        <v>2548</v>
      </c>
      <c r="Q44" s="340">
        <v>5.0</v>
      </c>
      <c r="R44" s="503" t="s">
        <v>2536</v>
      </c>
    </row>
    <row r="45">
      <c r="A45" s="502" t="str">
        <f>HYPERLINK("http://en.uesp.net/wiki/Skyrim:Alduin_is_Real","Alduin is Real")</f>
        <v>Alduin is Real</v>
      </c>
      <c r="B45" s="63" t="s">
        <v>132</v>
      </c>
      <c r="C45" s="63" t="s">
        <v>132</v>
      </c>
      <c r="D45" s="63" t="s">
        <v>132</v>
      </c>
      <c r="E45" s="503"/>
      <c r="F45" s="503"/>
      <c r="G45" s="503"/>
      <c r="H45" s="503"/>
      <c r="I45" s="503"/>
      <c r="J45" s="503"/>
      <c r="K45" s="503"/>
      <c r="L45" s="503"/>
      <c r="M45" s="503"/>
      <c r="N45" s="320">
        <v>2.0</v>
      </c>
      <c r="O45" s="508" t="s">
        <v>2549</v>
      </c>
      <c r="P45" s="506" t="s">
        <v>2550</v>
      </c>
      <c r="Q45" s="340">
        <v>8.0</v>
      </c>
      <c r="R45" s="503" t="s">
        <v>2440</v>
      </c>
    </row>
    <row r="46">
      <c r="A46" s="502" t="str">
        <f>HYPERLINK("http://en.uesp.net/wiki/Skyrim:Alva%27s_Journal","Alva's Journal")</f>
        <v>Alva's Journal</v>
      </c>
      <c r="B46" s="63" t="s">
        <v>132</v>
      </c>
      <c r="C46" s="63" t="s">
        <v>132</v>
      </c>
      <c r="D46" s="63" t="s">
        <v>132</v>
      </c>
      <c r="E46" s="503"/>
      <c r="F46" s="503"/>
      <c r="G46" s="503"/>
      <c r="H46" s="503"/>
      <c r="I46" s="503"/>
      <c r="J46" s="503"/>
      <c r="K46" s="503"/>
      <c r="L46" s="503"/>
      <c r="M46" s="503"/>
      <c r="N46" s="320" t="s">
        <v>1524</v>
      </c>
      <c r="O46" s="506" t="s">
        <v>2551</v>
      </c>
      <c r="P46" s="506" t="s">
        <v>2552</v>
      </c>
      <c r="Q46" s="340">
        <v>5.0</v>
      </c>
      <c r="R46" s="503" t="s">
        <v>2536</v>
      </c>
    </row>
    <row r="47">
      <c r="A47" s="502" t="str">
        <f>HYPERLINK("http://en.uesp.net/wiki/Skyrim:Amongst_the_Draugr","Amongst the Draugr")</f>
        <v>Amongst the Draugr</v>
      </c>
      <c r="B47" s="63" t="s">
        <v>132</v>
      </c>
      <c r="C47" s="63" t="s">
        <v>132</v>
      </c>
      <c r="D47" s="63" t="s">
        <v>132</v>
      </c>
      <c r="E47" s="503"/>
      <c r="F47" s="503"/>
      <c r="G47" s="503"/>
      <c r="H47" s="503"/>
      <c r="I47" s="503"/>
      <c r="J47" s="503"/>
      <c r="K47" s="503"/>
      <c r="L47" s="503"/>
      <c r="M47" s="503"/>
      <c r="N47" s="320">
        <v>3.0</v>
      </c>
      <c r="O47" s="508" t="s">
        <v>2553</v>
      </c>
      <c r="P47" s="506" t="s">
        <v>2554</v>
      </c>
      <c r="Q47" s="340">
        <v>14.0</v>
      </c>
      <c r="R47" s="503" t="s">
        <v>2440</v>
      </c>
    </row>
    <row r="48">
      <c r="A48" s="502" t="str">
        <f>HYPERLINK("http://en.uesp.net/wiki/Skyrim:An_Accounting_of_the_Scrolls","An Accounting of the Scrolls")</f>
        <v>An Accounting of the Scrolls</v>
      </c>
      <c r="B48" s="63" t="s">
        <v>132</v>
      </c>
      <c r="C48" s="63" t="s">
        <v>132</v>
      </c>
      <c r="D48" s="63" t="s">
        <v>132</v>
      </c>
      <c r="E48" s="503"/>
      <c r="F48" s="503"/>
      <c r="G48" s="503"/>
      <c r="H48" s="503"/>
      <c r="I48" s="503"/>
      <c r="J48" s="503"/>
      <c r="K48" s="503"/>
      <c r="L48" s="503"/>
      <c r="M48" s="503"/>
      <c r="N48" s="320">
        <v>4.0</v>
      </c>
      <c r="O48" s="506" t="s">
        <v>2555</v>
      </c>
      <c r="P48" s="506" t="s">
        <v>2556</v>
      </c>
      <c r="Q48" s="340">
        <v>20.0</v>
      </c>
      <c r="R48" s="345" t="s">
        <v>2440</v>
      </c>
    </row>
    <row r="49">
      <c r="A49" s="502" t="str">
        <f>HYPERLINK("http://en.uesp.net/wiki/Skyrim:An_Explorer%27s_Guide_to_Skyrim","An Explorer's Guide to Skyrim")</f>
        <v>An Explorer's Guide to Skyrim</v>
      </c>
      <c r="B49" s="63" t="s">
        <v>132</v>
      </c>
      <c r="C49" s="63" t="s">
        <v>132</v>
      </c>
      <c r="D49" s="63" t="s">
        <v>132</v>
      </c>
      <c r="E49" s="503"/>
      <c r="F49" s="503"/>
      <c r="G49" s="503"/>
      <c r="H49" s="503"/>
      <c r="I49" s="503"/>
      <c r="J49" s="503"/>
      <c r="K49" s="503"/>
      <c r="L49" s="503"/>
      <c r="M49" s="503"/>
      <c r="N49" s="320">
        <v>2.0</v>
      </c>
      <c r="O49" s="508" t="s">
        <v>2557</v>
      </c>
      <c r="P49" s="506" t="s">
        <v>2558</v>
      </c>
      <c r="Q49" s="340">
        <v>8.0</v>
      </c>
      <c r="R49" s="453" t="s">
        <v>2440</v>
      </c>
    </row>
    <row r="50">
      <c r="A50" s="502" t="str">
        <f>HYPERLINK("http://en.uesp.net/wiki/Skyrim:Ancestors_and_the_Dunmer","Ancestors and the Dunmer")</f>
        <v>Ancestors and the Dunmer</v>
      </c>
      <c r="B50" s="63" t="s">
        <v>132</v>
      </c>
      <c r="C50" s="63" t="s">
        <v>132</v>
      </c>
      <c r="D50" s="63" t="s">
        <v>132</v>
      </c>
      <c r="E50" s="503"/>
      <c r="F50" s="503"/>
      <c r="G50" s="503"/>
      <c r="H50" s="503"/>
      <c r="I50" s="503"/>
      <c r="J50" s="503"/>
      <c r="K50" s="503"/>
      <c r="L50" s="503"/>
      <c r="M50" s="503"/>
      <c r="N50" s="320">
        <v>2.0</v>
      </c>
      <c r="O50" s="508" t="s">
        <v>2481</v>
      </c>
      <c r="P50" s="506" t="s">
        <v>2559</v>
      </c>
      <c r="Q50" s="340">
        <v>8.0</v>
      </c>
      <c r="R50" s="503" t="s">
        <v>2440</v>
      </c>
    </row>
    <row r="51">
      <c r="A51" s="502" t="str">
        <f>HYPERLINK("http://en.uesp.net/wiki/Skyrim:Annals_of_the_Dragonguard","Annals of the Dragonguard")</f>
        <v>Annals of the Dragonguard</v>
      </c>
      <c r="B51" s="63" t="s">
        <v>132</v>
      </c>
      <c r="C51" s="63" t="s">
        <v>132</v>
      </c>
      <c r="D51" s="63" t="s">
        <v>132</v>
      </c>
      <c r="E51" s="503"/>
      <c r="F51" s="503"/>
      <c r="G51" s="503"/>
      <c r="H51" s="503"/>
      <c r="I51" s="503"/>
      <c r="J51" s="503"/>
      <c r="K51" s="503"/>
      <c r="L51" s="503"/>
      <c r="M51" s="503"/>
      <c r="N51" s="320" t="s">
        <v>1524</v>
      </c>
      <c r="O51" s="508" t="s">
        <v>2560</v>
      </c>
      <c r="P51" s="506" t="s">
        <v>2561</v>
      </c>
      <c r="Q51" s="340">
        <v>200.0</v>
      </c>
      <c r="R51" s="503" t="s">
        <v>2440</v>
      </c>
    </row>
    <row r="52">
      <c r="A52" s="502" t="str">
        <f>HYPERLINK("http://en.uesp.net/wiki/Skyrim:Antecedants_of_Dwemer_Law","Antecedants of Dwemer Law")</f>
        <v>Antecedants of Dwemer Law</v>
      </c>
      <c r="B52" s="63" t="s">
        <v>132</v>
      </c>
      <c r="C52" s="63" t="s">
        <v>132</v>
      </c>
      <c r="D52" s="63" t="s">
        <v>132</v>
      </c>
      <c r="E52" s="503"/>
      <c r="F52" s="503"/>
      <c r="G52" s="503"/>
      <c r="H52" s="503"/>
      <c r="I52" s="503"/>
      <c r="J52" s="503"/>
      <c r="K52" s="503"/>
      <c r="L52" s="503"/>
      <c r="M52" s="503"/>
      <c r="N52" s="320">
        <v>2.0</v>
      </c>
      <c r="O52" s="508" t="s">
        <v>2481</v>
      </c>
      <c r="P52" s="506" t="s">
        <v>2562</v>
      </c>
      <c r="Q52" s="340">
        <v>5.0</v>
      </c>
      <c r="R52" s="503" t="s">
        <v>2440</v>
      </c>
    </row>
    <row r="53">
      <c r="A53" s="502" t="str">
        <f>HYPERLINK("http://en.uesp.net/wiki/Skyrim:Arcana_Restored","Arcana Restored")</f>
        <v>Arcana Restored</v>
      </c>
      <c r="B53" s="63" t="s">
        <v>132</v>
      </c>
      <c r="C53" s="63" t="s">
        <v>132</v>
      </c>
      <c r="D53" s="63" t="s">
        <v>132</v>
      </c>
      <c r="E53" s="503"/>
      <c r="F53" s="503"/>
      <c r="G53" s="503"/>
      <c r="H53" s="503"/>
      <c r="I53" s="503"/>
      <c r="J53" s="503"/>
      <c r="K53" s="503"/>
      <c r="L53" s="503"/>
      <c r="M53" s="503"/>
      <c r="N53" s="320">
        <v>4.0</v>
      </c>
      <c r="O53" s="508" t="s">
        <v>2563</v>
      </c>
      <c r="P53" s="506" t="s">
        <v>2564</v>
      </c>
      <c r="Q53" s="340">
        <v>25.0</v>
      </c>
      <c r="R53" s="345" t="s">
        <v>2440</v>
      </c>
    </row>
    <row r="54">
      <c r="A54" s="502" t="str">
        <f>HYPERLINK("http://en.uesp.net/wiki/Skyrim:Argonian_Account,_Book_1","Argonian Account, Book 1")</f>
        <v>Argonian Account, Book 1</v>
      </c>
      <c r="B54" s="63" t="s">
        <v>132</v>
      </c>
      <c r="C54" s="63" t="s">
        <v>132</v>
      </c>
      <c r="D54" s="63" t="s">
        <v>132</v>
      </c>
      <c r="E54" s="503"/>
      <c r="F54" s="503"/>
      <c r="G54" s="503"/>
      <c r="H54" s="503"/>
      <c r="I54" s="503"/>
      <c r="J54" s="503"/>
      <c r="K54" s="503"/>
      <c r="L54" s="503"/>
      <c r="M54" s="503"/>
      <c r="N54" s="320">
        <v>0.0</v>
      </c>
      <c r="O54" s="506" t="s">
        <v>2506</v>
      </c>
      <c r="P54" s="506" t="s">
        <v>2565</v>
      </c>
      <c r="Q54" s="340">
        <v>2.0</v>
      </c>
      <c r="R54" s="453" t="s">
        <v>2440</v>
      </c>
    </row>
    <row r="55">
      <c r="A55" s="502" t="str">
        <f>HYPERLINK("http://en.uesp.net/wiki/Skyrim:Argonian_Account,_Book_2","Argonian Account, Book 2")</f>
        <v>Argonian Account, Book 2</v>
      </c>
      <c r="B55" s="63" t="s">
        <v>132</v>
      </c>
      <c r="C55" s="63" t="s">
        <v>132</v>
      </c>
      <c r="D55" s="63" t="s">
        <v>132</v>
      </c>
      <c r="E55" s="503"/>
      <c r="F55" s="503"/>
      <c r="G55" s="503"/>
      <c r="H55" s="503"/>
      <c r="I55" s="503"/>
      <c r="J55" s="503"/>
      <c r="K55" s="503"/>
      <c r="L55" s="503"/>
      <c r="M55" s="503"/>
      <c r="N55" s="320">
        <v>3.0</v>
      </c>
      <c r="O55" s="506" t="s">
        <v>2506</v>
      </c>
      <c r="P55" s="506" t="s">
        <v>2566</v>
      </c>
      <c r="Q55" s="340">
        <v>12.0</v>
      </c>
      <c r="R55" s="503" t="s">
        <v>2440</v>
      </c>
    </row>
    <row r="56">
      <c r="A56" s="502" t="str">
        <f>HYPERLINK("http://en.uesp.net/wiki/Skyrim:Argonian_Account,_Book_3","Argonian Account, Book 3")</f>
        <v>Argonian Account, Book 3</v>
      </c>
      <c r="B56" s="63" t="s">
        <v>132</v>
      </c>
      <c r="C56" s="63" t="s">
        <v>132</v>
      </c>
      <c r="D56" s="63" t="s">
        <v>132</v>
      </c>
      <c r="E56" s="503"/>
      <c r="F56" s="503"/>
      <c r="G56" s="503"/>
      <c r="H56" s="503"/>
      <c r="I56" s="503"/>
      <c r="J56" s="503"/>
      <c r="K56" s="503"/>
      <c r="L56" s="503"/>
      <c r="M56" s="503"/>
      <c r="N56" s="320">
        <v>0.0</v>
      </c>
      <c r="O56" s="506" t="s">
        <v>2506</v>
      </c>
      <c r="P56" s="506" t="s">
        <v>2567</v>
      </c>
      <c r="Q56" s="340">
        <v>12.0</v>
      </c>
      <c r="R56" s="503" t="s">
        <v>2440</v>
      </c>
    </row>
    <row r="57">
      <c r="A57" s="502" t="str">
        <f>HYPERLINK("http://en.uesp.net/wiki/Skyrim:Argonian_Account,_Book_4","Argonian Account, Book 4")</f>
        <v>Argonian Account, Book 4</v>
      </c>
      <c r="B57" s="63" t="s">
        <v>132</v>
      </c>
      <c r="C57" s="63" t="s">
        <v>132</v>
      </c>
      <c r="D57" s="63" t="s">
        <v>132</v>
      </c>
      <c r="E57" s="503"/>
      <c r="F57" s="503"/>
      <c r="G57" s="503"/>
      <c r="H57" s="503"/>
      <c r="I57" s="503"/>
      <c r="J57" s="503"/>
      <c r="K57" s="503"/>
      <c r="L57" s="503"/>
      <c r="M57" s="503"/>
      <c r="N57" s="504">
        <v>3.0</v>
      </c>
      <c r="O57" s="505" t="s">
        <v>2506</v>
      </c>
      <c r="P57" s="506" t="s">
        <v>2568</v>
      </c>
      <c r="Q57" s="340">
        <v>12.0</v>
      </c>
      <c r="R57" s="503" t="s">
        <v>2440</v>
      </c>
    </row>
    <row r="58">
      <c r="A58" s="502" t="str">
        <f>HYPERLINK("http://en.uesp.net/wiki/Skyrim:Arvel%27s_Journal","Arvel's Journal")</f>
        <v>Arvel's Journal</v>
      </c>
      <c r="B58" s="63" t="s">
        <v>132</v>
      </c>
      <c r="C58" s="63" t="s">
        <v>132</v>
      </c>
      <c r="D58" s="63" t="s">
        <v>132</v>
      </c>
      <c r="E58" s="503"/>
      <c r="F58" s="503"/>
      <c r="G58" s="503"/>
      <c r="H58" s="503"/>
      <c r="I58" s="503"/>
      <c r="J58" s="503"/>
      <c r="K58" s="503"/>
      <c r="L58" s="503"/>
      <c r="M58" s="503"/>
      <c r="N58" s="320" t="s">
        <v>1524</v>
      </c>
      <c r="O58" s="506" t="s">
        <v>2569</v>
      </c>
      <c r="P58" s="506" t="s">
        <v>2570</v>
      </c>
      <c r="Q58" s="340">
        <v>5.0</v>
      </c>
      <c r="R58" s="345" t="s">
        <v>2536</v>
      </c>
    </row>
    <row r="59">
      <c r="A59" s="502" t="str">
        <f>HYPERLINK("http://en.uesp.net/wiki/Skyrim:Atlas_of_Dragons","Atlas of Dragons")</f>
        <v>Atlas of Dragons</v>
      </c>
      <c r="B59" s="63" t="s">
        <v>132</v>
      </c>
      <c r="C59" s="63" t="s">
        <v>132</v>
      </c>
      <c r="D59" s="63" t="s">
        <v>132</v>
      </c>
      <c r="E59" s="503"/>
      <c r="F59" s="503"/>
      <c r="G59" s="503"/>
      <c r="H59" s="503"/>
      <c r="I59" s="503"/>
      <c r="J59" s="503"/>
      <c r="K59" s="503"/>
      <c r="L59" s="503"/>
      <c r="M59" s="503"/>
      <c r="N59" s="504" t="s">
        <v>1524</v>
      </c>
      <c r="O59" s="345" t="s">
        <v>2571</v>
      </c>
      <c r="P59" s="506" t="s">
        <v>2572</v>
      </c>
      <c r="Q59" s="340">
        <v>50.0</v>
      </c>
      <c r="R59" s="503" t="s">
        <v>2440</v>
      </c>
    </row>
    <row r="60">
      <c r="A60" s="502" t="str">
        <f>HYPERLINK("http://en.uesp.net/wiki/Skyrim:Atronach_Forge_Manual","Atronach Forge Manual")</f>
        <v>Atronach Forge Manual</v>
      </c>
      <c r="B60" s="63" t="s">
        <v>132</v>
      </c>
      <c r="C60" s="63" t="s">
        <v>132</v>
      </c>
      <c r="D60" s="63" t="s">
        <v>132</v>
      </c>
      <c r="E60" s="503"/>
      <c r="F60" s="503"/>
      <c r="G60" s="503"/>
      <c r="H60" s="503"/>
      <c r="I60" s="503"/>
      <c r="J60" s="503"/>
      <c r="K60" s="503"/>
      <c r="L60" s="503"/>
      <c r="M60" s="503"/>
      <c r="N60" s="504" t="s">
        <v>1524</v>
      </c>
      <c r="O60" s="345" t="s">
        <v>2481</v>
      </c>
      <c r="P60" s="506" t="s">
        <v>2573</v>
      </c>
      <c r="Q60" s="340">
        <v>5.0</v>
      </c>
      <c r="R60" s="345" t="s">
        <v>2440</v>
      </c>
    </row>
    <row r="61">
      <c r="A61" s="502" t="str">
        <f>HYPERLINK("http://en.uesp.net/wiki/Skyrim:Azura_and_the_Box","Azura and the Box")</f>
        <v>Azura and the Box</v>
      </c>
      <c r="B61" s="63" t="s">
        <v>132</v>
      </c>
      <c r="C61" s="63" t="s">
        <v>132</v>
      </c>
      <c r="D61" s="63" t="s">
        <v>132</v>
      </c>
      <c r="E61" s="503"/>
      <c r="F61" s="503"/>
      <c r="G61" s="503"/>
      <c r="H61" s="503"/>
      <c r="I61" s="503"/>
      <c r="J61" s="503"/>
      <c r="K61" s="503"/>
      <c r="L61" s="503"/>
      <c r="M61" s="503"/>
      <c r="N61" s="504">
        <v>3.0</v>
      </c>
      <c r="O61" s="345" t="s">
        <v>2574</v>
      </c>
      <c r="P61" s="506" t="s">
        <v>2575</v>
      </c>
      <c r="Q61" s="340">
        <v>10.0</v>
      </c>
      <c r="R61" s="345" t="s">
        <v>2440</v>
      </c>
    </row>
    <row r="62">
      <c r="A62" s="502" t="str">
        <f>HYPERLINK("http://en.uesp.net/wiki/Skyrim:Bandit_Leader%27s_Journal","Bandit Leader's Journal")</f>
        <v>Bandit Leader's Journal</v>
      </c>
      <c r="B62" s="63" t="s">
        <v>132</v>
      </c>
      <c r="C62" s="63" t="s">
        <v>132</v>
      </c>
      <c r="D62" s="63" t="s">
        <v>132</v>
      </c>
      <c r="E62" s="503"/>
      <c r="F62" s="503"/>
      <c r="G62" s="503"/>
      <c r="H62" s="503"/>
      <c r="I62" s="503"/>
      <c r="J62" s="503"/>
      <c r="K62" s="503"/>
      <c r="L62" s="503"/>
      <c r="M62" s="503"/>
      <c r="N62" s="320" t="s">
        <v>1524</v>
      </c>
      <c r="O62" s="508" t="s">
        <v>2576</v>
      </c>
      <c r="P62" s="506" t="s">
        <v>2577</v>
      </c>
      <c r="Q62" s="340">
        <v>5.0</v>
      </c>
      <c r="R62" s="453" t="s">
        <v>2536</v>
      </c>
    </row>
    <row r="63">
      <c r="A63" s="502" t="str">
        <f>HYPERLINK("http://en.uesp.net/wiki/Skyrim:Bandit%27s_Journal_(Fort_Neugrad)","Bandit's Journal")</f>
        <v>Bandit's Journal</v>
      </c>
      <c r="B63" s="63" t="s">
        <v>132</v>
      </c>
      <c r="C63" s="63" t="s">
        <v>132</v>
      </c>
      <c r="D63" s="63" t="s">
        <v>132</v>
      </c>
      <c r="E63" s="503"/>
      <c r="F63" s="503"/>
      <c r="G63" s="503"/>
      <c r="H63" s="503"/>
      <c r="I63" s="503"/>
      <c r="J63" s="503"/>
      <c r="K63" s="503"/>
      <c r="L63" s="503"/>
      <c r="M63" s="503"/>
      <c r="N63" s="504" t="s">
        <v>1524</v>
      </c>
      <c r="O63" s="345" t="s">
        <v>2576</v>
      </c>
      <c r="P63" s="506" t="s">
        <v>2578</v>
      </c>
      <c r="Q63" s="340">
        <v>5.0</v>
      </c>
      <c r="R63" s="453" t="s">
        <v>2536</v>
      </c>
    </row>
    <row r="64">
      <c r="A64" s="502" t="str">
        <f>HYPERLINK("http://en.uesp.net/wiki/Skyrim:Bandit%27s_Journal_(Orotheim)","Bandit's Journal")</f>
        <v>Bandit's Journal</v>
      </c>
      <c r="B64" s="63" t="s">
        <v>132</v>
      </c>
      <c r="C64" s="63" t="s">
        <v>132</v>
      </c>
      <c r="D64" s="63" t="s">
        <v>132</v>
      </c>
      <c r="E64" s="503"/>
      <c r="F64" s="503"/>
      <c r="G64" s="503"/>
      <c r="H64" s="503"/>
      <c r="I64" s="503"/>
      <c r="J64" s="503"/>
      <c r="K64" s="503"/>
      <c r="L64" s="503"/>
      <c r="M64" s="503"/>
      <c r="N64" s="320" t="s">
        <v>1524</v>
      </c>
      <c r="O64" s="508" t="s">
        <v>2576</v>
      </c>
      <c r="P64" s="506" t="s">
        <v>2579</v>
      </c>
      <c r="Q64" s="340">
        <v>5.0</v>
      </c>
      <c r="R64" s="503" t="s">
        <v>2536</v>
      </c>
    </row>
    <row r="65">
      <c r="A65" s="502" t="str">
        <f>HYPERLINK("http://en.uesp.net/wiki/Skyrim:Battle_of_Red_Mountain","Battle of Red Mountain")</f>
        <v>Battle of Red Mountain</v>
      </c>
      <c r="B65" s="63" t="s">
        <v>132</v>
      </c>
      <c r="C65" s="63" t="s">
        <v>132</v>
      </c>
      <c r="D65" s="63" t="s">
        <v>132</v>
      </c>
      <c r="E65" s="503"/>
      <c r="F65" s="503"/>
      <c r="G65" s="503"/>
      <c r="H65" s="503"/>
      <c r="I65" s="503"/>
      <c r="J65" s="503"/>
      <c r="K65" s="503"/>
      <c r="L65" s="503"/>
      <c r="M65" s="503"/>
      <c r="N65" s="320" t="s">
        <v>1524</v>
      </c>
      <c r="O65" s="508" t="s">
        <v>2580</v>
      </c>
      <c r="P65" s="506" t="s">
        <v>2581</v>
      </c>
      <c r="Q65" s="340">
        <v>50.0</v>
      </c>
      <c r="R65" s="472" t="s">
        <v>2509</v>
      </c>
    </row>
    <row r="66">
      <c r="A66" s="502" t="str">
        <f>HYPERLINK("http://en.uesp.net/wiki/Skyrim:Battle_of_Sancre_Tor","Battle of Sancre Tor")</f>
        <v>Battle of Sancre Tor</v>
      </c>
      <c r="B66" s="63" t="s">
        <v>132</v>
      </c>
      <c r="C66" s="63" t="s">
        <v>132</v>
      </c>
      <c r="D66" s="63" t="s">
        <v>132</v>
      </c>
      <c r="E66" s="503"/>
      <c r="F66" s="503"/>
      <c r="G66" s="503"/>
      <c r="H66" s="503"/>
      <c r="I66" s="503"/>
      <c r="J66" s="503"/>
      <c r="K66" s="503"/>
      <c r="L66" s="503"/>
      <c r="M66" s="503"/>
      <c r="N66" s="320" t="s">
        <v>1524</v>
      </c>
      <c r="O66" s="508" t="s">
        <v>2481</v>
      </c>
      <c r="P66" s="506" t="s">
        <v>2582</v>
      </c>
      <c r="Q66" s="340">
        <v>50.0</v>
      </c>
      <c r="R66" s="472" t="s">
        <v>2583</v>
      </c>
    </row>
    <row r="67">
      <c r="A67" s="502" t="str">
        <f>HYPERLINK("http://en.uesp.net/wiki/Skyrim:Before_the_Ages_of_Man","Before the Ages of Man")</f>
        <v>Before the Ages of Man</v>
      </c>
      <c r="B67" s="63" t="s">
        <v>132</v>
      </c>
      <c r="C67" s="63" t="s">
        <v>132</v>
      </c>
      <c r="D67" s="63" t="s">
        <v>132</v>
      </c>
      <c r="E67" s="503"/>
      <c r="F67" s="503"/>
      <c r="G67" s="503"/>
      <c r="H67" s="503"/>
      <c r="I67" s="503"/>
      <c r="J67" s="503"/>
      <c r="K67" s="503"/>
      <c r="L67" s="503"/>
      <c r="M67" s="503"/>
      <c r="N67" s="504" t="s">
        <v>1524</v>
      </c>
      <c r="O67" s="505" t="s">
        <v>2584</v>
      </c>
      <c r="P67" s="506" t="s">
        <v>2585</v>
      </c>
      <c r="Q67" s="340">
        <v>60.0</v>
      </c>
      <c r="R67" s="509" t="s">
        <v>2502</v>
      </c>
    </row>
    <row r="68">
      <c r="A68" s="502" t="str">
        <f>HYPERLINK("http://en.uesp.net/wiki/Skyrim:Beggar_(book)","Beggar")</f>
        <v>Beggar</v>
      </c>
      <c r="B68" s="63" t="s">
        <v>132</v>
      </c>
      <c r="C68" s="63" t="s">
        <v>132</v>
      </c>
      <c r="D68" s="63" t="s">
        <v>132</v>
      </c>
      <c r="E68" s="503"/>
      <c r="F68" s="503"/>
      <c r="G68" s="503"/>
      <c r="H68" s="503"/>
      <c r="I68" s="503"/>
      <c r="J68" s="503"/>
      <c r="K68" s="503"/>
      <c r="L68" s="503"/>
      <c r="M68" s="503"/>
      <c r="N68" s="504" t="s">
        <v>1524</v>
      </c>
      <c r="O68" s="505" t="s">
        <v>2586</v>
      </c>
      <c r="P68" s="506" t="s">
        <v>2587</v>
      </c>
      <c r="Q68" s="340">
        <v>60.0</v>
      </c>
      <c r="R68" s="472" t="s">
        <v>2539</v>
      </c>
    </row>
    <row r="69">
      <c r="A69" s="502" t="str">
        <f>HYPERLINK("http://en.uesp.net/wiki/Skyrim:Beggar_Prince","Beggar Prince")</f>
        <v>Beggar Prince</v>
      </c>
      <c r="B69" s="63" t="s">
        <v>132</v>
      </c>
      <c r="C69" s="63" t="s">
        <v>132</v>
      </c>
      <c r="D69" s="63" t="s">
        <v>132</v>
      </c>
      <c r="E69" s="503"/>
      <c r="F69" s="503"/>
      <c r="G69" s="503"/>
      <c r="H69" s="503"/>
      <c r="I69" s="503"/>
      <c r="J69" s="503"/>
      <c r="K69" s="503"/>
      <c r="L69" s="503"/>
      <c r="M69" s="503"/>
      <c r="N69" s="320">
        <v>2.0</v>
      </c>
      <c r="O69" s="506" t="s">
        <v>2481</v>
      </c>
      <c r="P69" s="506" t="s">
        <v>2588</v>
      </c>
      <c r="Q69" s="340">
        <v>5.0</v>
      </c>
      <c r="R69" s="503" t="s">
        <v>2440</v>
      </c>
    </row>
    <row r="70">
      <c r="A70" s="502" t="str">
        <f>HYPERLINK("http://en.uesp.net/wiki/Skyrim:Biography_of_Barenziah,_v1","Biography of Barenziah, v1")</f>
        <v>Biography of Barenziah, v1</v>
      </c>
      <c r="B70" s="63" t="s">
        <v>132</v>
      </c>
      <c r="C70" s="63" t="s">
        <v>132</v>
      </c>
      <c r="D70" s="63" t="s">
        <v>132</v>
      </c>
      <c r="E70" s="503"/>
      <c r="F70" s="503"/>
      <c r="G70" s="503"/>
      <c r="H70" s="503"/>
      <c r="I70" s="503"/>
      <c r="J70" s="503"/>
      <c r="K70" s="503"/>
      <c r="L70" s="503"/>
      <c r="M70" s="503"/>
      <c r="N70" s="320">
        <v>1.0</v>
      </c>
      <c r="O70" s="506" t="s">
        <v>2589</v>
      </c>
      <c r="P70" s="506" t="s">
        <v>2590</v>
      </c>
      <c r="Q70" s="340">
        <v>3.0</v>
      </c>
      <c r="R70" s="345" t="s">
        <v>2440</v>
      </c>
    </row>
    <row r="71">
      <c r="A71" s="502" t="str">
        <f>HYPERLINK("http://en.uesp.net/wiki/Skyrim:Biography_of_Barenziah,_v2","Biography of Barenziah, v2")</f>
        <v>Biography of Barenziah, v2</v>
      </c>
      <c r="B71" s="63" t="s">
        <v>132</v>
      </c>
      <c r="C71" s="63" t="s">
        <v>132</v>
      </c>
      <c r="D71" s="63" t="s">
        <v>132</v>
      </c>
      <c r="E71" s="503"/>
      <c r="F71" s="503"/>
      <c r="G71" s="503"/>
      <c r="H71" s="503"/>
      <c r="I71" s="503"/>
      <c r="J71" s="503"/>
      <c r="K71" s="503"/>
      <c r="L71" s="503"/>
      <c r="M71" s="503"/>
      <c r="N71" s="320">
        <v>1.0</v>
      </c>
      <c r="O71" s="506" t="s">
        <v>2589</v>
      </c>
      <c r="P71" s="506" t="s">
        <v>2591</v>
      </c>
      <c r="Q71" s="340">
        <v>3.0</v>
      </c>
      <c r="R71" s="345" t="s">
        <v>2440</v>
      </c>
    </row>
    <row r="72">
      <c r="A72" s="502" t="str">
        <f>HYPERLINK("http://en.uesp.net/wiki/Skyrim:Biography_of_Barenziah,_v3","Biography of Barenziah, v3")</f>
        <v>Biography of Barenziah, v3</v>
      </c>
      <c r="B72" s="63" t="s">
        <v>132</v>
      </c>
      <c r="C72" s="63" t="s">
        <v>132</v>
      </c>
      <c r="D72" s="63" t="s">
        <v>132</v>
      </c>
      <c r="E72" s="503"/>
      <c r="F72" s="503"/>
      <c r="G72" s="503"/>
      <c r="H72" s="503"/>
      <c r="I72" s="503"/>
      <c r="J72" s="503"/>
      <c r="K72" s="503"/>
      <c r="L72" s="503"/>
      <c r="M72" s="503"/>
      <c r="N72" s="320">
        <v>1.0</v>
      </c>
      <c r="O72" s="506" t="s">
        <v>2589</v>
      </c>
      <c r="P72" s="506" t="s">
        <v>2592</v>
      </c>
      <c r="Q72" s="340">
        <v>3.0</v>
      </c>
      <c r="R72" s="503" t="s">
        <v>2440</v>
      </c>
    </row>
    <row r="73">
      <c r="A73" s="502" t="str">
        <f>HYPERLINK("http://en.uesp.net/wiki/Skyrim:Biography_of_the_Wolf_Queen","Biography of the Wolf Queen")</f>
        <v>Biography of the Wolf Queen</v>
      </c>
      <c r="B73" s="63" t="s">
        <v>132</v>
      </c>
      <c r="C73" s="63" t="s">
        <v>132</v>
      </c>
      <c r="D73" s="63" t="s">
        <v>132</v>
      </c>
      <c r="E73" s="503"/>
      <c r="F73" s="503"/>
      <c r="G73" s="503"/>
      <c r="H73" s="503"/>
      <c r="I73" s="503"/>
      <c r="J73" s="503"/>
      <c r="K73" s="503"/>
      <c r="L73" s="503"/>
      <c r="M73" s="503"/>
      <c r="N73" s="320" t="s">
        <v>1524</v>
      </c>
      <c r="O73" s="508" t="s">
        <v>2593</v>
      </c>
      <c r="P73" s="506" t="s">
        <v>2594</v>
      </c>
      <c r="Q73" s="340">
        <v>60.0</v>
      </c>
      <c r="R73" s="509" t="s">
        <v>2500</v>
      </c>
    </row>
    <row r="74">
      <c r="A74" s="502" t="str">
        <f>HYPERLINK("http://en.uesp.net/wiki/Skyrim:Boethiah%27s_Glory","Boethiah's Glory")</f>
        <v>Boethiah's Glory</v>
      </c>
      <c r="B74" s="63" t="s">
        <v>132</v>
      </c>
      <c r="C74" s="63" t="s">
        <v>132</v>
      </c>
      <c r="D74" s="63" t="s">
        <v>132</v>
      </c>
      <c r="E74" s="503"/>
      <c r="F74" s="503"/>
      <c r="G74" s="503"/>
      <c r="H74" s="503"/>
      <c r="I74" s="503"/>
      <c r="J74" s="503"/>
      <c r="K74" s="503"/>
      <c r="L74" s="503"/>
      <c r="M74" s="503"/>
      <c r="N74" s="320">
        <v>4.0</v>
      </c>
      <c r="O74" s="506" t="s">
        <v>2481</v>
      </c>
      <c r="P74" s="506" t="s">
        <v>2595</v>
      </c>
      <c r="Q74" s="340">
        <v>25.0</v>
      </c>
      <c r="R74" s="503" t="s">
        <v>2440</v>
      </c>
    </row>
    <row r="75">
      <c r="A75" s="502" t="str">
        <f>HYPERLINK("http://en.uesp.net/wiki/Skyrim:Boethiah%27s_Proving","Boethiah's Proving")</f>
        <v>Boethiah's Proving</v>
      </c>
      <c r="B75" s="63" t="s">
        <v>132</v>
      </c>
      <c r="C75" s="63" t="s">
        <v>132</v>
      </c>
      <c r="D75" s="63" t="s">
        <v>132</v>
      </c>
      <c r="E75" s="503"/>
      <c r="F75" s="503"/>
      <c r="G75" s="503"/>
      <c r="H75" s="503"/>
      <c r="I75" s="503"/>
      <c r="J75" s="503"/>
      <c r="K75" s="503"/>
      <c r="L75" s="503"/>
      <c r="M75" s="503"/>
      <c r="N75" s="511">
        <v>44231.0</v>
      </c>
      <c r="O75" s="506" t="s">
        <v>2481</v>
      </c>
      <c r="P75" s="506" t="s">
        <v>2596</v>
      </c>
      <c r="Q75" s="340">
        <v>25.0</v>
      </c>
      <c r="R75" s="503" t="s">
        <v>2440</v>
      </c>
    </row>
    <row r="76">
      <c r="A76" s="510" t="str">
        <f>HYPERLINK("http://en.uesp.net/wiki/Skyrim:Bone,_Part_I","Bone, Part I (DB)")</f>
        <v>Bone, Part I (DB)</v>
      </c>
      <c r="B76" s="63" t="s">
        <v>132</v>
      </c>
      <c r="C76" s="63" t="s">
        <v>132</v>
      </c>
      <c r="D76" s="63" t="s">
        <v>132</v>
      </c>
      <c r="E76" s="503"/>
      <c r="F76" s="503"/>
      <c r="G76" s="503"/>
      <c r="H76" s="503"/>
      <c r="I76" s="503"/>
      <c r="J76" s="503"/>
      <c r="K76" s="503"/>
      <c r="L76" s="503"/>
      <c r="M76" s="503"/>
      <c r="N76" s="42">
        <v>2.0</v>
      </c>
      <c r="O76" s="508" t="s">
        <v>2597</v>
      </c>
      <c r="P76" s="506" t="s">
        <v>2598</v>
      </c>
      <c r="Q76" s="340">
        <v>6.0</v>
      </c>
      <c r="R76" s="503" t="s">
        <v>2440</v>
      </c>
    </row>
    <row r="77">
      <c r="A77" s="510" t="str">
        <f>HYPERLINK("http://en.uesp.net/wiki/Skyrim:Bone,_Part_II","Bone, Part II (DB)")</f>
        <v>Bone, Part II (DB)</v>
      </c>
      <c r="B77" s="63" t="s">
        <v>132</v>
      </c>
      <c r="C77" s="63" t="s">
        <v>132</v>
      </c>
      <c r="D77" s="63" t="s">
        <v>132</v>
      </c>
      <c r="E77" s="503"/>
      <c r="F77" s="503"/>
      <c r="G77" s="503"/>
      <c r="H77" s="503"/>
      <c r="I77" s="503"/>
      <c r="J77" s="503"/>
      <c r="K77" s="503"/>
      <c r="L77" s="503"/>
      <c r="M77" s="503"/>
      <c r="N77" s="42">
        <v>2.0</v>
      </c>
      <c r="O77" s="508" t="s">
        <v>2597</v>
      </c>
      <c r="P77" s="506" t="s">
        <v>2599</v>
      </c>
      <c r="Q77" s="340">
        <v>6.0</v>
      </c>
      <c r="R77" s="503" t="s">
        <v>2440</v>
      </c>
    </row>
    <row r="78">
      <c r="A78" s="502" t="str">
        <f>HYPERLINK("http://en.uesp.net/wiki/Skyrim:Breathing_Water","Breathing Water")</f>
        <v>Breathing Water</v>
      </c>
      <c r="B78" s="63" t="s">
        <v>132</v>
      </c>
      <c r="C78" s="63" t="s">
        <v>132</v>
      </c>
      <c r="D78" s="63" t="s">
        <v>132</v>
      </c>
      <c r="E78" s="503"/>
      <c r="F78" s="503"/>
      <c r="G78" s="503"/>
      <c r="H78" s="503"/>
      <c r="I78" s="503"/>
      <c r="J78" s="503"/>
      <c r="K78" s="503"/>
      <c r="L78" s="503"/>
      <c r="M78" s="503"/>
      <c r="N78" s="320" t="s">
        <v>1524</v>
      </c>
      <c r="O78" s="508" t="s">
        <v>2600</v>
      </c>
      <c r="P78" s="506" t="s">
        <v>2601</v>
      </c>
      <c r="Q78" s="340">
        <v>60.0</v>
      </c>
      <c r="R78" s="472" t="s">
        <v>2602</v>
      </c>
    </row>
    <row r="79">
      <c r="A79" s="502" t="str">
        <f>HYPERLINK("http://en.uesp.net/wiki/Skyrim:Brief_History_of_the_Empire,_v1","Brief History of the Empire, v1")</f>
        <v>Brief History of the Empire, v1</v>
      </c>
      <c r="B79" s="63" t="s">
        <v>132</v>
      </c>
      <c r="C79" s="63" t="s">
        <v>132</v>
      </c>
      <c r="D79" s="63" t="s">
        <v>132</v>
      </c>
      <c r="E79" s="503"/>
      <c r="F79" s="503"/>
      <c r="G79" s="503"/>
      <c r="H79" s="503"/>
      <c r="I79" s="503"/>
      <c r="J79" s="503"/>
      <c r="K79" s="503"/>
      <c r="L79" s="503"/>
      <c r="M79" s="503"/>
      <c r="N79" s="504">
        <v>1.0</v>
      </c>
      <c r="O79" s="505" t="s">
        <v>2603</v>
      </c>
      <c r="P79" s="506" t="s">
        <v>2604</v>
      </c>
      <c r="Q79" s="340">
        <v>2.0</v>
      </c>
      <c r="R79" s="503" t="s">
        <v>2440</v>
      </c>
    </row>
    <row r="80">
      <c r="A80" s="502" t="str">
        <f>HYPERLINK("http://en.uesp.net/wiki/Skyrim:Brief_History_of_the_Empire,_v2","Brief History of the Empire, v2")</f>
        <v>Brief History of the Empire, v2</v>
      </c>
      <c r="B80" s="63" t="s">
        <v>132</v>
      </c>
      <c r="C80" s="63" t="s">
        <v>132</v>
      </c>
      <c r="D80" s="63" t="s">
        <v>132</v>
      </c>
      <c r="E80" s="503"/>
      <c r="F80" s="503"/>
      <c r="G80" s="503"/>
      <c r="H80" s="503"/>
      <c r="I80" s="503"/>
      <c r="J80" s="503"/>
      <c r="K80" s="503"/>
      <c r="L80" s="503"/>
      <c r="M80" s="503"/>
      <c r="N80" s="504">
        <v>1.0</v>
      </c>
      <c r="O80" s="505" t="s">
        <v>2603</v>
      </c>
      <c r="P80" s="505" t="s">
        <v>2605</v>
      </c>
      <c r="Q80" s="340">
        <v>2.0</v>
      </c>
      <c r="R80" s="345" t="s">
        <v>2440</v>
      </c>
    </row>
    <row r="81">
      <c r="A81" s="502" t="str">
        <f>HYPERLINK("http://en.uesp.net/wiki/Skyrim:Brief_History_of_the_Empire,_v3","Brief History of the Empire, v3")</f>
        <v>Brief History of the Empire, v3</v>
      </c>
      <c r="B81" s="63" t="s">
        <v>132</v>
      </c>
      <c r="C81" s="63" t="s">
        <v>132</v>
      </c>
      <c r="D81" s="63" t="s">
        <v>132</v>
      </c>
      <c r="E81" s="503"/>
      <c r="F81" s="503"/>
      <c r="G81" s="503"/>
      <c r="H81" s="503"/>
      <c r="I81" s="503"/>
      <c r="J81" s="503"/>
      <c r="K81" s="503"/>
      <c r="L81" s="503"/>
      <c r="M81" s="503"/>
      <c r="N81" s="504">
        <v>1.0</v>
      </c>
      <c r="O81" s="505" t="s">
        <v>2603</v>
      </c>
      <c r="P81" s="505" t="s">
        <v>2606</v>
      </c>
      <c r="Q81" s="340">
        <v>2.0</v>
      </c>
      <c r="R81" s="503" t="s">
        <v>2440</v>
      </c>
    </row>
    <row r="82">
      <c r="A82" s="502" t="str">
        <f>HYPERLINK("http://en.uesp.net/wiki/Skyrim:Brief_History_of_the_Empire,_v4","Brief History of the Empire, v4")</f>
        <v>Brief History of the Empire, v4</v>
      </c>
      <c r="B82" s="63" t="s">
        <v>132</v>
      </c>
      <c r="C82" s="63" t="s">
        <v>132</v>
      </c>
      <c r="D82" s="63" t="s">
        <v>132</v>
      </c>
      <c r="E82" s="503"/>
      <c r="F82" s="503"/>
      <c r="G82" s="503"/>
      <c r="H82" s="503"/>
      <c r="I82" s="503"/>
      <c r="J82" s="503"/>
      <c r="K82" s="503"/>
      <c r="L82" s="503"/>
      <c r="M82" s="503"/>
      <c r="N82" s="504">
        <v>1.0</v>
      </c>
      <c r="O82" s="505" t="s">
        <v>2603</v>
      </c>
      <c r="P82" s="505" t="s">
        <v>2607</v>
      </c>
      <c r="Q82" s="340">
        <v>2.0</v>
      </c>
      <c r="R82" s="503" t="s">
        <v>2440</v>
      </c>
    </row>
    <row r="83">
      <c r="A83" s="502" t="str">
        <f>HYPERLINK("http://en.uesp.net/wiki/Skyrim:Brothers_of_Darkness","Brothers of Darkness")</f>
        <v>Brothers of Darkness</v>
      </c>
      <c r="B83" s="63" t="s">
        <v>132</v>
      </c>
      <c r="C83" s="63" t="s">
        <v>132</v>
      </c>
      <c r="D83" s="63" t="s">
        <v>132</v>
      </c>
      <c r="E83" s="503"/>
      <c r="F83" s="503"/>
      <c r="G83" s="503"/>
      <c r="H83" s="503"/>
      <c r="I83" s="503"/>
      <c r="J83" s="503"/>
      <c r="K83" s="503"/>
      <c r="L83" s="503"/>
      <c r="M83" s="503"/>
      <c r="N83" s="320">
        <v>4.0</v>
      </c>
      <c r="O83" s="508" t="s">
        <v>2608</v>
      </c>
      <c r="P83" s="506" t="s">
        <v>2609</v>
      </c>
      <c r="Q83" s="340">
        <v>30.0</v>
      </c>
      <c r="R83" s="503" t="s">
        <v>2440</v>
      </c>
    </row>
    <row r="84">
      <c r="A84" s="502" t="str">
        <f>HYPERLINK("http://en.uesp.net/wiki/Skyrim:Butcher_Journal","Butcher Journal")</f>
        <v>Butcher Journal</v>
      </c>
      <c r="B84" s="63" t="s">
        <v>132</v>
      </c>
      <c r="C84" s="63" t="s">
        <v>132</v>
      </c>
      <c r="D84" s="63" t="s">
        <v>132</v>
      </c>
      <c r="E84" s="503"/>
      <c r="F84" s="503"/>
      <c r="G84" s="503"/>
      <c r="H84" s="503"/>
      <c r="I84" s="503"/>
      <c r="J84" s="503"/>
      <c r="K84" s="503"/>
      <c r="L84" s="503"/>
      <c r="M84" s="503"/>
      <c r="N84" s="504" t="s">
        <v>1524</v>
      </c>
      <c r="O84" s="505" t="s">
        <v>2610</v>
      </c>
      <c r="P84" s="506" t="s">
        <v>2611</v>
      </c>
      <c r="Q84" s="340">
        <v>5.0</v>
      </c>
      <c r="R84" s="503" t="s">
        <v>2536</v>
      </c>
    </row>
    <row r="85">
      <c r="A85" s="502" t="str">
        <f>HYPERLINK("http://en.uesp.net/wiki/Skyrim:Butcher_Journal_1","Butcher Journal #1")</f>
        <v>Butcher Journal #1</v>
      </c>
      <c r="B85" s="63" t="s">
        <v>132</v>
      </c>
      <c r="C85" s="63" t="s">
        <v>132</v>
      </c>
      <c r="D85" s="63" t="s">
        <v>132</v>
      </c>
      <c r="E85" s="503"/>
      <c r="F85" s="503"/>
      <c r="G85" s="503"/>
      <c r="H85" s="503"/>
      <c r="I85" s="503"/>
      <c r="J85" s="503"/>
      <c r="K85" s="503"/>
      <c r="L85" s="503"/>
      <c r="M85" s="503"/>
      <c r="N85" s="320" t="s">
        <v>1524</v>
      </c>
      <c r="O85" s="506" t="s">
        <v>2610</v>
      </c>
      <c r="P85" s="506" t="s">
        <v>2612</v>
      </c>
      <c r="Q85" s="340">
        <v>5.0</v>
      </c>
      <c r="R85" s="453" t="s">
        <v>2536</v>
      </c>
    </row>
    <row r="86">
      <c r="A86" s="502" t="str">
        <f>HYPERLINK("http://en.uesp.net/wiki/Skyrim:Butcher_Journal_2","Butcher Journal #2")</f>
        <v>Butcher Journal #2</v>
      </c>
      <c r="B86" s="63" t="s">
        <v>132</v>
      </c>
      <c r="C86" s="63" t="s">
        <v>132</v>
      </c>
      <c r="D86" s="63" t="s">
        <v>132</v>
      </c>
      <c r="E86" s="503"/>
      <c r="F86" s="503"/>
      <c r="G86" s="503"/>
      <c r="H86" s="503"/>
      <c r="I86" s="503"/>
      <c r="J86" s="503"/>
      <c r="K86" s="503"/>
      <c r="L86" s="503"/>
      <c r="M86" s="503"/>
      <c r="N86" s="320" t="s">
        <v>1524</v>
      </c>
      <c r="O86" s="506" t="s">
        <v>2610</v>
      </c>
      <c r="P86" s="506" t="s">
        <v>2613</v>
      </c>
      <c r="Q86" s="340">
        <v>5.0</v>
      </c>
      <c r="R86" s="503" t="s">
        <v>2536</v>
      </c>
    </row>
    <row r="87">
      <c r="A87" s="502" t="str">
        <f>HYPERLINK("http://en.uesp.net/wiki/Skyrim:Catalogue_of_Armor_Enchantments","Catalogue of Armor Enchantments")</f>
        <v>Catalogue of Armor Enchantments</v>
      </c>
      <c r="B87" s="63" t="s">
        <v>132</v>
      </c>
      <c r="C87" s="63" t="s">
        <v>132</v>
      </c>
      <c r="D87" s="63" t="s">
        <v>132</v>
      </c>
      <c r="E87" s="503"/>
      <c r="F87" s="503"/>
      <c r="G87" s="503"/>
      <c r="H87" s="503"/>
      <c r="I87" s="503"/>
      <c r="J87" s="503"/>
      <c r="K87" s="503"/>
      <c r="L87" s="503"/>
      <c r="M87" s="503"/>
      <c r="N87" s="320" t="s">
        <v>1524</v>
      </c>
      <c r="O87" s="506" t="s">
        <v>2614</v>
      </c>
      <c r="P87" s="506" t="s">
        <v>2615</v>
      </c>
      <c r="Q87" s="340">
        <v>50.0</v>
      </c>
      <c r="R87" s="472" t="s">
        <v>2529</v>
      </c>
    </row>
    <row r="88">
      <c r="A88" s="502" t="str">
        <f>HYPERLINK("http://en.uesp.net/wiki/Skyrim:Catalogue_of_Weapon_Enchantments","Catalogue of Weapon Enchantments")</f>
        <v>Catalogue of Weapon Enchantments</v>
      </c>
      <c r="B88" s="63" t="s">
        <v>132</v>
      </c>
      <c r="C88" s="63" t="s">
        <v>132</v>
      </c>
      <c r="D88" s="63" t="s">
        <v>132</v>
      </c>
      <c r="E88" s="503"/>
      <c r="F88" s="503"/>
      <c r="G88" s="503"/>
      <c r="H88" s="503"/>
      <c r="I88" s="503"/>
      <c r="J88" s="503"/>
      <c r="K88" s="503"/>
      <c r="L88" s="503"/>
      <c r="M88" s="503"/>
      <c r="N88" s="320" t="s">
        <v>1524</v>
      </c>
      <c r="O88" s="506" t="s">
        <v>2614</v>
      </c>
      <c r="P88" s="506" t="s">
        <v>2616</v>
      </c>
      <c r="Q88" s="340">
        <v>50.0</v>
      </c>
      <c r="R88" s="472" t="s">
        <v>2529</v>
      </c>
    </row>
    <row r="89">
      <c r="A89" s="502" t="str">
        <f>HYPERLINK("http://en.uesp.net/wiki/Skyrim:Cats_of_Skyrim","Cats of Skyrim")</f>
        <v>Cats of Skyrim</v>
      </c>
      <c r="B89" s="63" t="s">
        <v>132</v>
      </c>
      <c r="C89" s="63" t="s">
        <v>132</v>
      </c>
      <c r="D89" s="63" t="s">
        <v>132</v>
      </c>
      <c r="E89" s="503"/>
      <c r="F89" s="503"/>
      <c r="G89" s="503"/>
      <c r="H89" s="503"/>
      <c r="I89" s="503"/>
      <c r="J89" s="503"/>
      <c r="K89" s="503"/>
      <c r="L89" s="503"/>
      <c r="M89" s="503"/>
      <c r="N89" s="320">
        <v>2.0</v>
      </c>
      <c r="O89" s="508" t="s">
        <v>2617</v>
      </c>
      <c r="P89" s="506" t="s">
        <v>2618</v>
      </c>
      <c r="Q89" s="340">
        <v>7.0</v>
      </c>
      <c r="R89" s="345" t="s">
        <v>2440</v>
      </c>
    </row>
    <row r="90">
      <c r="A90" s="502" t="str">
        <f>HYPERLINK("http://en.uesp.net/wiki/Skyrim:Chance%27s_Folly","Chance's Folly")</f>
        <v>Chance's Folly</v>
      </c>
      <c r="B90" s="63" t="s">
        <v>132</v>
      </c>
      <c r="C90" s="63" t="s">
        <v>132</v>
      </c>
      <c r="D90" s="63" t="s">
        <v>132</v>
      </c>
      <c r="E90" s="503"/>
      <c r="F90" s="503"/>
      <c r="G90" s="503"/>
      <c r="H90" s="503"/>
      <c r="I90" s="503"/>
      <c r="J90" s="503"/>
      <c r="K90" s="503"/>
      <c r="L90" s="503"/>
      <c r="M90" s="503"/>
      <c r="N90" s="320">
        <v>2.0</v>
      </c>
      <c r="O90" s="508" t="s">
        <v>2619</v>
      </c>
      <c r="P90" s="506" t="s">
        <v>2620</v>
      </c>
      <c r="Q90" s="340">
        <v>6.0</v>
      </c>
      <c r="R90" s="503" t="s">
        <v>2440</v>
      </c>
    </row>
    <row r="91">
      <c r="A91" s="502" t="str">
        <f>HYPERLINK("https://en.uesp.net/wiki/Skyrim:Changed_Ones", "Changed Ones (DB)")</f>
        <v>Changed Ones (DB)</v>
      </c>
      <c r="B91" s="63" t="s">
        <v>132</v>
      </c>
      <c r="C91" s="63" t="s">
        <v>132</v>
      </c>
      <c r="D91" s="63" t="s">
        <v>132</v>
      </c>
      <c r="E91" s="503"/>
      <c r="F91" s="503"/>
      <c r="G91" s="503"/>
      <c r="H91" s="503"/>
      <c r="I91" s="503"/>
      <c r="J91" s="503"/>
      <c r="K91" s="503"/>
      <c r="L91" s="503"/>
      <c r="M91" s="503"/>
      <c r="N91" s="42">
        <v>3.0</v>
      </c>
      <c r="O91" s="506" t="s">
        <v>2481</v>
      </c>
      <c r="P91" s="506" t="s">
        <v>2621</v>
      </c>
      <c r="Q91" s="340">
        <v>11.0</v>
      </c>
      <c r="R91" s="345" t="s">
        <v>2440</v>
      </c>
    </row>
    <row r="92">
      <c r="A92" s="502" t="str">
        <f>HYPERLINK("http://en.uesp.net/wiki/Skyrim:Charwich-Koniinge_Letters,_v1","Charwich-Koniinge Letters, v1")</f>
        <v>Charwich-Koniinge Letters, v1</v>
      </c>
      <c r="B92" s="63" t="s">
        <v>132</v>
      </c>
      <c r="C92" s="63" t="s">
        <v>132</v>
      </c>
      <c r="D92" s="63" t="s">
        <v>132</v>
      </c>
      <c r="E92" s="503"/>
      <c r="F92" s="503"/>
      <c r="G92" s="503"/>
      <c r="H92" s="503"/>
      <c r="I92" s="503"/>
      <c r="J92" s="503"/>
      <c r="K92" s="503"/>
      <c r="L92" s="503"/>
      <c r="M92" s="503"/>
      <c r="N92" s="320">
        <v>3.0</v>
      </c>
      <c r="O92" s="508" t="s">
        <v>2622</v>
      </c>
      <c r="P92" s="506" t="s">
        <v>2623</v>
      </c>
      <c r="Q92" s="340">
        <v>13.0</v>
      </c>
      <c r="R92" s="503" t="s">
        <v>2440</v>
      </c>
    </row>
    <row r="93">
      <c r="A93" s="502" t="str">
        <f>HYPERLINK("http://en.uesp.net/wiki/Skyrim:Charwich-Koniinge_Letters,_v3","Charwich-Koniinge Letters, v3")</f>
        <v>Charwich-Koniinge Letters, v3</v>
      </c>
      <c r="B93" s="63" t="s">
        <v>132</v>
      </c>
      <c r="C93" s="63" t="s">
        <v>132</v>
      </c>
      <c r="D93" s="63" t="s">
        <v>132</v>
      </c>
      <c r="E93" s="503"/>
      <c r="F93" s="503"/>
      <c r="G93" s="503"/>
      <c r="H93" s="503"/>
      <c r="I93" s="503"/>
      <c r="J93" s="503"/>
      <c r="K93" s="503"/>
      <c r="L93" s="503"/>
      <c r="M93" s="503"/>
      <c r="N93" s="320">
        <v>3.0</v>
      </c>
      <c r="O93" s="508" t="s">
        <v>2622</v>
      </c>
      <c r="P93" s="506" t="s">
        <v>2624</v>
      </c>
      <c r="Q93" s="340">
        <v>13.0</v>
      </c>
      <c r="R93" s="345" t="s">
        <v>2440</v>
      </c>
    </row>
    <row r="94">
      <c r="A94" s="502" t="str">
        <f>HYPERLINK("http://en.uesp.net/wiki/Skyrim:Charwich-Koniinge_Letters,_v4","Charwich-Koniinge Letters, v4")</f>
        <v>Charwich-Koniinge Letters, v4</v>
      </c>
      <c r="B94" s="63" t="s">
        <v>132</v>
      </c>
      <c r="C94" s="63" t="s">
        <v>132</v>
      </c>
      <c r="D94" s="63" t="s">
        <v>132</v>
      </c>
      <c r="E94" s="503"/>
      <c r="F94" s="503"/>
      <c r="G94" s="503"/>
      <c r="H94" s="503"/>
      <c r="I94" s="503"/>
      <c r="J94" s="503"/>
      <c r="K94" s="503"/>
      <c r="L94" s="503"/>
      <c r="M94" s="503"/>
      <c r="N94" s="320">
        <v>4.0</v>
      </c>
      <c r="O94" s="508" t="s">
        <v>2625</v>
      </c>
      <c r="P94" s="506" t="s">
        <v>2624</v>
      </c>
      <c r="Q94" s="340">
        <v>13.0</v>
      </c>
      <c r="R94" s="508" t="s">
        <v>2440</v>
      </c>
    </row>
    <row r="95">
      <c r="A95" s="502" t="str">
        <f>HYPERLINK("http://en.uesp.net/wiki/Skyrim:Charwich-Koniinge,_v2","Charwich-Koniinge, v2")</f>
        <v>Charwich-Koniinge, v2</v>
      </c>
      <c r="B95" s="63" t="s">
        <v>132</v>
      </c>
      <c r="C95" s="63" t="s">
        <v>132</v>
      </c>
      <c r="D95" s="63" t="s">
        <v>132</v>
      </c>
      <c r="E95" s="503"/>
      <c r="F95" s="503"/>
      <c r="G95" s="503"/>
      <c r="H95" s="503"/>
      <c r="I95" s="503"/>
      <c r="J95" s="503"/>
      <c r="K95" s="503"/>
      <c r="L95" s="503"/>
      <c r="M95" s="503"/>
      <c r="N95" s="320">
        <v>3.0</v>
      </c>
      <c r="O95" s="508" t="s">
        <v>2626</v>
      </c>
      <c r="P95" s="506" t="s">
        <v>2624</v>
      </c>
      <c r="Q95" s="340">
        <v>13.0</v>
      </c>
      <c r="R95" s="503" t="s">
        <v>2440</v>
      </c>
    </row>
    <row r="96">
      <c r="A96" s="502" t="str">
        <f>HYPERLINK("http://en.uesp.net/wiki/Skyrim:Chaurus_Pie:_A_Recipe","Chaurus Pie: A Recipe")</f>
        <v>Chaurus Pie: A Recipe</v>
      </c>
      <c r="B96" s="63" t="s">
        <v>132</v>
      </c>
      <c r="C96" s="63" t="s">
        <v>132</v>
      </c>
      <c r="D96" s="63" t="s">
        <v>132</v>
      </c>
      <c r="E96" s="503"/>
      <c r="F96" s="503"/>
      <c r="G96" s="503"/>
      <c r="H96" s="503"/>
      <c r="I96" s="503"/>
      <c r="J96" s="503"/>
      <c r="K96" s="503"/>
      <c r="L96" s="503"/>
      <c r="M96" s="503"/>
      <c r="N96" s="320">
        <v>3.0</v>
      </c>
      <c r="O96" s="508" t="s">
        <v>2627</v>
      </c>
      <c r="P96" s="506" t="s">
        <v>2628</v>
      </c>
      <c r="Q96" s="340">
        <v>11.0</v>
      </c>
      <c r="R96" s="453" t="s">
        <v>2440</v>
      </c>
    </row>
    <row r="97">
      <c r="A97" s="502" t="str">
        <f>HYPERLINK("http://en.uesp.net/wiki/Skyrim:Cherim%27s_Heart","Cherim's Heart")</f>
        <v>Cherim's Heart</v>
      </c>
      <c r="B97" s="63" t="s">
        <v>132</v>
      </c>
      <c r="C97" s="63" t="s">
        <v>132</v>
      </c>
      <c r="D97" s="63" t="s">
        <v>132</v>
      </c>
      <c r="E97" s="503"/>
      <c r="F97" s="503"/>
      <c r="G97" s="503"/>
      <c r="H97" s="503"/>
      <c r="I97" s="503"/>
      <c r="J97" s="503"/>
      <c r="K97" s="503"/>
      <c r="L97" s="503"/>
      <c r="M97" s="503"/>
      <c r="N97" s="320" t="s">
        <v>1524</v>
      </c>
      <c r="O97" s="508" t="s">
        <v>2629</v>
      </c>
      <c r="P97" s="506" t="s">
        <v>2630</v>
      </c>
      <c r="Q97" s="340">
        <v>70.0</v>
      </c>
      <c r="R97" s="472" t="s">
        <v>2631</v>
      </c>
    </row>
    <row r="98">
      <c r="A98" s="512" t="str">
        <f>HYPERLINK("https://en.uesp.net/wiki/Skyrim:Children_of_the_All-Maker","Children of the all-maker (DB)")</f>
        <v>Children of the all-maker (DB)</v>
      </c>
      <c r="B98" s="63" t="s">
        <v>132</v>
      </c>
      <c r="C98" s="63" t="s">
        <v>132</v>
      </c>
      <c r="D98" s="63" t="s">
        <v>132</v>
      </c>
      <c r="E98" s="503"/>
      <c r="F98" s="503"/>
      <c r="G98" s="503"/>
      <c r="H98" s="503"/>
      <c r="I98" s="503"/>
      <c r="J98" s="503"/>
      <c r="K98" s="503"/>
      <c r="L98" s="503"/>
      <c r="M98" s="503"/>
      <c r="N98" s="42">
        <v>3.0</v>
      </c>
      <c r="O98" s="508" t="s">
        <v>2632</v>
      </c>
      <c r="P98" s="506" t="s">
        <v>2633</v>
      </c>
      <c r="Q98" s="340">
        <v>11.0</v>
      </c>
      <c r="R98" s="508" t="s">
        <v>2440</v>
      </c>
    </row>
    <row r="99">
      <c r="A99" s="502" t="str">
        <f>HYPERLINK("http://en.uesp.net/wiki/Skyrim:Children_of_the_Sky","Children of the Sky")</f>
        <v>Children of the Sky</v>
      </c>
      <c r="B99" s="63" t="s">
        <v>132</v>
      </c>
      <c r="C99" s="63" t="s">
        <v>132</v>
      </c>
      <c r="D99" s="63" t="s">
        <v>132</v>
      </c>
      <c r="E99" s="503"/>
      <c r="F99" s="503"/>
      <c r="G99" s="503"/>
      <c r="H99" s="503"/>
      <c r="I99" s="503"/>
      <c r="J99" s="503"/>
      <c r="K99" s="503"/>
      <c r="L99" s="503"/>
      <c r="M99" s="503"/>
      <c r="N99" s="320">
        <v>4.0</v>
      </c>
      <c r="O99" s="508" t="s">
        <v>2481</v>
      </c>
      <c r="P99" s="506" t="s">
        <v>2634</v>
      </c>
      <c r="Q99" s="340">
        <v>25.0</v>
      </c>
      <c r="R99" s="453" t="s">
        <v>2440</v>
      </c>
    </row>
    <row r="100">
      <c r="A100" s="502" t="str">
        <f>HYPERLINK("http://en.uesp.net/wiki/Skyrim:Chimarvamidium","Chimarvamidium")</f>
        <v>Chimarvamidium</v>
      </c>
      <c r="B100" s="63" t="s">
        <v>132</v>
      </c>
      <c r="C100" s="63" t="s">
        <v>132</v>
      </c>
      <c r="D100" s="63" t="s">
        <v>132</v>
      </c>
      <c r="E100" s="503"/>
      <c r="F100" s="503"/>
      <c r="G100" s="503"/>
      <c r="H100" s="503"/>
      <c r="I100" s="503"/>
      <c r="J100" s="503"/>
      <c r="K100" s="503"/>
      <c r="L100" s="503"/>
      <c r="M100" s="503"/>
      <c r="N100" s="320">
        <v>4.0</v>
      </c>
      <c r="O100" s="508" t="s">
        <v>2574</v>
      </c>
      <c r="P100" s="506" t="s">
        <v>2635</v>
      </c>
      <c r="Q100" s="340" t="s">
        <v>2636</v>
      </c>
      <c r="R100" s="509" t="s">
        <v>2494</v>
      </c>
    </row>
    <row r="101">
      <c r="A101" s="502" t="str">
        <f>HYPERLINK("http://en.uesp.net/wiki/Skyrim:Chronicles_of_Nchuleft","Chronicles of Nchuleft")</f>
        <v>Chronicles of Nchuleft</v>
      </c>
      <c r="B101" s="63" t="s">
        <v>132</v>
      </c>
      <c r="C101" s="63" t="s">
        <v>132</v>
      </c>
      <c r="D101" s="63" t="s">
        <v>132</v>
      </c>
      <c r="E101" s="503"/>
      <c r="F101" s="503"/>
      <c r="G101" s="503"/>
      <c r="H101" s="503"/>
      <c r="I101" s="503"/>
      <c r="J101" s="503"/>
      <c r="K101" s="503"/>
      <c r="L101" s="503"/>
      <c r="M101" s="503"/>
      <c r="N101" s="320">
        <v>4.0</v>
      </c>
      <c r="O101" s="508" t="s">
        <v>2637</v>
      </c>
      <c r="P101" s="506" t="s">
        <v>2638</v>
      </c>
      <c r="Q101" s="340">
        <v>30.0</v>
      </c>
      <c r="R101" s="503" t="s">
        <v>2440</v>
      </c>
    </row>
    <row r="102">
      <c r="A102" s="502" t="str">
        <f>HYPERLINK("http://en.uesp.net/wiki/Skyrim:Cicero%27s_Journal_-_Final_Volume","Cicero's Journal - Final Volume")</f>
        <v>Cicero's Journal - Final Volume</v>
      </c>
      <c r="B102" s="63" t="s">
        <v>132</v>
      </c>
      <c r="C102" s="63" t="s">
        <v>132</v>
      </c>
      <c r="D102" s="63" t="s">
        <v>132</v>
      </c>
      <c r="E102" s="503"/>
      <c r="F102" s="503"/>
      <c r="G102" s="503"/>
      <c r="H102" s="503"/>
      <c r="I102" s="503"/>
      <c r="J102" s="503"/>
      <c r="K102" s="503"/>
      <c r="L102" s="503"/>
      <c r="M102" s="503"/>
      <c r="N102" s="320" t="s">
        <v>1524</v>
      </c>
      <c r="O102" s="506" t="s">
        <v>263</v>
      </c>
      <c r="P102" s="506" t="s">
        <v>2639</v>
      </c>
      <c r="Q102" s="340">
        <v>100.0</v>
      </c>
      <c r="R102" s="503" t="s">
        <v>2536</v>
      </c>
    </row>
    <row r="103">
      <c r="A103" s="502" t="str">
        <f>HYPERLINK("http://en.uesp.net/wiki/Skyrim:Cicero%27s_Journal_-_Volume_1","Cicero's Journal - Volume 1")</f>
        <v>Cicero's Journal - Volume 1</v>
      </c>
      <c r="B103" s="63" t="s">
        <v>132</v>
      </c>
      <c r="C103" s="63" t="s">
        <v>132</v>
      </c>
      <c r="D103" s="63" t="s">
        <v>132</v>
      </c>
      <c r="E103" s="503"/>
      <c r="F103" s="503"/>
      <c r="G103" s="503"/>
      <c r="H103" s="503"/>
      <c r="I103" s="503"/>
      <c r="J103" s="503"/>
      <c r="K103" s="503"/>
      <c r="L103" s="503"/>
      <c r="M103" s="503"/>
      <c r="N103" s="320" t="s">
        <v>1524</v>
      </c>
      <c r="O103" s="506" t="s">
        <v>263</v>
      </c>
      <c r="P103" s="506" t="s">
        <v>2639</v>
      </c>
      <c r="Q103" s="340">
        <v>25.0</v>
      </c>
      <c r="R103" s="345" t="s">
        <v>2536</v>
      </c>
    </row>
    <row r="104">
      <c r="A104" s="502" t="str">
        <f>HYPERLINK("http://en.uesp.net/wiki/Skyrim:Cicero%27s_Journal_-_Volume_2","Cicero's Journal - Volume 2")</f>
        <v>Cicero's Journal - Volume 2</v>
      </c>
      <c r="B104" s="63" t="s">
        <v>132</v>
      </c>
      <c r="C104" s="63" t="s">
        <v>132</v>
      </c>
      <c r="D104" s="63" t="s">
        <v>132</v>
      </c>
      <c r="E104" s="503"/>
      <c r="F104" s="503"/>
      <c r="G104" s="503"/>
      <c r="H104" s="503"/>
      <c r="I104" s="503"/>
      <c r="J104" s="503"/>
      <c r="K104" s="503"/>
      <c r="L104" s="503"/>
      <c r="M104" s="503"/>
      <c r="N104" s="320" t="s">
        <v>1524</v>
      </c>
      <c r="O104" s="506" t="s">
        <v>263</v>
      </c>
      <c r="P104" s="506" t="s">
        <v>2639</v>
      </c>
      <c r="Q104" s="340">
        <v>25.0</v>
      </c>
      <c r="R104" s="503" t="s">
        <v>2536</v>
      </c>
    </row>
    <row r="105">
      <c r="A105" s="502" t="str">
        <f>HYPERLINK("http://en.uesp.net/wiki/Skyrim:Cicero%27s_Journal_-_Volume_3","Cicero's Journal - Volume 3")</f>
        <v>Cicero's Journal - Volume 3</v>
      </c>
      <c r="B105" s="63" t="s">
        <v>132</v>
      </c>
      <c r="C105" s="63" t="s">
        <v>132</v>
      </c>
      <c r="D105" s="63" t="s">
        <v>132</v>
      </c>
      <c r="E105" s="503"/>
      <c r="F105" s="503"/>
      <c r="G105" s="503"/>
      <c r="H105" s="503"/>
      <c r="I105" s="503"/>
      <c r="J105" s="503"/>
      <c r="K105" s="503"/>
      <c r="L105" s="503"/>
      <c r="M105" s="503"/>
      <c r="N105" s="320" t="s">
        <v>1524</v>
      </c>
      <c r="O105" s="506" t="s">
        <v>263</v>
      </c>
      <c r="P105" s="506" t="s">
        <v>2639</v>
      </c>
      <c r="Q105" s="340">
        <v>25.0</v>
      </c>
      <c r="R105" s="503" t="s">
        <v>2536</v>
      </c>
    </row>
    <row r="106">
      <c r="A106" s="502" t="str">
        <f>HYPERLINK("http://en.uesp.net/wiki/Skyrim:Cicero%27s_Journal_-_Volume_4","Cicero's Journal - Volume 4")</f>
        <v>Cicero's Journal - Volume 4</v>
      </c>
      <c r="B106" s="63" t="s">
        <v>132</v>
      </c>
      <c r="C106" s="63" t="s">
        <v>132</v>
      </c>
      <c r="D106" s="63" t="s">
        <v>132</v>
      </c>
      <c r="E106" s="503"/>
      <c r="F106" s="503"/>
      <c r="G106" s="503"/>
      <c r="H106" s="503"/>
      <c r="I106" s="503"/>
      <c r="J106" s="503"/>
      <c r="K106" s="503"/>
      <c r="L106" s="503"/>
      <c r="M106" s="503"/>
      <c r="N106" s="320" t="s">
        <v>1524</v>
      </c>
      <c r="O106" s="506" t="s">
        <v>263</v>
      </c>
      <c r="P106" s="506" t="s">
        <v>2639</v>
      </c>
      <c r="Q106" s="340">
        <v>25.0</v>
      </c>
      <c r="R106" s="345" t="s">
        <v>2536</v>
      </c>
    </row>
    <row r="107">
      <c r="A107" s="502" t="str">
        <f>HYPERLINK("http://en.uesp.net/wiki/Skyrim:Cleansing_of_the_Fane","Cleansing of the Fane")</f>
        <v>Cleansing of the Fane</v>
      </c>
      <c r="B107" s="63" t="s">
        <v>132</v>
      </c>
      <c r="C107" s="63" t="s">
        <v>132</v>
      </c>
      <c r="D107" s="63" t="s">
        <v>132</v>
      </c>
      <c r="E107" s="503"/>
      <c r="F107" s="503"/>
      <c r="G107" s="503"/>
      <c r="H107" s="503"/>
      <c r="I107" s="503"/>
      <c r="J107" s="503"/>
      <c r="K107" s="503"/>
      <c r="L107" s="503"/>
      <c r="M107" s="503"/>
      <c r="N107" s="320">
        <v>4.0</v>
      </c>
      <c r="O107" s="508" t="s">
        <v>2640</v>
      </c>
      <c r="P107" s="506" t="s">
        <v>2641</v>
      </c>
      <c r="Q107" s="340">
        <v>20.0</v>
      </c>
      <c r="R107" s="503" t="s">
        <v>2440</v>
      </c>
    </row>
    <row r="108">
      <c r="A108" s="510" t="str">
        <f>HYPERLINK("https://en.uesp.net/wiki/Skyrim:Confessions_of_a_Dunmer_Skooma_Eater","Confessions of a Dunmer Skooma Eater (DB)")</f>
        <v>Confessions of a Dunmer Skooma Eater (DB)</v>
      </c>
      <c r="B108" s="63" t="s">
        <v>132</v>
      </c>
      <c r="C108" s="63" t="s">
        <v>132</v>
      </c>
      <c r="D108" s="63" t="s">
        <v>132</v>
      </c>
      <c r="E108" s="503"/>
      <c r="F108" s="503"/>
      <c r="G108" s="503"/>
      <c r="H108" s="503"/>
      <c r="I108" s="503"/>
      <c r="J108" s="503"/>
      <c r="K108" s="503"/>
      <c r="L108" s="503"/>
      <c r="M108" s="503"/>
      <c r="N108" s="42">
        <v>1.0</v>
      </c>
      <c r="O108" s="508" t="s">
        <v>2642</v>
      </c>
      <c r="P108" s="506" t="s">
        <v>2643</v>
      </c>
      <c r="Q108" s="340">
        <v>3.0</v>
      </c>
      <c r="R108" s="453" t="s">
        <v>2440</v>
      </c>
    </row>
    <row r="109">
      <c r="A109" s="510" t="str">
        <f>HYPERLINK("http://en.uesp.net/wiki/Skyrim:Confessions_Of_A_Khajiit_Fur_Trader","Confessions Of A Khajiit Fur Trader (DG)")</f>
        <v>Confessions Of A Khajiit Fur Trader (DG)</v>
      </c>
      <c r="B109" s="63" t="s">
        <v>132</v>
      </c>
      <c r="C109" s="63" t="s">
        <v>132</v>
      </c>
      <c r="D109" s="63" t="s">
        <v>132</v>
      </c>
      <c r="E109" s="503"/>
      <c r="F109" s="503"/>
      <c r="G109" s="503"/>
      <c r="H109" s="503"/>
      <c r="I109" s="503"/>
      <c r="J109" s="503"/>
      <c r="K109" s="503"/>
      <c r="L109" s="503"/>
      <c r="M109" s="503"/>
      <c r="N109" s="504" t="s">
        <v>1524</v>
      </c>
      <c r="O109" s="345" t="s">
        <v>2644</v>
      </c>
      <c r="P109" s="506" t="s">
        <v>2645</v>
      </c>
      <c r="Q109" s="340">
        <v>11.0</v>
      </c>
      <c r="R109" s="503" t="s">
        <v>2440</v>
      </c>
    </row>
    <row r="110">
      <c r="A110" s="502" t="str">
        <f>HYPERLINK("http://en.uesp.net/wiki/Skyrim:Cook%27s_Journal","Cook's Journal")</f>
        <v>Cook's Journal</v>
      </c>
      <c r="B110" s="63" t="s">
        <v>132</v>
      </c>
      <c r="C110" s="63" t="s">
        <v>132</v>
      </c>
      <c r="D110" s="63" t="s">
        <v>132</v>
      </c>
      <c r="E110" s="503"/>
      <c r="F110" s="503"/>
      <c r="G110" s="503"/>
      <c r="H110" s="503"/>
      <c r="I110" s="503"/>
      <c r="J110" s="503"/>
      <c r="K110" s="503"/>
      <c r="L110" s="503"/>
      <c r="M110" s="503"/>
      <c r="N110" s="504" t="s">
        <v>1524</v>
      </c>
      <c r="O110" s="345" t="s">
        <v>2646</v>
      </c>
      <c r="P110" s="506" t="s">
        <v>2647</v>
      </c>
      <c r="Q110" s="340">
        <v>5.0</v>
      </c>
      <c r="R110" s="503" t="s">
        <v>2536</v>
      </c>
    </row>
    <row r="111">
      <c r="A111" s="502" t="str">
        <f>HYPERLINK("http://en.uesp.net/wiki/Skyrim:Darkest_Darkness","Darkest Darkness")</f>
        <v>Darkest Darkness</v>
      </c>
      <c r="B111" s="63" t="s">
        <v>132</v>
      </c>
      <c r="C111" s="63" t="s">
        <v>132</v>
      </c>
      <c r="D111" s="63" t="s">
        <v>132</v>
      </c>
      <c r="E111" s="503"/>
      <c r="F111" s="503"/>
      <c r="G111" s="503"/>
      <c r="H111" s="503"/>
      <c r="I111" s="503"/>
      <c r="J111" s="503"/>
      <c r="K111" s="503"/>
      <c r="L111" s="503"/>
      <c r="M111" s="503"/>
      <c r="N111" s="320">
        <v>2.0</v>
      </c>
      <c r="O111" s="508" t="s">
        <v>2481</v>
      </c>
      <c r="P111" s="506" t="s">
        <v>2648</v>
      </c>
      <c r="Q111" s="340">
        <v>5.0</v>
      </c>
      <c r="R111" s="453" t="s">
        <v>2440</v>
      </c>
    </row>
    <row r="112">
      <c r="A112" s="502" t="str">
        <f>HYPERLINK("http://en.uesp.net/wiki/Skyrim:Daughter_of_the_Niben","Daughter of the Niben")</f>
        <v>Daughter of the Niben</v>
      </c>
      <c r="B112" s="63" t="s">
        <v>132</v>
      </c>
      <c r="C112" s="63" t="s">
        <v>132</v>
      </c>
      <c r="D112" s="63" t="s">
        <v>132</v>
      </c>
      <c r="E112" s="503"/>
      <c r="F112" s="503"/>
      <c r="G112" s="503"/>
      <c r="H112" s="503"/>
      <c r="I112" s="503"/>
      <c r="J112" s="503"/>
      <c r="K112" s="503"/>
      <c r="L112" s="503"/>
      <c r="M112" s="503"/>
      <c r="N112" s="320" t="s">
        <v>1524</v>
      </c>
      <c r="O112" s="508" t="s">
        <v>2649</v>
      </c>
      <c r="P112" s="506" t="s">
        <v>2650</v>
      </c>
      <c r="Q112" s="340">
        <v>60.0</v>
      </c>
      <c r="R112" s="472" t="s">
        <v>2602</v>
      </c>
    </row>
    <row r="113">
      <c r="A113" s="502" t="str">
        <f>HYPERLINK("http://en.uesp.net/wiki/Skyrim:Daynas_Valen%27s_Journal","Daynas Valen's Journal")</f>
        <v>Daynas Valen's Journal</v>
      </c>
      <c r="B113" s="63" t="s">
        <v>132</v>
      </c>
      <c r="C113" s="63" t="s">
        <v>132</v>
      </c>
      <c r="D113" s="63" t="s">
        <v>132</v>
      </c>
      <c r="E113" s="503"/>
      <c r="F113" s="503"/>
      <c r="G113" s="503"/>
      <c r="H113" s="503"/>
      <c r="I113" s="503"/>
      <c r="J113" s="503"/>
      <c r="K113" s="503"/>
      <c r="L113" s="503"/>
      <c r="M113" s="503"/>
      <c r="N113" s="320" t="s">
        <v>1524</v>
      </c>
      <c r="O113" s="506" t="s">
        <v>2651</v>
      </c>
      <c r="P113" s="506" t="s">
        <v>2652</v>
      </c>
      <c r="Q113" s="340">
        <v>5.0</v>
      </c>
      <c r="R113" s="503" t="s">
        <v>2536</v>
      </c>
    </row>
    <row r="114">
      <c r="A114" s="502" t="str">
        <f>HYPERLINK("http://en.uesp.net/wiki/Skyrim:Daynas_Valen%27s_Notes","Daynas Valen's Notes")</f>
        <v>Daynas Valen's Notes</v>
      </c>
      <c r="B114" s="63" t="s">
        <v>132</v>
      </c>
      <c r="C114" s="63" t="s">
        <v>132</v>
      </c>
      <c r="D114" s="63" t="s">
        <v>132</v>
      </c>
      <c r="E114" s="503"/>
      <c r="F114" s="503"/>
      <c r="G114" s="503"/>
      <c r="H114" s="503"/>
      <c r="I114" s="503"/>
      <c r="J114" s="503"/>
      <c r="K114" s="503"/>
      <c r="L114" s="503"/>
      <c r="M114" s="503"/>
      <c r="N114" s="320" t="s">
        <v>1524</v>
      </c>
      <c r="O114" s="506" t="s">
        <v>2651</v>
      </c>
      <c r="P114" s="506" t="s">
        <v>2653</v>
      </c>
      <c r="Q114" s="340">
        <v>5.0</v>
      </c>
      <c r="R114" s="503" t="s">
        <v>2654</v>
      </c>
    </row>
    <row r="115">
      <c r="A115" s="502" t="str">
        <f>HYPERLINK("http://en.uesp.net/wiki/Skyrim:De_Rerum_Dirennis","De Rerum Dirennis")</f>
        <v>De Rerum Dirennis</v>
      </c>
      <c r="B115" s="63" t="s">
        <v>132</v>
      </c>
      <c r="C115" s="63" t="s">
        <v>132</v>
      </c>
      <c r="D115" s="63" t="s">
        <v>132</v>
      </c>
      <c r="E115" s="503"/>
      <c r="F115" s="503"/>
      <c r="G115" s="503"/>
      <c r="H115" s="503"/>
      <c r="I115" s="503"/>
      <c r="J115" s="503"/>
      <c r="K115" s="503"/>
      <c r="L115" s="503"/>
      <c r="M115" s="503"/>
      <c r="N115" s="320" t="s">
        <v>1524</v>
      </c>
      <c r="O115" s="508" t="s">
        <v>2655</v>
      </c>
      <c r="P115" s="506" t="s">
        <v>2656</v>
      </c>
      <c r="Q115" s="340">
        <v>55.0</v>
      </c>
      <c r="R115" s="472" t="s">
        <v>2519</v>
      </c>
    </row>
    <row r="116">
      <c r="A116" s="502" t="str">
        <f>HYPERLINK("http://en.uesp.net/wiki/Skyrim:Death_Blow_of_Abernanit","Death Blow of Ebernanit")</f>
        <v>Death Blow of Ebernanit</v>
      </c>
      <c r="B116" s="63" t="s">
        <v>132</v>
      </c>
      <c r="C116" s="63" t="s">
        <v>132</v>
      </c>
      <c r="D116" s="63" t="s">
        <v>132</v>
      </c>
      <c r="E116" s="503"/>
      <c r="F116" s="503"/>
      <c r="G116" s="503"/>
      <c r="H116" s="503"/>
      <c r="I116" s="503"/>
      <c r="J116" s="503"/>
      <c r="K116" s="503"/>
      <c r="L116" s="503"/>
      <c r="M116" s="503"/>
      <c r="N116" s="320" t="s">
        <v>1524</v>
      </c>
      <c r="O116" s="508" t="s">
        <v>2657</v>
      </c>
      <c r="P116" s="506" t="s">
        <v>2658</v>
      </c>
      <c r="Q116" s="340">
        <v>50.0</v>
      </c>
      <c r="R116" s="472" t="s">
        <v>2509</v>
      </c>
    </row>
    <row r="117">
      <c r="A117" s="502" t="str">
        <f>HYPERLINK("http://en.uesp.net/wiki/Skyrim:Death_of_a_Wanderer","Death of a Wanderer")</f>
        <v>Death of a Wanderer</v>
      </c>
      <c r="B117" s="63" t="s">
        <v>132</v>
      </c>
      <c r="C117" s="63" t="s">
        <v>132</v>
      </c>
      <c r="D117" s="63" t="s">
        <v>132</v>
      </c>
      <c r="E117" s="503"/>
      <c r="F117" s="503"/>
      <c r="G117" s="503"/>
      <c r="H117" s="503"/>
      <c r="I117" s="503"/>
      <c r="J117" s="503"/>
      <c r="K117" s="503"/>
      <c r="L117" s="503"/>
      <c r="M117" s="503"/>
      <c r="N117" s="320">
        <v>3.0</v>
      </c>
      <c r="O117" s="508" t="s">
        <v>2481</v>
      </c>
      <c r="P117" s="506" t="s">
        <v>2659</v>
      </c>
      <c r="Q117" s="340">
        <v>12.0</v>
      </c>
      <c r="R117" s="503" t="s">
        <v>2440</v>
      </c>
    </row>
    <row r="118">
      <c r="A118" s="502" t="str">
        <f>HYPERLINK("https://en.uesp.net/wiki/Skyrim:Deathbrand", "Deathbrand (DB)")</f>
        <v>Deathbrand (DB)</v>
      </c>
      <c r="B118" s="63" t="s">
        <v>132</v>
      </c>
      <c r="C118" s="63" t="s">
        <v>132</v>
      </c>
      <c r="D118" s="63" t="s">
        <v>132</v>
      </c>
      <c r="E118" s="503"/>
      <c r="F118" s="503"/>
      <c r="G118" s="503"/>
      <c r="H118" s="503"/>
      <c r="I118" s="503"/>
      <c r="J118" s="503"/>
      <c r="K118" s="503"/>
      <c r="L118" s="503"/>
      <c r="M118" s="503"/>
      <c r="N118" s="42">
        <v>4.0</v>
      </c>
      <c r="O118" s="506" t="s">
        <v>2481</v>
      </c>
      <c r="P118" s="506" t="s">
        <v>2660</v>
      </c>
      <c r="Q118" s="340">
        <v>20.0</v>
      </c>
      <c r="R118" s="345" t="s">
        <v>2440</v>
      </c>
    </row>
    <row r="119">
      <c r="A119" s="502" t="str">
        <f>HYPERLINK("http://en.uesp.net/wiki/Skyrim:Decree_of_Monument","Decree of Monument")</f>
        <v>Decree of Monument</v>
      </c>
      <c r="B119" s="63" t="s">
        <v>132</v>
      </c>
      <c r="C119" s="63" t="s">
        <v>132</v>
      </c>
      <c r="D119" s="63" t="s">
        <v>132</v>
      </c>
      <c r="E119" s="503"/>
      <c r="F119" s="503"/>
      <c r="G119" s="503"/>
      <c r="H119" s="503"/>
      <c r="I119" s="503"/>
      <c r="J119" s="503"/>
      <c r="K119" s="503"/>
      <c r="L119" s="503"/>
      <c r="M119" s="503"/>
      <c r="N119" s="320" t="s">
        <v>1524</v>
      </c>
      <c r="O119" s="508" t="s">
        <v>2661</v>
      </c>
      <c r="P119" s="506" t="s">
        <v>2662</v>
      </c>
      <c r="Q119" s="340">
        <v>5.0</v>
      </c>
      <c r="R119" s="472" t="s">
        <v>2440</v>
      </c>
    </row>
    <row r="120">
      <c r="A120" s="502" t="str">
        <f>HYPERLINK("https://en.uesp.net/wiki/Skyrim:Diary_of_Faire_Agarwen", "Diary of Faire Agarwen (DG)")</f>
        <v>Diary of Faire Agarwen (DG)</v>
      </c>
      <c r="B120" s="63" t="s">
        <v>132</v>
      </c>
      <c r="C120" s="63" t="s">
        <v>132</v>
      </c>
      <c r="D120" s="63" t="s">
        <v>132</v>
      </c>
      <c r="E120" s="503"/>
      <c r="F120" s="503"/>
      <c r="G120" s="503"/>
      <c r="H120" s="503"/>
      <c r="I120" s="503"/>
      <c r="J120" s="503"/>
      <c r="K120" s="503"/>
      <c r="L120" s="503"/>
      <c r="M120" s="503"/>
      <c r="N120" s="504" t="s">
        <v>1524</v>
      </c>
      <c r="O120" s="513" t="s">
        <v>2663</v>
      </c>
      <c r="P120" s="506" t="s">
        <v>2664</v>
      </c>
      <c r="Q120" s="340">
        <v>20.0</v>
      </c>
      <c r="R120" s="509" t="s">
        <v>2536</v>
      </c>
    </row>
    <row r="121">
      <c r="A121" s="502" t="str">
        <f>HYPERLINK("http://en.uesp.net/wiki/Skyrim:Discovering_Ruunvald,_Vol._I","Discovering Ruunvald, Vol. I")</f>
        <v>Discovering Ruunvald, Vol. I</v>
      </c>
      <c r="B121" s="63" t="s">
        <v>132</v>
      </c>
      <c r="C121" s="63" t="s">
        <v>132</v>
      </c>
      <c r="D121" s="63" t="s">
        <v>132</v>
      </c>
      <c r="E121" s="503"/>
      <c r="F121" s="503"/>
      <c r="G121" s="503"/>
      <c r="H121" s="503"/>
      <c r="I121" s="503"/>
      <c r="J121" s="503"/>
      <c r="K121" s="503"/>
      <c r="L121" s="503"/>
      <c r="M121" s="503"/>
      <c r="N121" s="320" t="s">
        <v>1524</v>
      </c>
      <c r="O121" s="506" t="s">
        <v>2665</v>
      </c>
      <c r="P121" s="506" t="s">
        <v>2666</v>
      </c>
      <c r="Q121" s="340">
        <v>5.0</v>
      </c>
      <c r="R121" s="345" t="s">
        <v>2440</v>
      </c>
    </row>
    <row r="122">
      <c r="A122" s="502" t="str">
        <f>HYPERLINK("http://en.uesp.net/wiki/Skyrim:Discovering_Ruunvald,_Vol._II","Discovering Ruunvald, Vol. II")</f>
        <v>Discovering Ruunvald, Vol. II</v>
      </c>
      <c r="B122" s="63" t="s">
        <v>132</v>
      </c>
      <c r="C122" s="63" t="s">
        <v>132</v>
      </c>
      <c r="D122" s="63" t="s">
        <v>132</v>
      </c>
      <c r="E122" s="503"/>
      <c r="F122" s="503"/>
      <c r="G122" s="503"/>
      <c r="H122" s="503"/>
      <c r="I122" s="503"/>
      <c r="J122" s="503"/>
      <c r="K122" s="503"/>
      <c r="L122" s="503"/>
      <c r="M122" s="503"/>
      <c r="N122" s="504" t="s">
        <v>1524</v>
      </c>
      <c r="O122" s="505" t="s">
        <v>2665</v>
      </c>
      <c r="P122" s="506" t="s">
        <v>2667</v>
      </c>
      <c r="Q122" s="340">
        <v>5.0</v>
      </c>
      <c r="R122" s="503" t="s">
        <v>2440</v>
      </c>
    </row>
    <row r="123">
      <c r="A123" s="502" t="str">
        <f>HYPERLINK("http://en.uesp.net/wiki/Skyrim:Discovering_Ruunvald,_Vol._III","Discovering Ruunvald, Vol. III")</f>
        <v>Discovering Ruunvald, Vol. III</v>
      </c>
      <c r="B123" s="63" t="s">
        <v>132</v>
      </c>
      <c r="C123" s="63" t="s">
        <v>132</v>
      </c>
      <c r="D123" s="63" t="s">
        <v>132</v>
      </c>
      <c r="E123" s="503"/>
      <c r="F123" s="503"/>
      <c r="G123" s="503"/>
      <c r="H123" s="503"/>
      <c r="I123" s="503"/>
      <c r="J123" s="503"/>
      <c r="K123" s="503"/>
      <c r="L123" s="503"/>
      <c r="M123" s="503"/>
      <c r="N123" s="320" t="s">
        <v>1524</v>
      </c>
      <c r="O123" s="506" t="s">
        <v>2665</v>
      </c>
      <c r="P123" s="506" t="s">
        <v>2668</v>
      </c>
      <c r="Q123" s="340">
        <v>5.0</v>
      </c>
      <c r="R123" s="453" t="s">
        <v>2440</v>
      </c>
    </row>
    <row r="124">
      <c r="A124" s="502" t="str">
        <f>HYPERLINK("http://en.uesp.net/wiki/Skyrim:Discovering_Ruunvald,_Vol._IV","Discovering Ruunvald, Vol. IV")</f>
        <v>Discovering Ruunvald, Vol. IV</v>
      </c>
      <c r="B124" s="63" t="s">
        <v>132</v>
      </c>
      <c r="C124" s="63" t="s">
        <v>132</v>
      </c>
      <c r="D124" s="63" t="s">
        <v>132</v>
      </c>
      <c r="E124" s="503"/>
      <c r="F124" s="503"/>
      <c r="G124" s="503"/>
      <c r="H124" s="503"/>
      <c r="I124" s="503"/>
      <c r="J124" s="503"/>
      <c r="K124" s="503"/>
      <c r="L124" s="503"/>
      <c r="M124" s="503"/>
      <c r="N124" s="320" t="s">
        <v>1524</v>
      </c>
      <c r="O124" s="506" t="s">
        <v>2665</v>
      </c>
      <c r="P124" s="506" t="s">
        <v>2669</v>
      </c>
      <c r="Q124" s="340">
        <v>5.0</v>
      </c>
      <c r="R124" s="503" t="s">
        <v>2440</v>
      </c>
    </row>
    <row r="125">
      <c r="A125" s="502" t="str">
        <f>HYPERLINK("http://en.uesp.net/wiki/Skyrim:Dragon_Language:_Myth_no_More","Dragon Language: Myth no More")</f>
        <v>Dragon Language: Myth no More</v>
      </c>
      <c r="B125" s="63" t="s">
        <v>132</v>
      </c>
      <c r="C125" s="63" t="s">
        <v>132</v>
      </c>
      <c r="D125" s="63" t="s">
        <v>132</v>
      </c>
      <c r="E125" s="503"/>
      <c r="F125" s="503"/>
      <c r="G125" s="503"/>
      <c r="H125" s="503"/>
      <c r="I125" s="503"/>
      <c r="J125" s="503"/>
      <c r="K125" s="503"/>
      <c r="L125" s="503"/>
      <c r="M125" s="503"/>
      <c r="N125" s="320">
        <v>3.0</v>
      </c>
      <c r="O125" s="508" t="s">
        <v>2670</v>
      </c>
      <c r="P125" s="506" t="s">
        <v>2671</v>
      </c>
      <c r="Q125" s="340">
        <v>14.0</v>
      </c>
      <c r="R125" s="503" t="s">
        <v>2440</v>
      </c>
    </row>
    <row r="126">
      <c r="A126" s="502" t="str">
        <f>HYPERLINK("http://en.uesp.net/wiki/Skyrim:Dunmer_of_Skyrim","Dunmer of Skyrim")</f>
        <v>Dunmer of Skyrim</v>
      </c>
      <c r="B126" s="63" t="s">
        <v>132</v>
      </c>
      <c r="C126" s="63" t="s">
        <v>132</v>
      </c>
      <c r="D126" s="63" t="s">
        <v>132</v>
      </c>
      <c r="E126" s="503"/>
      <c r="F126" s="503"/>
      <c r="G126" s="503"/>
      <c r="H126" s="503"/>
      <c r="I126" s="503"/>
      <c r="J126" s="503"/>
      <c r="K126" s="503"/>
      <c r="L126" s="503"/>
      <c r="M126" s="503"/>
      <c r="N126" s="320">
        <v>2.0</v>
      </c>
      <c r="O126" s="508" t="s">
        <v>2672</v>
      </c>
      <c r="P126" s="506" t="s">
        <v>2673</v>
      </c>
      <c r="Q126" s="340">
        <v>7.0</v>
      </c>
      <c r="R126" s="508" t="s">
        <v>2440</v>
      </c>
    </row>
    <row r="127">
      <c r="A127" s="502" t="str">
        <f>HYPERLINK("http://en.uesp.net/wiki/Skyrim:Dwarves,_v1","Dwarves, v1")</f>
        <v>Dwarves, v1</v>
      </c>
      <c r="B127" s="63" t="s">
        <v>132</v>
      </c>
      <c r="C127" s="63" t="s">
        <v>132</v>
      </c>
      <c r="D127" s="63" t="s">
        <v>132</v>
      </c>
      <c r="E127" s="503"/>
      <c r="F127" s="503"/>
      <c r="G127" s="503"/>
      <c r="H127" s="503"/>
      <c r="I127" s="503"/>
      <c r="J127" s="503"/>
      <c r="K127" s="503"/>
      <c r="L127" s="503"/>
      <c r="M127" s="503"/>
      <c r="N127" s="320">
        <v>3.0</v>
      </c>
      <c r="O127" s="506" t="s">
        <v>2674</v>
      </c>
      <c r="P127" s="506" t="s">
        <v>2675</v>
      </c>
      <c r="Q127" s="340">
        <v>10.0</v>
      </c>
      <c r="R127" s="453" t="s">
        <v>2440</v>
      </c>
    </row>
    <row r="128">
      <c r="A128" s="502" t="str">
        <f>HYPERLINK("http://en.uesp.net/wiki/Skyrim:Dwarves,_v2","Dwarves, v2")</f>
        <v>Dwarves, v2</v>
      </c>
      <c r="B128" s="63" t="s">
        <v>132</v>
      </c>
      <c r="C128" s="63" t="s">
        <v>132</v>
      </c>
      <c r="D128" s="63" t="s">
        <v>132</v>
      </c>
      <c r="E128" s="503"/>
      <c r="F128" s="503"/>
      <c r="G128" s="503"/>
      <c r="H128" s="503"/>
      <c r="I128" s="503"/>
      <c r="J128" s="503"/>
      <c r="K128" s="503"/>
      <c r="L128" s="503"/>
      <c r="M128" s="503"/>
      <c r="N128" s="320">
        <v>3.0</v>
      </c>
      <c r="O128" s="506" t="s">
        <v>2674</v>
      </c>
      <c r="P128" s="506" t="s">
        <v>2676</v>
      </c>
      <c r="Q128" s="340">
        <v>10.0</v>
      </c>
      <c r="R128" s="345" t="s">
        <v>2440</v>
      </c>
    </row>
    <row r="129">
      <c r="A129" s="502" t="str">
        <f>HYPERLINK("http://en.uesp.net/wiki/Skyrim:Dwarves,_v3","Dwarves, v3")</f>
        <v>Dwarves, v3</v>
      </c>
      <c r="B129" s="63" t="s">
        <v>132</v>
      </c>
      <c r="C129" s="63" t="s">
        <v>132</v>
      </c>
      <c r="D129" s="63" t="s">
        <v>132</v>
      </c>
      <c r="E129" s="503"/>
      <c r="F129" s="503"/>
      <c r="G129" s="503"/>
      <c r="H129" s="503"/>
      <c r="I129" s="503"/>
      <c r="J129" s="503"/>
      <c r="K129" s="503"/>
      <c r="L129" s="503"/>
      <c r="M129" s="503"/>
      <c r="N129" s="320">
        <v>3.0</v>
      </c>
      <c r="O129" s="506" t="s">
        <v>2674</v>
      </c>
      <c r="P129" s="506" t="s">
        <v>2677</v>
      </c>
      <c r="Q129" s="340">
        <v>10.0</v>
      </c>
      <c r="R129" s="503" t="s">
        <v>2440</v>
      </c>
    </row>
    <row r="130">
      <c r="A130" s="502" t="str">
        <f>HYPERLINK("http://en.uesp.net/wiki/Skyrim:Dwemer_History_and_Culture","Dwemer History and Culture")</f>
        <v>Dwemer History and Culture</v>
      </c>
      <c r="B130" s="63" t="s">
        <v>132</v>
      </c>
      <c r="C130" s="63" t="s">
        <v>132</v>
      </c>
      <c r="D130" s="63" t="s">
        <v>132</v>
      </c>
      <c r="E130" s="503"/>
      <c r="F130" s="503"/>
      <c r="G130" s="503"/>
      <c r="H130" s="503"/>
      <c r="I130" s="503"/>
      <c r="J130" s="503"/>
      <c r="K130" s="503"/>
      <c r="L130" s="503"/>
      <c r="M130" s="503"/>
      <c r="N130" s="320">
        <v>3.0</v>
      </c>
      <c r="O130" s="508" t="s">
        <v>2678</v>
      </c>
      <c r="P130" s="506" t="s">
        <v>2679</v>
      </c>
      <c r="Q130" s="340">
        <v>13.0</v>
      </c>
      <c r="R130" s="503" t="s">
        <v>2440</v>
      </c>
    </row>
    <row r="131">
      <c r="A131" s="502" t="str">
        <f>HYPERLINK("http://en.uesp.net/wiki/Skyrim:Dwemer_Inquiries_Vol_I","Dwemer Inquiries Vol I")</f>
        <v>Dwemer Inquiries Vol I</v>
      </c>
      <c r="B131" s="63" t="s">
        <v>132</v>
      </c>
      <c r="C131" s="63" t="s">
        <v>132</v>
      </c>
      <c r="D131" s="63" t="s">
        <v>132</v>
      </c>
      <c r="E131" s="503"/>
      <c r="F131" s="503"/>
      <c r="G131" s="503"/>
      <c r="H131" s="503"/>
      <c r="I131" s="503"/>
      <c r="J131" s="503"/>
      <c r="K131" s="503"/>
      <c r="L131" s="503"/>
      <c r="M131" s="503"/>
      <c r="N131" s="320">
        <v>2.0</v>
      </c>
      <c r="O131" s="508" t="s">
        <v>2680</v>
      </c>
      <c r="P131" s="506" t="s">
        <v>2681</v>
      </c>
      <c r="Q131" s="340">
        <v>6.0</v>
      </c>
      <c r="R131" s="508" t="s">
        <v>2440</v>
      </c>
    </row>
    <row r="132">
      <c r="A132" s="502" t="str">
        <f>HYPERLINK("http://en.uesp.net/wiki/Skyrim:Dwemer_Inquiries_Vol_II","Dwemer Inquiries Vol II")</f>
        <v>Dwemer Inquiries Vol II</v>
      </c>
      <c r="B132" s="63" t="s">
        <v>132</v>
      </c>
      <c r="C132" s="63" t="s">
        <v>132</v>
      </c>
      <c r="D132" s="63" t="s">
        <v>132</v>
      </c>
      <c r="E132" s="503"/>
      <c r="F132" s="503"/>
      <c r="G132" s="503"/>
      <c r="H132" s="503"/>
      <c r="I132" s="503"/>
      <c r="J132" s="503"/>
      <c r="K132" s="503"/>
      <c r="L132" s="503"/>
      <c r="M132" s="503"/>
      <c r="N132" s="320">
        <v>2.0</v>
      </c>
      <c r="O132" s="508" t="s">
        <v>2680</v>
      </c>
      <c r="P132" s="506" t="s">
        <v>2682</v>
      </c>
      <c r="Q132" s="340">
        <v>6.0</v>
      </c>
      <c r="R132" s="508" t="s">
        <v>2440</v>
      </c>
    </row>
    <row r="133">
      <c r="A133" s="502" t="str">
        <f>HYPERLINK("http://en.uesp.net/wiki/Skyrim:Dwemer_Inquiries_Vol_III","Dwemer Inquiries Vol III")</f>
        <v>Dwemer Inquiries Vol III</v>
      </c>
      <c r="B133" s="63" t="s">
        <v>132</v>
      </c>
      <c r="C133" s="63" t="s">
        <v>132</v>
      </c>
      <c r="D133" s="63" t="s">
        <v>132</v>
      </c>
      <c r="E133" s="503"/>
      <c r="F133" s="503"/>
      <c r="G133" s="503"/>
      <c r="H133" s="503"/>
      <c r="I133" s="503"/>
      <c r="J133" s="503"/>
      <c r="K133" s="503"/>
      <c r="L133" s="503"/>
      <c r="M133" s="503"/>
      <c r="N133" s="504">
        <v>2.0</v>
      </c>
      <c r="O133" s="345" t="s">
        <v>2680</v>
      </c>
      <c r="P133" s="506" t="s">
        <v>2683</v>
      </c>
      <c r="Q133" s="340">
        <v>6.0</v>
      </c>
      <c r="R133" s="503" t="s">
        <v>2440</v>
      </c>
    </row>
    <row r="134">
      <c r="A134" s="502" t="str">
        <f>HYPERLINK("http://en.uesp.net/wiki/Skyrim:Effects_of_the_Elder_Scrolls","Effects of the Elder Scrolls")</f>
        <v>Effects of the Elder Scrolls</v>
      </c>
      <c r="B134" s="63" t="s">
        <v>132</v>
      </c>
      <c r="C134" s="63" t="s">
        <v>132</v>
      </c>
      <c r="D134" s="63" t="s">
        <v>132</v>
      </c>
      <c r="E134" s="503"/>
      <c r="F134" s="503"/>
      <c r="G134" s="503"/>
      <c r="H134" s="503"/>
      <c r="I134" s="503"/>
      <c r="J134" s="503"/>
      <c r="K134" s="503"/>
      <c r="L134" s="503"/>
      <c r="M134" s="503"/>
      <c r="N134" s="320">
        <v>4.0</v>
      </c>
      <c r="O134" s="508" t="s">
        <v>2684</v>
      </c>
      <c r="P134" s="506" t="s">
        <v>2685</v>
      </c>
      <c r="Q134" s="340">
        <v>25.0</v>
      </c>
      <c r="R134" s="453" t="s">
        <v>2440</v>
      </c>
    </row>
    <row r="135">
      <c r="A135" s="502" t="str">
        <f>HYPERLINK("http://en.uesp.net/wiki/Skyrim:Eisa%27s_Journal","Eisa's Journal")</f>
        <v>Eisa's Journal</v>
      </c>
      <c r="B135" s="63" t="s">
        <v>132</v>
      </c>
      <c r="C135" s="63" t="s">
        <v>132</v>
      </c>
      <c r="D135" s="63" t="s">
        <v>132</v>
      </c>
      <c r="E135" s="503"/>
      <c r="F135" s="503"/>
      <c r="G135" s="503"/>
      <c r="H135" s="503"/>
      <c r="I135" s="503"/>
      <c r="J135" s="503"/>
      <c r="K135" s="503"/>
      <c r="L135" s="503"/>
      <c r="M135" s="503"/>
      <c r="N135" s="320" t="s">
        <v>1524</v>
      </c>
      <c r="O135" s="506" t="s">
        <v>2686</v>
      </c>
      <c r="P135" s="506" t="s">
        <v>2687</v>
      </c>
      <c r="Q135" s="340">
        <v>5.0</v>
      </c>
      <c r="R135" s="503" t="s">
        <v>2536</v>
      </c>
    </row>
    <row r="136">
      <c r="A136" s="502" t="str">
        <f>HYPERLINK("http://en.uesp.net/wiki/Skyrim:Enchanter%27s_Primer","Enchanter's Primer")</f>
        <v>Enchanter's Primer</v>
      </c>
      <c r="B136" s="63" t="s">
        <v>132</v>
      </c>
      <c r="C136" s="63" t="s">
        <v>132</v>
      </c>
      <c r="D136" s="63" t="s">
        <v>132</v>
      </c>
      <c r="E136" s="503"/>
      <c r="F136" s="503"/>
      <c r="G136" s="503"/>
      <c r="H136" s="503"/>
      <c r="I136" s="503"/>
      <c r="J136" s="503"/>
      <c r="K136" s="503"/>
      <c r="L136" s="503"/>
      <c r="M136" s="503"/>
      <c r="N136" s="320" t="s">
        <v>1524</v>
      </c>
      <c r="O136" s="508" t="s">
        <v>167</v>
      </c>
      <c r="P136" s="506" t="s">
        <v>2688</v>
      </c>
      <c r="Q136" s="340">
        <v>50.0</v>
      </c>
      <c r="R136" s="472" t="s">
        <v>2529</v>
      </c>
    </row>
    <row r="137">
      <c r="A137" s="502" t="str">
        <f>HYPERLINK("http://en.uesp.net/wiki/Skyrim:Endrast%27s_Journal","Endrast's Journal")</f>
        <v>Endrast's Journal</v>
      </c>
      <c r="B137" s="63" t="s">
        <v>132</v>
      </c>
      <c r="C137" s="63" t="s">
        <v>132</v>
      </c>
      <c r="D137" s="63" t="s">
        <v>132</v>
      </c>
      <c r="E137" s="503"/>
      <c r="F137" s="503"/>
      <c r="G137" s="503"/>
      <c r="H137" s="503"/>
      <c r="I137" s="503"/>
      <c r="J137" s="503"/>
      <c r="K137" s="503"/>
      <c r="L137" s="503"/>
      <c r="M137" s="503"/>
      <c r="N137" s="320" t="s">
        <v>1524</v>
      </c>
      <c r="O137" s="506" t="s">
        <v>2689</v>
      </c>
      <c r="P137" s="506" t="s">
        <v>2690</v>
      </c>
      <c r="Q137" s="340">
        <v>5.0</v>
      </c>
      <c r="R137" s="453" t="s">
        <v>2536</v>
      </c>
    </row>
    <row r="138">
      <c r="A138" s="502" t="str">
        <f>HYPERLINK("http://en.uesp.net/wiki/Skyrim:Erj%27s_Notes","Erj's Notes")</f>
        <v>Erj's Notes</v>
      </c>
      <c r="B138" s="63" t="s">
        <v>132</v>
      </c>
      <c r="C138" s="63" t="s">
        <v>132</v>
      </c>
      <c r="D138" s="63" t="s">
        <v>132</v>
      </c>
      <c r="E138" s="503"/>
      <c r="F138" s="503"/>
      <c r="G138" s="503"/>
      <c r="H138" s="503"/>
      <c r="I138" s="503"/>
      <c r="J138" s="503"/>
      <c r="K138" s="503"/>
      <c r="L138" s="503"/>
      <c r="M138" s="503"/>
      <c r="N138" s="320" t="s">
        <v>1524</v>
      </c>
      <c r="O138" s="506" t="s">
        <v>2691</v>
      </c>
      <c r="P138" s="506" t="s">
        <v>2692</v>
      </c>
      <c r="Q138" s="340">
        <v>5.0</v>
      </c>
      <c r="R138" s="453" t="s">
        <v>2654</v>
      </c>
    </row>
    <row r="139">
      <c r="A139" s="502" t="str">
        <f>HYPERLINK("http://en.uesp.net/wiki/Skyrim:Expedition_Manifest","Expedition Manifest")</f>
        <v>Expedition Manifest</v>
      </c>
      <c r="B139" s="63" t="s">
        <v>132</v>
      </c>
      <c r="C139" s="63" t="s">
        <v>132</v>
      </c>
      <c r="D139" s="63" t="s">
        <v>132</v>
      </c>
      <c r="E139" s="503"/>
      <c r="F139" s="503"/>
      <c r="G139" s="503"/>
      <c r="H139" s="503"/>
      <c r="I139" s="503"/>
      <c r="J139" s="503"/>
      <c r="K139" s="503"/>
      <c r="L139" s="503"/>
      <c r="M139" s="503"/>
      <c r="N139" s="320" t="s">
        <v>1524</v>
      </c>
      <c r="O139" s="508" t="s">
        <v>2693</v>
      </c>
      <c r="P139" s="506" t="s">
        <v>2694</v>
      </c>
      <c r="Q139" s="340">
        <v>5.0</v>
      </c>
      <c r="R139" s="509" t="s">
        <v>2536</v>
      </c>
    </row>
    <row r="140">
      <c r="A140" s="502" t="str">
        <f>HYPERLINK("https://en.uesp.net/wiki/Skyrim:Eydis's_Journal", "Eydis's Journal (DB)")</f>
        <v>Eydis's Journal (DB)</v>
      </c>
      <c r="B140" s="63" t="s">
        <v>132</v>
      </c>
      <c r="C140" s="63" t="s">
        <v>132</v>
      </c>
      <c r="D140" s="63" t="s">
        <v>132</v>
      </c>
      <c r="E140" s="503"/>
      <c r="F140" s="503"/>
      <c r="G140" s="503"/>
      <c r="H140" s="503"/>
      <c r="I140" s="503"/>
      <c r="J140" s="503"/>
      <c r="K140" s="503"/>
      <c r="L140" s="503"/>
      <c r="M140" s="503"/>
      <c r="N140" s="504" t="s">
        <v>1524</v>
      </c>
      <c r="O140" s="505" t="s">
        <v>773</v>
      </c>
      <c r="P140" s="514" t="s">
        <v>2695</v>
      </c>
      <c r="Q140" s="340">
        <v>25.0</v>
      </c>
      <c r="R140" s="509" t="s">
        <v>2536</v>
      </c>
    </row>
    <row r="141">
      <c r="A141" s="502" t="str">
        <f>HYPERLINK("http://en.uesp.net/wiki/Skyrim:Faded_Diary","Faded Diary")</f>
        <v>Faded Diary</v>
      </c>
      <c r="B141" s="63" t="s">
        <v>132</v>
      </c>
      <c r="C141" s="63" t="s">
        <v>132</v>
      </c>
      <c r="D141" s="63" t="s">
        <v>132</v>
      </c>
      <c r="E141" s="503"/>
      <c r="F141" s="503"/>
      <c r="G141" s="503"/>
      <c r="H141" s="503"/>
      <c r="I141" s="503"/>
      <c r="J141" s="503"/>
      <c r="K141" s="503"/>
      <c r="L141" s="503"/>
      <c r="M141" s="503"/>
      <c r="N141" s="320" t="s">
        <v>1524</v>
      </c>
      <c r="O141" s="508" t="s">
        <v>2696</v>
      </c>
      <c r="P141" s="506" t="s">
        <v>2697</v>
      </c>
      <c r="Q141" s="340">
        <v>5.0</v>
      </c>
      <c r="R141" s="509" t="s">
        <v>2536</v>
      </c>
    </row>
    <row r="142">
      <c r="A142" s="502" t="str">
        <f>HYPERLINK("http://en.uesp.net/wiki/Skyrim:Fall_from_Glory","Fall from Glory")</f>
        <v>Fall from Glory</v>
      </c>
      <c r="B142" s="63" t="s">
        <v>132</v>
      </c>
      <c r="C142" s="63" t="s">
        <v>132</v>
      </c>
      <c r="D142" s="63" t="s">
        <v>132</v>
      </c>
      <c r="E142" s="503"/>
      <c r="F142" s="503"/>
      <c r="G142" s="503"/>
      <c r="H142" s="503"/>
      <c r="I142" s="503"/>
      <c r="J142" s="503"/>
      <c r="K142" s="503"/>
      <c r="L142" s="503"/>
      <c r="M142" s="503"/>
      <c r="N142" s="320">
        <v>2.0</v>
      </c>
      <c r="O142" s="508" t="s">
        <v>2698</v>
      </c>
      <c r="P142" s="505" t="s">
        <v>2699</v>
      </c>
      <c r="Q142" s="340">
        <v>8.0</v>
      </c>
      <c r="R142" s="503" t="s">
        <v>2440</v>
      </c>
    </row>
    <row r="143">
      <c r="A143" s="502" t="str">
        <f>HYPERLINK("http://en.uesp.net/wiki/Skyrim:Fall_of_the_Snow_Prince","Fall of the Snow Prince")</f>
        <v>Fall of the Snow Prince</v>
      </c>
      <c r="B143" s="63" t="s">
        <v>132</v>
      </c>
      <c r="C143" s="63" t="s">
        <v>132</v>
      </c>
      <c r="D143" s="63" t="s">
        <v>132</v>
      </c>
      <c r="E143" s="503"/>
      <c r="F143" s="503"/>
      <c r="G143" s="503"/>
      <c r="H143" s="503"/>
      <c r="I143" s="503"/>
      <c r="J143" s="503"/>
      <c r="K143" s="503"/>
      <c r="L143" s="503"/>
      <c r="M143" s="503"/>
      <c r="N143" s="320">
        <v>3.0</v>
      </c>
      <c r="O143" s="508" t="s">
        <v>2700</v>
      </c>
      <c r="P143" s="505" t="s">
        <v>2701</v>
      </c>
      <c r="Q143" s="340">
        <v>11.0</v>
      </c>
      <c r="R143" s="503" t="s">
        <v>2440</v>
      </c>
    </row>
    <row r="144">
      <c r="A144" s="502" t="str">
        <f>HYPERLINK("http://en.uesp.net/wiki/Skyrim:Father_Of_The_Niben","Father Of The Niben")</f>
        <v>Father Of The Niben</v>
      </c>
      <c r="B144" s="63" t="s">
        <v>132</v>
      </c>
      <c r="C144" s="63" t="s">
        <v>132</v>
      </c>
      <c r="D144" s="63" t="s">
        <v>132</v>
      </c>
      <c r="E144" s="503"/>
      <c r="F144" s="503"/>
      <c r="G144" s="503"/>
      <c r="H144" s="503"/>
      <c r="I144" s="503"/>
      <c r="J144" s="503"/>
      <c r="K144" s="503"/>
      <c r="L144" s="503"/>
      <c r="M144" s="503"/>
      <c r="N144" s="320" t="s">
        <v>1524</v>
      </c>
      <c r="O144" s="508" t="s">
        <v>2702</v>
      </c>
      <c r="P144" s="505" t="s">
        <v>2703</v>
      </c>
      <c r="Q144" s="340">
        <v>65.0</v>
      </c>
      <c r="R144" s="472" t="s">
        <v>2704</v>
      </c>
    </row>
    <row r="145">
      <c r="A145" s="502" t="str">
        <f>HYPERLINK("http://en.uesp.net/wiki/Skyrim:Feyfolken_I","Feyfolken I")</f>
        <v>Feyfolken I</v>
      </c>
      <c r="B145" s="63" t="s">
        <v>132</v>
      </c>
      <c r="C145" s="63" t="s">
        <v>132</v>
      </c>
      <c r="D145" s="63" t="s">
        <v>132</v>
      </c>
      <c r="E145" s="503"/>
      <c r="F145" s="503"/>
      <c r="G145" s="503"/>
      <c r="H145" s="503"/>
      <c r="I145" s="503"/>
      <c r="J145" s="503"/>
      <c r="K145" s="503"/>
      <c r="L145" s="503"/>
      <c r="M145" s="503"/>
      <c r="N145" s="320">
        <v>3.0</v>
      </c>
      <c r="O145" s="506" t="s">
        <v>2506</v>
      </c>
      <c r="P145" s="505" t="s">
        <v>2705</v>
      </c>
      <c r="Q145" s="340">
        <v>12.0</v>
      </c>
      <c r="R145" s="503" t="s">
        <v>2440</v>
      </c>
    </row>
    <row r="146">
      <c r="A146" s="502" t="str">
        <f>HYPERLINK("http://en.uesp.net/wiki/Skyrim:Feyfolken_II","Feyfolken II")</f>
        <v>Feyfolken II</v>
      </c>
      <c r="B146" s="63" t="s">
        <v>132</v>
      </c>
      <c r="C146" s="63" t="s">
        <v>132</v>
      </c>
      <c r="D146" s="63" t="s">
        <v>132</v>
      </c>
      <c r="E146" s="503"/>
      <c r="F146" s="503"/>
      <c r="G146" s="503"/>
      <c r="H146" s="503"/>
      <c r="I146" s="503"/>
      <c r="J146" s="503"/>
      <c r="K146" s="503"/>
      <c r="L146" s="503"/>
      <c r="M146" s="503"/>
      <c r="N146" s="320">
        <v>3.0</v>
      </c>
      <c r="O146" s="506" t="s">
        <v>2506</v>
      </c>
      <c r="P146" s="506" t="s">
        <v>2706</v>
      </c>
      <c r="Q146" s="340">
        <v>12.0</v>
      </c>
      <c r="R146" s="453" t="s">
        <v>2440</v>
      </c>
    </row>
    <row r="147">
      <c r="A147" s="502" t="str">
        <f>HYPERLINK("http://en.uesp.net/wiki/Skyrim:Feyfolken_III","Feyfolken III")</f>
        <v>Feyfolken III</v>
      </c>
      <c r="B147" s="63" t="s">
        <v>132</v>
      </c>
      <c r="C147" s="63" t="s">
        <v>132</v>
      </c>
      <c r="D147" s="63" t="s">
        <v>132</v>
      </c>
      <c r="E147" s="503"/>
      <c r="F147" s="503"/>
      <c r="G147" s="503"/>
      <c r="H147" s="503"/>
      <c r="I147" s="503"/>
      <c r="J147" s="503"/>
      <c r="K147" s="503"/>
      <c r="L147" s="503"/>
      <c r="M147" s="503"/>
      <c r="N147" s="320">
        <v>3.0</v>
      </c>
      <c r="O147" s="506" t="s">
        <v>2506</v>
      </c>
      <c r="P147" s="506" t="s">
        <v>2707</v>
      </c>
      <c r="Q147" s="340">
        <v>12.0</v>
      </c>
      <c r="R147" s="453" t="s">
        <v>2440</v>
      </c>
    </row>
    <row r="148">
      <c r="A148" s="502" t="str">
        <f>HYPERLINK("http://en.uesp.net/wiki/Skyrim:Final_Lesson","Final Lesson")</f>
        <v>Final Lesson</v>
      </c>
      <c r="B148" s="63" t="s">
        <v>132</v>
      </c>
      <c r="C148" s="63" t="s">
        <v>132</v>
      </c>
      <c r="D148" s="63" t="s">
        <v>132</v>
      </c>
      <c r="E148" s="503"/>
      <c r="F148" s="503"/>
      <c r="G148" s="503"/>
      <c r="H148" s="503"/>
      <c r="I148" s="503"/>
      <c r="J148" s="503"/>
      <c r="K148" s="503"/>
      <c r="L148" s="503"/>
      <c r="M148" s="503"/>
      <c r="N148" s="320">
        <v>3.0</v>
      </c>
      <c r="O148" s="508" t="s">
        <v>2708</v>
      </c>
      <c r="P148" s="506" t="s">
        <v>2709</v>
      </c>
      <c r="Q148" s="340">
        <v>14.0</v>
      </c>
      <c r="R148" s="503" t="s">
        <v>2440</v>
      </c>
    </row>
    <row r="149">
      <c r="A149" s="502" t="str">
        <f>HYPERLINK("http://en.uesp.net/wiki/Skyrim:Fire_and_Darkness","Fire and Darkness")</f>
        <v>Fire and Darkness</v>
      </c>
      <c r="B149" s="63" t="s">
        <v>132</v>
      </c>
      <c r="C149" s="63" t="s">
        <v>132</v>
      </c>
      <c r="D149" s="63" t="s">
        <v>132</v>
      </c>
      <c r="E149" s="503"/>
      <c r="F149" s="503"/>
      <c r="G149" s="503"/>
      <c r="H149" s="503"/>
      <c r="I149" s="503"/>
      <c r="J149" s="503"/>
      <c r="K149" s="503"/>
      <c r="L149" s="503"/>
      <c r="M149" s="503"/>
      <c r="N149" s="320" t="s">
        <v>1524</v>
      </c>
      <c r="O149" s="508" t="s">
        <v>2710</v>
      </c>
      <c r="P149" s="506" t="s">
        <v>2711</v>
      </c>
      <c r="Q149" s="340">
        <v>50.0</v>
      </c>
      <c r="R149" s="472" t="s">
        <v>2496</v>
      </c>
    </row>
    <row r="150">
      <c r="A150" s="502" t="str">
        <f>HYPERLINK("http://en.uesp.net/wiki/Skyrim:Fisherman%27s_Journal_(camp)","Fisherman's Journal")</f>
        <v>Fisherman's Journal</v>
      </c>
      <c r="B150" s="63" t="s">
        <v>132</v>
      </c>
      <c r="C150" s="63" t="s">
        <v>132</v>
      </c>
      <c r="D150" s="63" t="s">
        <v>132</v>
      </c>
      <c r="E150" s="503"/>
      <c r="F150" s="503"/>
      <c r="G150" s="503"/>
      <c r="H150" s="503"/>
      <c r="I150" s="503"/>
      <c r="J150" s="503"/>
      <c r="K150" s="503"/>
      <c r="L150" s="503"/>
      <c r="M150" s="503"/>
      <c r="N150" s="320" t="s">
        <v>1524</v>
      </c>
      <c r="O150" s="508" t="s">
        <v>2712</v>
      </c>
      <c r="P150" s="506" t="s">
        <v>2713</v>
      </c>
      <c r="Q150" s="340">
        <v>5.0</v>
      </c>
      <c r="R150" s="503" t="s">
        <v>2536</v>
      </c>
    </row>
    <row r="151">
      <c r="A151" s="502" t="str">
        <f>HYPERLINK("http://en.uesp.net/wiki/Skyrim:Fisherman%27s_Journal_(Ilinalta%27s_Deep)","Fisherman's Journal")</f>
        <v>Fisherman's Journal</v>
      </c>
      <c r="B151" s="63" t="s">
        <v>132</v>
      </c>
      <c r="C151" s="63" t="s">
        <v>132</v>
      </c>
      <c r="D151" s="63" t="s">
        <v>132</v>
      </c>
      <c r="E151" s="503"/>
      <c r="F151" s="503"/>
      <c r="G151" s="503"/>
      <c r="H151" s="503"/>
      <c r="I151" s="503"/>
      <c r="J151" s="503"/>
      <c r="K151" s="503"/>
      <c r="L151" s="503"/>
      <c r="M151" s="503"/>
      <c r="N151" s="320" t="s">
        <v>1524</v>
      </c>
      <c r="O151" s="508" t="s">
        <v>2481</v>
      </c>
      <c r="P151" s="508" t="s">
        <v>2714</v>
      </c>
      <c r="Q151" s="340">
        <v>5.0</v>
      </c>
      <c r="R151" s="503" t="s">
        <v>2536</v>
      </c>
    </row>
    <row r="152">
      <c r="A152" s="502" t="str">
        <f>HYPERLINK("http://en.uesp.net/wiki/Skyrim:Five_Songs_of_King_Wulfharth","Five Songs of King Wulfharth")</f>
        <v>Five Songs of King Wulfharth</v>
      </c>
      <c r="B152" s="63" t="s">
        <v>132</v>
      </c>
      <c r="C152" s="63" t="s">
        <v>132</v>
      </c>
      <c r="D152" s="63" t="s">
        <v>132</v>
      </c>
      <c r="E152" s="503"/>
      <c r="F152" s="503"/>
      <c r="G152" s="503"/>
      <c r="H152" s="503"/>
      <c r="I152" s="503"/>
      <c r="J152" s="503"/>
      <c r="K152" s="503"/>
      <c r="L152" s="503"/>
      <c r="M152" s="503"/>
      <c r="N152" s="320">
        <v>4.0</v>
      </c>
      <c r="O152" s="508" t="s">
        <v>2481</v>
      </c>
      <c r="P152" s="506" t="s">
        <v>2715</v>
      </c>
      <c r="Q152" s="340">
        <v>30.0</v>
      </c>
      <c r="R152" s="503" t="s">
        <v>2440</v>
      </c>
    </row>
    <row r="153" ht="15.0" customHeight="1">
      <c r="A153" s="502" t="str">
        <f>HYPERLINK("http://en.uesp.net/wiki/Skyrim:Flight_from_the_Thalmor","Flight from the Thalmor")</f>
        <v>Flight from the Thalmor</v>
      </c>
      <c r="B153" s="63" t="s">
        <v>132</v>
      </c>
      <c r="C153" s="63" t="s">
        <v>132</v>
      </c>
      <c r="D153" s="63" t="s">
        <v>132</v>
      </c>
      <c r="E153" s="503"/>
      <c r="F153" s="503"/>
      <c r="G153" s="503"/>
      <c r="H153" s="503"/>
      <c r="I153" s="503"/>
      <c r="J153" s="503"/>
      <c r="K153" s="503"/>
      <c r="L153" s="503"/>
      <c r="M153" s="503"/>
      <c r="N153" s="320">
        <v>3.0</v>
      </c>
      <c r="O153" s="508" t="s">
        <v>2716</v>
      </c>
      <c r="P153" s="506" t="s">
        <v>2717</v>
      </c>
      <c r="Q153" s="340">
        <v>13.0</v>
      </c>
      <c r="R153" s="503" t="s">
        <v>2440</v>
      </c>
    </row>
    <row r="154">
      <c r="A154" s="502" t="str">
        <f>HYPERLINK("http://en.uesp.net/wiki/Skyrim:Forge,_Hammer_and_Anvil","Forge, Hammer and Anvil")</f>
        <v>Forge, Hammer and Anvil</v>
      </c>
      <c r="B154" s="63" t="s">
        <v>132</v>
      </c>
      <c r="C154" s="63" t="s">
        <v>132</v>
      </c>
      <c r="D154" s="63" t="s">
        <v>132</v>
      </c>
      <c r="E154" s="503"/>
      <c r="F154" s="503"/>
      <c r="G154" s="503"/>
      <c r="H154" s="503"/>
      <c r="I154" s="503"/>
      <c r="J154" s="503"/>
      <c r="K154" s="503"/>
      <c r="L154" s="503"/>
      <c r="M154" s="503"/>
      <c r="N154" s="320">
        <v>3.0</v>
      </c>
      <c r="O154" s="508" t="s">
        <v>2718</v>
      </c>
      <c r="P154" s="506" t="s">
        <v>2719</v>
      </c>
      <c r="Q154" s="340">
        <v>14.0</v>
      </c>
      <c r="R154" s="503" t="s">
        <v>2440</v>
      </c>
    </row>
    <row r="155" ht="15.75" customHeight="1">
      <c r="A155" s="502" t="str">
        <f>HYPERLINK("http://en.uesp.net/wiki/Skyrim:Fragment:_On_Artaeum","Fragment: On Artaeum")</f>
        <v>Fragment: On Artaeum</v>
      </c>
      <c r="B155" s="63" t="s">
        <v>132</v>
      </c>
      <c r="C155" s="63" t="s">
        <v>132</v>
      </c>
      <c r="D155" s="63" t="s">
        <v>132</v>
      </c>
      <c r="E155" s="503"/>
      <c r="F155" s="503"/>
      <c r="G155" s="503"/>
      <c r="H155" s="503"/>
      <c r="I155" s="503"/>
      <c r="J155" s="503"/>
      <c r="K155" s="503"/>
      <c r="L155" s="503"/>
      <c r="M155" s="503"/>
      <c r="N155" s="320">
        <v>4.0</v>
      </c>
      <c r="O155" s="508" t="s">
        <v>2720</v>
      </c>
      <c r="P155" s="506" t="s">
        <v>2721</v>
      </c>
      <c r="Q155" s="340" t="s">
        <v>2722</v>
      </c>
      <c r="R155" s="503" t="s">
        <v>2440</v>
      </c>
    </row>
    <row r="156">
      <c r="A156" s="502" t="str">
        <f>HYPERLINK("http://en.uesp.net/wiki/Skyrim:Frontier,_Conquest","Frontier, Conquest")</f>
        <v>Frontier, Conquest</v>
      </c>
      <c r="B156" s="63" t="s">
        <v>132</v>
      </c>
      <c r="C156" s="63" t="s">
        <v>132</v>
      </c>
      <c r="D156" s="63" t="s">
        <v>132</v>
      </c>
      <c r="E156" s="503"/>
      <c r="F156" s="503"/>
      <c r="G156" s="503"/>
      <c r="H156" s="503"/>
      <c r="I156" s="503"/>
      <c r="J156" s="503"/>
      <c r="K156" s="503"/>
      <c r="L156" s="503"/>
      <c r="M156" s="503"/>
      <c r="N156" s="320">
        <v>2.0</v>
      </c>
      <c r="O156" s="508" t="s">
        <v>2723</v>
      </c>
      <c r="P156" s="506" t="s">
        <v>2724</v>
      </c>
      <c r="Q156" s="340">
        <v>5.0</v>
      </c>
      <c r="R156" s="503" t="s">
        <v>2440</v>
      </c>
    </row>
    <row r="157">
      <c r="A157" s="502" t="str">
        <f>HYPERLINK("http://en.uesp.net/wiki/Skyrim:Galerion_The_Mystic","Galerion The Mystic")</f>
        <v>Galerion The Mystic</v>
      </c>
      <c r="B157" s="63" t="s">
        <v>132</v>
      </c>
      <c r="C157" s="63" t="s">
        <v>132</v>
      </c>
      <c r="D157" s="63" t="s">
        <v>132</v>
      </c>
      <c r="E157" s="503"/>
      <c r="F157" s="503"/>
      <c r="G157" s="503"/>
      <c r="H157" s="503"/>
      <c r="I157" s="503"/>
      <c r="J157" s="503"/>
      <c r="K157" s="503"/>
      <c r="L157" s="503"/>
      <c r="M157" s="503"/>
      <c r="N157" s="320">
        <v>2.0</v>
      </c>
      <c r="O157" s="506" t="s">
        <v>2725</v>
      </c>
      <c r="P157" s="506" t="s">
        <v>2726</v>
      </c>
      <c r="Q157" s="340">
        <v>6.0</v>
      </c>
      <c r="R157" s="503" t="s">
        <v>2440</v>
      </c>
    </row>
    <row r="158">
      <c r="A158" s="502" t="str">
        <f>HYPERLINK("http://en.uesp.net/wiki/Skyrim:Gallus%27s_Encoded_Journal","Gallus's Encoded Journal")</f>
        <v>Gallus's Encoded Journal</v>
      </c>
      <c r="B158" s="63" t="s">
        <v>132</v>
      </c>
      <c r="C158" s="63" t="s">
        <v>132</v>
      </c>
      <c r="D158" s="63" t="s">
        <v>132</v>
      </c>
      <c r="E158" s="503"/>
      <c r="F158" s="503"/>
      <c r="G158" s="503"/>
      <c r="H158" s="503"/>
      <c r="I158" s="503"/>
      <c r="J158" s="503"/>
      <c r="K158" s="503"/>
      <c r="L158" s="503"/>
      <c r="M158" s="503"/>
      <c r="N158" s="320" t="s">
        <v>1524</v>
      </c>
      <c r="O158" s="506" t="s">
        <v>2727</v>
      </c>
      <c r="P158" s="506" t="s">
        <v>2728</v>
      </c>
      <c r="Q158" s="340">
        <v>5.0</v>
      </c>
      <c r="R158" s="345" t="s">
        <v>2526</v>
      </c>
    </row>
    <row r="159">
      <c r="A159" s="502" t="str">
        <f>HYPERLINK("http://en.uesp.net/wiki/Skyrim:Ghosts_in_the_Storm","Ghosts in the Storm")</f>
        <v>Ghosts in the Storm</v>
      </c>
      <c r="B159" s="63" t="s">
        <v>132</v>
      </c>
      <c r="C159" s="63" t="s">
        <v>132</v>
      </c>
      <c r="D159" s="63" t="s">
        <v>132</v>
      </c>
      <c r="E159" s="503"/>
      <c r="F159" s="503"/>
      <c r="G159" s="503"/>
      <c r="H159" s="503"/>
      <c r="I159" s="503"/>
      <c r="J159" s="503"/>
      <c r="K159" s="503"/>
      <c r="L159" s="503"/>
      <c r="M159" s="503"/>
      <c r="N159" s="320">
        <v>3.0</v>
      </c>
      <c r="O159" s="506" t="s">
        <v>602</v>
      </c>
      <c r="P159" s="506" t="s">
        <v>2729</v>
      </c>
      <c r="Q159" s="340">
        <v>13.0</v>
      </c>
      <c r="R159" s="503" t="s">
        <v>2440</v>
      </c>
    </row>
    <row r="160">
      <c r="A160" s="502" t="str">
        <f>HYPERLINK("http://en.uesp.net/wiki/Skyrim:Glories_and_Laments","Glories and Laments")</f>
        <v>Glories and Laments</v>
      </c>
      <c r="B160" s="63" t="s">
        <v>132</v>
      </c>
      <c r="C160" s="63" t="s">
        <v>132</v>
      </c>
      <c r="D160" s="63" t="s">
        <v>132</v>
      </c>
      <c r="E160" s="503"/>
      <c r="F160" s="503"/>
      <c r="G160" s="503"/>
      <c r="H160" s="503"/>
      <c r="I160" s="503"/>
      <c r="J160" s="503"/>
      <c r="K160" s="503"/>
      <c r="L160" s="503"/>
      <c r="M160" s="503"/>
      <c r="N160" s="320">
        <v>4.0</v>
      </c>
      <c r="O160" s="508" t="s">
        <v>2730</v>
      </c>
      <c r="P160" s="506" t="s">
        <v>2731</v>
      </c>
      <c r="Q160" s="340">
        <v>25.0</v>
      </c>
      <c r="R160" s="345" t="s">
        <v>2440</v>
      </c>
    </row>
    <row r="161">
      <c r="A161" s="502" t="str">
        <f>HYPERLINK("http://en.uesp.net/wiki/Skyrim:Gods_and_Worship","Gods and Worship")</f>
        <v>Gods and Worship</v>
      </c>
      <c r="B161" s="63" t="s">
        <v>132</v>
      </c>
      <c r="C161" s="63" t="s">
        <v>132</v>
      </c>
      <c r="D161" s="63" t="s">
        <v>132</v>
      </c>
      <c r="E161" s="503"/>
      <c r="F161" s="503"/>
      <c r="G161" s="503"/>
      <c r="H161" s="503"/>
      <c r="I161" s="503"/>
      <c r="J161" s="503"/>
      <c r="K161" s="503"/>
      <c r="L161" s="503"/>
      <c r="M161" s="503"/>
      <c r="N161" s="320">
        <v>2.0</v>
      </c>
      <c r="O161" s="508" t="s">
        <v>2732</v>
      </c>
      <c r="P161" s="506" t="s">
        <v>2733</v>
      </c>
      <c r="Q161" s="340">
        <v>5.0</v>
      </c>
      <c r="R161" s="503" t="s">
        <v>2440</v>
      </c>
    </row>
    <row r="162">
      <c r="A162" s="502" t="str">
        <f>HYPERLINK("http://en.uesp.net/wiki/Skyrim:Great_Harbingers","Great Harbingers")</f>
        <v>Great Harbingers</v>
      </c>
      <c r="B162" s="63" t="s">
        <v>132</v>
      </c>
      <c r="C162" s="63" t="s">
        <v>132</v>
      </c>
      <c r="D162" s="63" t="s">
        <v>132</v>
      </c>
      <c r="E162" s="503"/>
      <c r="F162" s="503"/>
      <c r="G162" s="503"/>
      <c r="H162" s="503"/>
      <c r="I162" s="503"/>
      <c r="J162" s="503"/>
      <c r="K162" s="503"/>
      <c r="L162" s="503"/>
      <c r="M162" s="503"/>
      <c r="N162" s="320">
        <v>3.0</v>
      </c>
      <c r="O162" s="508" t="s">
        <v>2734</v>
      </c>
      <c r="P162" s="506" t="s">
        <v>2735</v>
      </c>
      <c r="Q162" s="340">
        <v>13.0</v>
      </c>
      <c r="R162" s="503" t="s">
        <v>2440</v>
      </c>
    </row>
    <row r="163">
      <c r="A163" s="502" t="str">
        <f>HYPERLINK("http://en.uesp.net/wiki/Skyrim:Guide_to_Better_Thieving","Guide to Better Thieving")</f>
        <v>Guide to Better Thieving</v>
      </c>
      <c r="B163" s="63" t="s">
        <v>132</v>
      </c>
      <c r="C163" s="63" t="s">
        <v>132</v>
      </c>
      <c r="D163" s="63" t="s">
        <v>132</v>
      </c>
      <c r="E163" s="503"/>
      <c r="F163" s="503"/>
      <c r="G163" s="503"/>
      <c r="H163" s="503"/>
      <c r="I163" s="503"/>
      <c r="J163" s="503"/>
      <c r="K163" s="503"/>
      <c r="L163" s="503"/>
      <c r="M163" s="503"/>
      <c r="N163" s="320" t="s">
        <v>1524</v>
      </c>
      <c r="O163" s="508" t="s">
        <v>2736</v>
      </c>
      <c r="P163" s="506" t="s">
        <v>2737</v>
      </c>
      <c r="Q163" s="340">
        <v>60.0</v>
      </c>
      <c r="R163" s="472" t="s">
        <v>2539</v>
      </c>
    </row>
    <row r="164">
      <c r="A164" s="502" t="str">
        <f>HYPERLINK("http://en.uesp.net/wiki/Skyrim:Habd%27s_Journal","Habd's Journal")</f>
        <v>Habd's Journal</v>
      </c>
      <c r="B164" s="63" t="s">
        <v>132</v>
      </c>
      <c r="C164" s="63" t="s">
        <v>132</v>
      </c>
      <c r="D164" s="63" t="s">
        <v>132</v>
      </c>
      <c r="E164" s="503"/>
      <c r="F164" s="503"/>
      <c r="G164" s="503"/>
      <c r="H164" s="503"/>
      <c r="I164" s="503"/>
      <c r="J164" s="503"/>
      <c r="K164" s="503"/>
      <c r="L164" s="503"/>
      <c r="M164" s="503"/>
      <c r="N164" s="320" t="s">
        <v>1524</v>
      </c>
      <c r="O164" s="506" t="s">
        <v>2738</v>
      </c>
      <c r="P164" s="506" t="s">
        <v>2739</v>
      </c>
      <c r="Q164" s="340">
        <v>5.0</v>
      </c>
      <c r="R164" s="453" t="s">
        <v>2536</v>
      </c>
    </row>
    <row r="165">
      <c r="A165" s="502" t="str">
        <f>HYPERLINK("http://en.uesp.net/wiki/Skyrim:Hajvarr%27s_Journal","Hajvarr's Journal")</f>
        <v>Hajvarr's Journal</v>
      </c>
      <c r="B165" s="63" t="s">
        <v>132</v>
      </c>
      <c r="C165" s="63" t="s">
        <v>132</v>
      </c>
      <c r="D165" s="63" t="s">
        <v>132</v>
      </c>
      <c r="E165" s="503"/>
      <c r="F165" s="503"/>
      <c r="G165" s="503"/>
      <c r="H165" s="503"/>
      <c r="I165" s="503"/>
      <c r="J165" s="503"/>
      <c r="K165" s="503"/>
      <c r="L165" s="503"/>
      <c r="M165" s="503"/>
      <c r="N165" s="320" t="s">
        <v>1524</v>
      </c>
      <c r="O165" s="506" t="s">
        <v>2740</v>
      </c>
      <c r="P165" s="506" t="s">
        <v>2741</v>
      </c>
      <c r="Q165" s="340">
        <v>5.0</v>
      </c>
      <c r="R165" s="503" t="s">
        <v>2536</v>
      </c>
    </row>
    <row r="166">
      <c r="A166" s="502" t="str">
        <f>HYPERLINK("http://en.uesp.net/wiki/Skyrim:Hallgerd%27s_Tale","Hallgerd's Tale")</f>
        <v>Hallgerd's Tale</v>
      </c>
      <c r="B166" s="63" t="s">
        <v>132</v>
      </c>
      <c r="C166" s="63" t="s">
        <v>132</v>
      </c>
      <c r="D166" s="63" t="s">
        <v>132</v>
      </c>
      <c r="E166" s="503"/>
      <c r="F166" s="503"/>
      <c r="G166" s="503"/>
      <c r="H166" s="503"/>
      <c r="I166" s="503"/>
      <c r="J166" s="503"/>
      <c r="K166" s="503"/>
      <c r="L166" s="503"/>
      <c r="M166" s="503"/>
      <c r="N166" s="320" t="s">
        <v>1524</v>
      </c>
      <c r="O166" s="508" t="s">
        <v>2597</v>
      </c>
      <c r="P166" s="506" t="s">
        <v>2742</v>
      </c>
      <c r="Q166" s="340">
        <v>70.0</v>
      </c>
      <c r="R166" s="509" t="s">
        <v>2494</v>
      </c>
    </row>
    <row r="167">
      <c r="A167" s="502" t="str">
        <f>HYPERLINK("http://en.uesp.net/wiki/Skyrim:Hamelyn%27s_Journal","Hamelyn's Journal")</f>
        <v>Hamelyn's Journal</v>
      </c>
      <c r="B167" s="63" t="s">
        <v>132</v>
      </c>
      <c r="C167" s="63" t="s">
        <v>132</v>
      </c>
      <c r="D167" s="63" t="s">
        <v>132</v>
      </c>
      <c r="E167" s="503"/>
      <c r="F167" s="503"/>
      <c r="G167" s="503"/>
      <c r="H167" s="503"/>
      <c r="I167" s="503"/>
      <c r="J167" s="503"/>
      <c r="K167" s="503"/>
      <c r="L167" s="503"/>
      <c r="M167" s="503"/>
      <c r="N167" s="320" t="s">
        <v>1524</v>
      </c>
      <c r="O167" s="506" t="s">
        <v>2743</v>
      </c>
      <c r="P167" s="506" t="s">
        <v>2744</v>
      </c>
      <c r="Q167" s="340">
        <v>75.0</v>
      </c>
      <c r="R167" s="508" t="s">
        <v>2536</v>
      </c>
    </row>
    <row r="168">
      <c r="A168" s="502" t="str">
        <f>HYPERLINK("http://en.uesp.net/wiki/Skyrim:Hanging_Gardens","Hanging Gardens")</f>
        <v>Hanging Gardens</v>
      </c>
      <c r="B168" s="63" t="s">
        <v>132</v>
      </c>
      <c r="C168" s="63" t="s">
        <v>132</v>
      </c>
      <c r="D168" s="63" t="s">
        <v>132</v>
      </c>
      <c r="E168" s="503"/>
      <c r="F168" s="503"/>
      <c r="G168" s="503"/>
      <c r="H168" s="503"/>
      <c r="I168" s="503"/>
      <c r="J168" s="503"/>
      <c r="K168" s="503"/>
      <c r="L168" s="503"/>
      <c r="M168" s="503"/>
      <c r="N168" s="320">
        <v>4.0</v>
      </c>
      <c r="O168" s="508" t="s">
        <v>2481</v>
      </c>
      <c r="P168" s="506" t="s">
        <v>2745</v>
      </c>
      <c r="Q168" s="340">
        <v>30.0</v>
      </c>
      <c r="R168" s="503" t="s">
        <v>2440</v>
      </c>
    </row>
    <row r="169">
      <c r="A169" s="502" t="str">
        <f>HYPERLINK("http://en.uesp.net/wiki/Skyrim:Hargar%27s_Journal","Hargar's Journal")</f>
        <v>Hargar's Journal</v>
      </c>
      <c r="B169" s="63" t="s">
        <v>132</v>
      </c>
      <c r="C169" s="63" t="s">
        <v>132</v>
      </c>
      <c r="D169" s="63" t="s">
        <v>132</v>
      </c>
      <c r="E169" s="503"/>
      <c r="F169" s="503"/>
      <c r="G169" s="503"/>
      <c r="H169" s="503"/>
      <c r="I169" s="503"/>
      <c r="J169" s="503"/>
      <c r="K169" s="503"/>
      <c r="L169" s="503"/>
      <c r="M169" s="503"/>
      <c r="N169" s="320" t="s">
        <v>1524</v>
      </c>
      <c r="O169" s="506" t="s">
        <v>2746</v>
      </c>
      <c r="P169" s="505" t="s">
        <v>2747</v>
      </c>
      <c r="Q169" s="340">
        <v>5.0</v>
      </c>
      <c r="R169" s="453" t="s">
        <v>2536</v>
      </c>
    </row>
    <row r="170">
      <c r="A170" s="502" t="str">
        <f>HYPERLINK("http://en.uesp.net/wiki/Skyrim:Harvesting_Frostbite_Spider_Venom","Harvesting Frostbite Spider Venom")</f>
        <v>Harvesting Frostbite Spider Venom</v>
      </c>
      <c r="B170" s="63" t="s">
        <v>132</v>
      </c>
      <c r="C170" s="63" t="s">
        <v>132</v>
      </c>
      <c r="D170" s="63" t="s">
        <v>132</v>
      </c>
      <c r="E170" s="503"/>
      <c r="F170" s="503"/>
      <c r="G170" s="503"/>
      <c r="H170" s="503"/>
      <c r="I170" s="503"/>
      <c r="J170" s="503"/>
      <c r="K170" s="503"/>
      <c r="L170" s="503"/>
      <c r="M170" s="503"/>
      <c r="N170" s="320" t="s">
        <v>1524</v>
      </c>
      <c r="O170" s="508" t="s">
        <v>2481</v>
      </c>
      <c r="P170" s="506" t="s">
        <v>2748</v>
      </c>
      <c r="Q170" s="340">
        <v>7.0</v>
      </c>
      <c r="R170" s="503" t="s">
        <v>2440</v>
      </c>
    </row>
    <row r="171">
      <c r="A171" s="502" t="str">
        <f>HYPERLINK("http://en.uesp.net/wiki/Skyrim:Heavy_Armor_Forging","Heavy Armor Forging")</f>
        <v>Heavy Armor Forging</v>
      </c>
      <c r="B171" s="63" t="s">
        <v>132</v>
      </c>
      <c r="C171" s="63" t="s">
        <v>132</v>
      </c>
      <c r="D171" s="63" t="s">
        <v>132</v>
      </c>
      <c r="E171" s="503"/>
      <c r="F171" s="503"/>
      <c r="G171" s="503"/>
      <c r="H171" s="503"/>
      <c r="I171" s="503"/>
      <c r="J171" s="503"/>
      <c r="K171" s="503"/>
      <c r="L171" s="503"/>
      <c r="M171" s="503"/>
      <c r="N171" s="504" t="s">
        <v>1524</v>
      </c>
      <c r="O171" s="345" t="s">
        <v>2749</v>
      </c>
      <c r="P171" s="506" t="s">
        <v>2750</v>
      </c>
      <c r="Q171" s="340">
        <v>70.0</v>
      </c>
      <c r="R171" s="472" t="s">
        <v>2631</v>
      </c>
    </row>
    <row r="172">
      <c r="A172" s="502" t="str">
        <f>HYPERLINK("http://en.uesp.net/wiki/Skyrim:Heddic%27s_Volunruud_Notes","Heddic's Volunruud Notes")</f>
        <v>Heddic's Volunruud Notes</v>
      </c>
      <c r="B172" s="63" t="s">
        <v>132</v>
      </c>
      <c r="C172" s="63" t="s">
        <v>132</v>
      </c>
      <c r="D172" s="63" t="s">
        <v>132</v>
      </c>
      <c r="E172" s="503"/>
      <c r="F172" s="503"/>
      <c r="G172" s="503"/>
      <c r="H172" s="503"/>
      <c r="I172" s="503"/>
      <c r="J172" s="503"/>
      <c r="K172" s="503"/>
      <c r="L172" s="503"/>
      <c r="M172" s="503"/>
      <c r="N172" s="320" t="s">
        <v>1524</v>
      </c>
      <c r="O172" s="506" t="s">
        <v>2751</v>
      </c>
      <c r="P172" s="506" t="s">
        <v>2752</v>
      </c>
      <c r="Q172" s="340">
        <v>5.0</v>
      </c>
      <c r="R172" s="345" t="s">
        <v>2654</v>
      </c>
    </row>
    <row r="173">
      <c r="A173" s="502" t="str">
        <f>HYPERLINK("http://en.uesp.net/wiki/Skyrim:Herbalist%27s_Guide_to_Skyrim","Herbalist's Guide to Skyrim")</f>
        <v>Herbalist's Guide to Skyrim</v>
      </c>
      <c r="B173" s="63" t="s">
        <v>132</v>
      </c>
      <c r="C173" s="63" t="s">
        <v>132</v>
      </c>
      <c r="D173" s="63" t="s">
        <v>132</v>
      </c>
      <c r="E173" s="503"/>
      <c r="F173" s="503"/>
      <c r="G173" s="503"/>
      <c r="H173" s="503"/>
      <c r="I173" s="503"/>
      <c r="J173" s="503"/>
      <c r="K173" s="503"/>
      <c r="L173" s="503"/>
      <c r="M173" s="503"/>
      <c r="N173" s="320" t="s">
        <v>1524</v>
      </c>
      <c r="O173" s="508" t="s">
        <v>2753</v>
      </c>
      <c r="P173" s="506" t="s">
        <v>2754</v>
      </c>
      <c r="Q173" s="340">
        <v>55.0</v>
      </c>
      <c r="R173" s="472" t="s">
        <v>2519</v>
      </c>
    </row>
    <row r="174">
      <c r="A174" s="502" t="str">
        <f>HYPERLINK("http://en.uesp.net/wiki/Skyrim:Herbane%27s_Bestiary:_Automatons","Herbane's Bestiary: Automatons")</f>
        <v>Herbane's Bestiary: Automatons</v>
      </c>
      <c r="B174" s="63" t="s">
        <v>132</v>
      </c>
      <c r="C174" s="63" t="s">
        <v>132</v>
      </c>
      <c r="D174" s="63" t="s">
        <v>132</v>
      </c>
      <c r="E174" s="503"/>
      <c r="F174" s="503"/>
      <c r="G174" s="503"/>
      <c r="H174" s="503"/>
      <c r="I174" s="503"/>
      <c r="J174" s="503"/>
      <c r="K174" s="503"/>
      <c r="L174" s="503"/>
      <c r="M174" s="503"/>
      <c r="N174" s="320">
        <v>3.0</v>
      </c>
      <c r="O174" s="506" t="s">
        <v>2755</v>
      </c>
      <c r="P174" s="506" t="s">
        <v>2756</v>
      </c>
      <c r="Q174" s="340">
        <v>14.0</v>
      </c>
      <c r="R174" s="503" t="s">
        <v>2440</v>
      </c>
    </row>
    <row r="175">
      <c r="A175" s="502" t="str">
        <f>HYPERLINK("http://en.uesp.net/wiki/Skyrim:Herbane%27s_Bestiary:_Hagravens","Herbane's Bestiary: Hagravens")</f>
        <v>Herbane's Bestiary: Hagravens</v>
      </c>
      <c r="B175" s="63" t="s">
        <v>132</v>
      </c>
      <c r="C175" s="63" t="s">
        <v>132</v>
      </c>
      <c r="D175" s="63" t="s">
        <v>132</v>
      </c>
      <c r="E175" s="503"/>
      <c r="F175" s="503"/>
      <c r="G175" s="503"/>
      <c r="H175" s="503"/>
      <c r="I175" s="503"/>
      <c r="J175" s="503"/>
      <c r="K175" s="503"/>
      <c r="L175" s="503"/>
      <c r="M175" s="503"/>
      <c r="N175" s="320">
        <v>2.0</v>
      </c>
      <c r="O175" s="506" t="s">
        <v>2755</v>
      </c>
      <c r="P175" s="506" t="s">
        <v>2757</v>
      </c>
      <c r="Q175" s="340">
        <v>6.0</v>
      </c>
      <c r="R175" s="453" t="s">
        <v>2440</v>
      </c>
    </row>
    <row r="176">
      <c r="A176" s="502" t="str">
        <f>HYPERLINK("http://en.uesp.net/wiki/Skyrim:Herbane%27s_Bestiary:_Ice_Wraiths","Herbane's Bestiary: Ice Wraiths")</f>
        <v>Herbane's Bestiary: Ice Wraiths</v>
      </c>
      <c r="B176" s="63" t="s">
        <v>132</v>
      </c>
      <c r="C176" s="63" t="s">
        <v>132</v>
      </c>
      <c r="D176" s="63" t="s">
        <v>132</v>
      </c>
      <c r="E176" s="503"/>
      <c r="F176" s="503"/>
      <c r="G176" s="503"/>
      <c r="H176" s="503"/>
      <c r="I176" s="503"/>
      <c r="J176" s="503"/>
      <c r="K176" s="503"/>
      <c r="L176" s="503"/>
      <c r="M176" s="503"/>
      <c r="N176" s="320">
        <v>2.0</v>
      </c>
      <c r="O176" s="506" t="s">
        <v>2755</v>
      </c>
      <c r="P176" s="506" t="s">
        <v>2758</v>
      </c>
      <c r="Q176" s="340">
        <v>7.0</v>
      </c>
      <c r="R176" s="503" t="s">
        <v>2440</v>
      </c>
    </row>
    <row r="177">
      <c r="A177" s="510" t="str">
        <f>HYPERLINK("http://en.uesp.net/wiki/Skyrim:History_of_Raven_Rock,_Vol._I","History of Raven Rock, Vol. I (DB)")</f>
        <v>History of Raven Rock, Vol. I (DB)</v>
      </c>
      <c r="B177" s="63" t="s">
        <v>132</v>
      </c>
      <c r="C177" s="63" t="s">
        <v>132</v>
      </c>
      <c r="D177" s="63" t="s">
        <v>132</v>
      </c>
      <c r="E177" s="503"/>
      <c r="F177" s="503"/>
      <c r="G177" s="503"/>
      <c r="H177" s="503"/>
      <c r="I177" s="503"/>
      <c r="J177" s="503"/>
      <c r="K177" s="503"/>
      <c r="L177" s="503"/>
      <c r="M177" s="503"/>
      <c r="N177" s="42">
        <v>2.0</v>
      </c>
      <c r="O177" s="508" t="s">
        <v>2759</v>
      </c>
      <c r="P177" s="506" t="s">
        <v>2760</v>
      </c>
      <c r="Q177" s="340">
        <v>7.0</v>
      </c>
      <c r="R177" s="503" t="s">
        <v>2440</v>
      </c>
    </row>
    <row r="178">
      <c r="A178" s="510" t="str">
        <f>HYPERLINK("http://en.uesp.net/wiki/Skyrim:History_of_Raven_Rock,_Vol._II","History of Raven Rock, Vol. II (DB)")</f>
        <v>History of Raven Rock, Vol. II (DB)</v>
      </c>
      <c r="B178" s="63" t="s">
        <v>132</v>
      </c>
      <c r="C178" s="63" t="s">
        <v>132</v>
      </c>
      <c r="D178" s="63" t="s">
        <v>132</v>
      </c>
      <c r="E178" s="503"/>
      <c r="F178" s="503"/>
      <c r="G178" s="503"/>
      <c r="H178" s="503"/>
      <c r="I178" s="503"/>
      <c r="J178" s="503"/>
      <c r="K178" s="503"/>
      <c r="L178" s="503"/>
      <c r="M178" s="503"/>
      <c r="N178" s="42">
        <v>2.0</v>
      </c>
      <c r="O178" s="508" t="s">
        <v>2759</v>
      </c>
      <c r="P178" s="506" t="s">
        <v>2761</v>
      </c>
      <c r="Q178" s="340">
        <v>7.0</v>
      </c>
      <c r="R178" s="503" t="s">
        <v>2440</v>
      </c>
    </row>
    <row r="179">
      <c r="A179" s="510" t="str">
        <f>HYPERLINK("http://en.uesp.net/wiki/Skyrim:History_of_Raven_Rock,_Vol._III","History of Raven Rock, Vol. III (DB)")</f>
        <v>History of Raven Rock, Vol. III (DB)</v>
      </c>
      <c r="B179" s="63" t="s">
        <v>132</v>
      </c>
      <c r="C179" s="63" t="s">
        <v>132</v>
      </c>
      <c r="D179" s="63" t="s">
        <v>132</v>
      </c>
      <c r="E179" s="503"/>
      <c r="F179" s="503"/>
      <c r="G179" s="503"/>
      <c r="H179" s="503"/>
      <c r="I179" s="503"/>
      <c r="J179" s="503"/>
      <c r="K179" s="503"/>
      <c r="L179" s="503"/>
      <c r="M179" s="503"/>
      <c r="N179" s="42">
        <v>2.0</v>
      </c>
      <c r="O179" s="508" t="s">
        <v>2759</v>
      </c>
      <c r="P179" s="506" t="s">
        <v>2762</v>
      </c>
      <c r="Q179" s="340">
        <v>7.0</v>
      </c>
      <c r="R179" s="503" t="s">
        <v>2440</v>
      </c>
    </row>
    <row r="180">
      <c r="A180" s="502" t="str">
        <f>HYPERLINK("http://en.uesp.net/wiki/Skyrim:Holdings_of_Jarl_Gjalund","Holdings of Jarl Gjalund")</f>
        <v>Holdings of Jarl Gjalund</v>
      </c>
      <c r="B180" s="63" t="s">
        <v>132</v>
      </c>
      <c r="C180" s="63" t="s">
        <v>132</v>
      </c>
      <c r="D180" s="63" t="s">
        <v>132</v>
      </c>
      <c r="E180" s="503"/>
      <c r="F180" s="503"/>
      <c r="G180" s="503"/>
      <c r="H180" s="503"/>
      <c r="I180" s="503"/>
      <c r="J180" s="503"/>
      <c r="K180" s="503"/>
      <c r="L180" s="503"/>
      <c r="M180" s="503"/>
      <c r="N180" s="320" t="s">
        <v>1524</v>
      </c>
      <c r="O180" s="508" t="s">
        <v>2763</v>
      </c>
      <c r="P180" s="506" t="s">
        <v>2764</v>
      </c>
      <c r="Q180" s="340">
        <v>5.0</v>
      </c>
      <c r="R180" s="453" t="s">
        <v>2440</v>
      </c>
    </row>
    <row r="181">
      <c r="A181" s="502" t="str">
        <f>HYPERLINK("http://en.uesp.net/wiki/Skyrim:Horker_Attacks","Horker Attacks")</f>
        <v>Horker Attacks</v>
      </c>
      <c r="B181" s="63" t="s">
        <v>132</v>
      </c>
      <c r="C181" s="63" t="s">
        <v>132</v>
      </c>
      <c r="D181" s="63" t="s">
        <v>132</v>
      </c>
      <c r="E181" s="503"/>
      <c r="F181" s="503"/>
      <c r="G181" s="503"/>
      <c r="H181" s="503"/>
      <c r="I181" s="503"/>
      <c r="J181" s="503"/>
      <c r="K181" s="503"/>
      <c r="L181" s="503"/>
      <c r="M181" s="503"/>
      <c r="N181" s="320">
        <v>1.0</v>
      </c>
      <c r="O181" s="508" t="s">
        <v>2765</v>
      </c>
      <c r="P181" s="506" t="s">
        <v>2766</v>
      </c>
      <c r="Q181" s="340">
        <v>4.0</v>
      </c>
      <c r="R181" s="503" t="s">
        <v>2440</v>
      </c>
    </row>
    <row r="182">
      <c r="A182" s="502" t="str">
        <f>HYPERLINK("http://en.uesp.net/wiki/Skyrim:Horror_of_Castle_Xyr","Horror of Castle Xyr")</f>
        <v>Horror of Castle Xyr</v>
      </c>
      <c r="B182" s="63" t="s">
        <v>132</v>
      </c>
      <c r="C182" s="63" t="s">
        <v>132</v>
      </c>
      <c r="D182" s="63" t="s">
        <v>132</v>
      </c>
      <c r="E182" s="503"/>
      <c r="F182" s="503"/>
      <c r="G182" s="503"/>
      <c r="H182" s="503"/>
      <c r="I182" s="503"/>
      <c r="J182" s="503"/>
      <c r="K182" s="503"/>
      <c r="L182" s="503"/>
      <c r="M182" s="503"/>
      <c r="N182" s="320" t="s">
        <v>1524</v>
      </c>
      <c r="O182" s="506" t="s">
        <v>2767</v>
      </c>
      <c r="P182" s="506" t="s">
        <v>2768</v>
      </c>
      <c r="Q182" s="340">
        <v>55.0</v>
      </c>
      <c r="R182" s="472" t="s">
        <v>2524</v>
      </c>
    </row>
    <row r="183">
      <c r="A183" s="502" t="str">
        <f>HYPERLINK("https://en.uesp.net/wiki/Skyrim:Hrodulf's_Journal", "Hrodulf's Journal (DB)")</f>
        <v>Hrodulf's Journal (DB)</v>
      </c>
      <c r="B183" s="63" t="s">
        <v>132</v>
      </c>
      <c r="C183" s="63" t="s">
        <v>132</v>
      </c>
      <c r="D183" s="63" t="s">
        <v>132</v>
      </c>
      <c r="E183" s="503"/>
      <c r="F183" s="503"/>
      <c r="G183" s="503"/>
      <c r="H183" s="503"/>
      <c r="I183" s="503"/>
      <c r="J183" s="503"/>
      <c r="K183" s="503"/>
      <c r="L183" s="503"/>
      <c r="M183" s="503"/>
      <c r="N183" s="320" t="s">
        <v>1524</v>
      </c>
      <c r="O183" s="506" t="s">
        <v>2769</v>
      </c>
      <c r="P183" s="514" t="s">
        <v>2770</v>
      </c>
      <c r="Q183" s="340">
        <v>10.0</v>
      </c>
      <c r="R183" s="503" t="s">
        <v>2536</v>
      </c>
    </row>
    <row r="184">
      <c r="A184" s="502" t="str">
        <f>HYPERLINK("http://en.uesp.net/wiki/Skyrim:Hunter%27s_Journal_(camp)","Hunter's Journal")</f>
        <v>Hunter's Journal</v>
      </c>
      <c r="B184" s="63" t="s">
        <v>132</v>
      </c>
      <c r="C184" s="63" t="s">
        <v>132</v>
      </c>
      <c r="D184" s="63" t="s">
        <v>132</v>
      </c>
      <c r="E184" s="503"/>
      <c r="F184" s="503"/>
      <c r="G184" s="503"/>
      <c r="H184" s="503"/>
      <c r="I184" s="503"/>
      <c r="J184" s="503"/>
      <c r="K184" s="503"/>
      <c r="L184" s="503"/>
      <c r="M184" s="503"/>
      <c r="N184" s="504" t="s">
        <v>1524</v>
      </c>
      <c r="O184" s="345" t="s">
        <v>2771</v>
      </c>
      <c r="P184" s="505" t="s">
        <v>2772</v>
      </c>
      <c r="Q184" s="340">
        <v>5.0</v>
      </c>
      <c r="R184" s="503" t="s">
        <v>2536</v>
      </c>
    </row>
    <row r="185">
      <c r="A185" s="502" t="str">
        <f>HYPERLINK("http://en.uesp.net/wiki/Skyrim:Hunter%27s_Journal_(Tolvald%27s_Cave)","Hunter's Journal")</f>
        <v>Hunter's Journal</v>
      </c>
      <c r="B185" s="63" t="s">
        <v>132</v>
      </c>
      <c r="C185" s="63" t="s">
        <v>132</v>
      </c>
      <c r="D185" s="63" t="s">
        <v>132</v>
      </c>
      <c r="E185" s="503"/>
      <c r="F185" s="503"/>
      <c r="G185" s="503"/>
      <c r="H185" s="503"/>
      <c r="I185" s="503"/>
      <c r="J185" s="503"/>
      <c r="K185" s="503"/>
      <c r="L185" s="503"/>
      <c r="M185" s="503"/>
      <c r="N185" s="504" t="s">
        <v>1524</v>
      </c>
      <c r="O185" s="345" t="s">
        <v>2771</v>
      </c>
      <c r="P185" s="505" t="s">
        <v>2773</v>
      </c>
      <c r="Q185" s="340">
        <v>5.0</v>
      </c>
      <c r="R185" s="503" t="s">
        <v>2536</v>
      </c>
    </row>
    <row r="186">
      <c r="A186" s="502" t="str">
        <f>HYPERLINK("http://en.uesp.net/wiki/Skyrim:Ice_and_Chitin","Ice and Chitin")</f>
        <v>Ice and Chitin</v>
      </c>
      <c r="B186" s="63" t="s">
        <v>132</v>
      </c>
      <c r="C186" s="63" t="s">
        <v>132</v>
      </c>
      <c r="D186" s="63" t="s">
        <v>132</v>
      </c>
      <c r="E186" s="503"/>
      <c r="F186" s="503"/>
      <c r="G186" s="503"/>
      <c r="H186" s="503"/>
      <c r="I186" s="503"/>
      <c r="J186" s="503"/>
      <c r="K186" s="503"/>
      <c r="L186" s="503"/>
      <c r="M186" s="503"/>
      <c r="N186" s="504" t="s">
        <v>1524</v>
      </c>
      <c r="O186" s="345" t="s">
        <v>2774</v>
      </c>
      <c r="P186" s="505" t="s">
        <v>2775</v>
      </c>
      <c r="Q186" s="340">
        <v>50.0</v>
      </c>
      <c r="R186" s="472" t="s">
        <v>2776</v>
      </c>
    </row>
    <row r="187">
      <c r="A187" s="502" t="str">
        <f>HYPERLINK("https://en.uesp.net/wiki/Skyrim:Ildari's_Journal", "Ildari's Journal (DB)")</f>
        <v>Ildari's Journal (DB)</v>
      </c>
      <c r="B187" s="63" t="s">
        <v>132</v>
      </c>
      <c r="C187" s="63" t="s">
        <v>132</v>
      </c>
      <c r="D187" s="63" t="s">
        <v>132</v>
      </c>
      <c r="E187" s="503"/>
      <c r="F187" s="503"/>
      <c r="G187" s="503"/>
      <c r="H187" s="503"/>
      <c r="I187" s="503"/>
      <c r="J187" s="503"/>
      <c r="K187" s="503"/>
      <c r="L187" s="503"/>
      <c r="M187" s="503"/>
      <c r="N187" s="504" t="s">
        <v>1524</v>
      </c>
      <c r="O187" s="505" t="s">
        <v>2777</v>
      </c>
      <c r="P187" s="514" t="s">
        <v>2778</v>
      </c>
      <c r="Q187" s="340">
        <v>125.0</v>
      </c>
      <c r="R187" s="509" t="s">
        <v>2536</v>
      </c>
    </row>
    <row r="188">
      <c r="A188" s="502" t="str">
        <f>HYPERLINK("https://en.uesp.net/wiki/Skyrim:Ildari's_Journal,_vol._I", "Ildari's Journal, vol. I (DB)")</f>
        <v>Ildari's Journal, vol. I (DB)</v>
      </c>
      <c r="B188" s="63" t="s">
        <v>132</v>
      </c>
      <c r="C188" s="63" t="s">
        <v>132</v>
      </c>
      <c r="D188" s="63" t="s">
        <v>132</v>
      </c>
      <c r="E188" s="503"/>
      <c r="F188" s="503"/>
      <c r="G188" s="503"/>
      <c r="H188" s="503"/>
      <c r="I188" s="503"/>
      <c r="J188" s="503"/>
      <c r="K188" s="503"/>
      <c r="L188" s="503"/>
      <c r="M188" s="503"/>
      <c r="N188" s="504" t="s">
        <v>1524</v>
      </c>
      <c r="O188" s="505" t="s">
        <v>2777</v>
      </c>
      <c r="P188" s="514" t="s">
        <v>2778</v>
      </c>
      <c r="Q188" s="340">
        <v>5.0</v>
      </c>
      <c r="R188" s="509" t="s">
        <v>2536</v>
      </c>
    </row>
    <row r="189">
      <c r="A189" s="502" t="str">
        <f>HYPERLINK("https://en.uesp.net/wiki/Skyrim:Ildari's_Journal,_vol._II", "Ildari's Journal, vol. II (DB)")</f>
        <v>Ildari's Journal, vol. II (DB)</v>
      </c>
      <c r="B189" s="63" t="s">
        <v>132</v>
      </c>
      <c r="C189" s="63" t="s">
        <v>132</v>
      </c>
      <c r="D189" s="63" t="s">
        <v>132</v>
      </c>
      <c r="E189" s="503"/>
      <c r="F189" s="503"/>
      <c r="G189" s="503"/>
      <c r="H189" s="503"/>
      <c r="I189" s="503"/>
      <c r="J189" s="503"/>
      <c r="K189" s="503"/>
      <c r="L189" s="503"/>
      <c r="M189" s="503"/>
      <c r="N189" s="320" t="s">
        <v>1524</v>
      </c>
      <c r="O189" s="506" t="s">
        <v>2777</v>
      </c>
      <c r="P189" s="514" t="s">
        <v>2778</v>
      </c>
      <c r="Q189" s="340">
        <v>5.0</v>
      </c>
      <c r="R189" s="509" t="s">
        <v>2536</v>
      </c>
    </row>
    <row r="190">
      <c r="A190" s="502" t="str">
        <f>HYPERLINK("https://en.uesp.net/wiki/Skyrim:Ildari's_Journal,_vol._III", "Ildari's Journal, vol. III (DB)")</f>
        <v>Ildari's Journal, vol. III (DB)</v>
      </c>
      <c r="B190" s="63" t="s">
        <v>132</v>
      </c>
      <c r="C190" s="63" t="s">
        <v>132</v>
      </c>
      <c r="D190" s="63" t="s">
        <v>132</v>
      </c>
      <c r="E190" s="503"/>
      <c r="F190" s="503"/>
      <c r="G190" s="503"/>
      <c r="H190" s="503"/>
      <c r="I190" s="503"/>
      <c r="J190" s="503"/>
      <c r="K190" s="503"/>
      <c r="L190" s="503"/>
      <c r="M190" s="503"/>
      <c r="N190" s="320" t="s">
        <v>1524</v>
      </c>
      <c r="O190" s="506" t="s">
        <v>2777</v>
      </c>
      <c r="P190" s="514" t="s">
        <v>2778</v>
      </c>
      <c r="Q190" s="340">
        <v>5.0</v>
      </c>
      <c r="R190" s="509" t="s">
        <v>2536</v>
      </c>
    </row>
    <row r="191">
      <c r="A191" s="502" t="str">
        <f>HYPERLINK("http://en.uesp.net/wiki/Skyrim:Immortal_Blood","Immortal Blood")</f>
        <v>Immortal Blood</v>
      </c>
      <c r="B191" s="63" t="s">
        <v>132</v>
      </c>
      <c r="C191" s="63" t="s">
        <v>132</v>
      </c>
      <c r="D191" s="63" t="s">
        <v>132</v>
      </c>
      <c r="E191" s="503"/>
      <c r="F191" s="503"/>
      <c r="G191" s="503"/>
      <c r="H191" s="503"/>
      <c r="I191" s="503"/>
      <c r="J191" s="503"/>
      <c r="K191" s="503"/>
      <c r="L191" s="503"/>
      <c r="M191" s="503"/>
      <c r="N191" s="320">
        <v>0.0</v>
      </c>
      <c r="O191" s="508" t="s">
        <v>2481</v>
      </c>
      <c r="P191" s="506" t="s">
        <v>2779</v>
      </c>
      <c r="Q191" s="340">
        <v>4.0</v>
      </c>
      <c r="R191" s="453" t="s">
        <v>2440</v>
      </c>
    </row>
    <row r="192">
      <c r="A192" s="502" t="str">
        <f>HYPERLINK("http://en.uesp.net/wiki/Skyrim:Imperial_Report_on_Saarthal","Imperial Report on Saarthal")</f>
        <v>Imperial Report on Saarthal</v>
      </c>
      <c r="B192" s="63" t="s">
        <v>132</v>
      </c>
      <c r="C192" s="63" t="s">
        <v>132</v>
      </c>
      <c r="D192" s="63" t="s">
        <v>132</v>
      </c>
      <c r="E192" s="503"/>
      <c r="F192" s="503"/>
      <c r="G192" s="503"/>
      <c r="H192" s="503"/>
      <c r="I192" s="503"/>
      <c r="J192" s="503"/>
      <c r="K192" s="503"/>
      <c r="L192" s="503"/>
      <c r="M192" s="503"/>
      <c r="N192" s="504">
        <v>3.0</v>
      </c>
      <c r="O192" s="345" t="s">
        <v>2780</v>
      </c>
      <c r="P192" s="506" t="s">
        <v>2781</v>
      </c>
      <c r="Q192" s="340">
        <v>13.0</v>
      </c>
      <c r="R192" s="503" t="s">
        <v>2440</v>
      </c>
    </row>
    <row r="193">
      <c r="A193" s="502" t="str">
        <f>HYPERLINK("http://en.uesp.net/wiki/Skyrim:Incident_at_Necrom","Incident at Necrom")</f>
        <v>Incident at Necrom</v>
      </c>
      <c r="B193" s="63" t="s">
        <v>132</v>
      </c>
      <c r="C193" s="63" t="s">
        <v>132</v>
      </c>
      <c r="D193" s="63" t="s">
        <v>132</v>
      </c>
      <c r="E193" s="503"/>
      <c r="F193" s="503"/>
      <c r="G193" s="503"/>
      <c r="H193" s="503"/>
      <c r="I193" s="503"/>
      <c r="J193" s="503"/>
      <c r="K193" s="503"/>
      <c r="L193" s="503"/>
      <c r="M193" s="503"/>
      <c r="N193" s="320" t="s">
        <v>1524</v>
      </c>
      <c r="O193" s="508" t="s">
        <v>2782</v>
      </c>
      <c r="P193" s="506" t="s">
        <v>2783</v>
      </c>
      <c r="Q193" s="340">
        <v>60.0</v>
      </c>
      <c r="R193" s="509" t="s">
        <v>2502</v>
      </c>
    </row>
    <row r="194">
      <c r="A194" s="502" t="str">
        <f>HYPERLINK("http://en.uesp.net/wiki/Skyrim:Invocation_of_Azura","Invocation of Azura")</f>
        <v>Invocation of Azura</v>
      </c>
      <c r="B194" s="63" t="s">
        <v>132</v>
      </c>
      <c r="C194" s="63" t="s">
        <v>132</v>
      </c>
      <c r="D194" s="63" t="s">
        <v>132</v>
      </c>
      <c r="E194" s="503"/>
      <c r="F194" s="503"/>
      <c r="G194" s="503"/>
      <c r="H194" s="503"/>
      <c r="I194" s="503"/>
      <c r="J194" s="503"/>
      <c r="K194" s="503"/>
      <c r="L194" s="503"/>
      <c r="M194" s="503"/>
      <c r="N194" s="320">
        <v>4.0</v>
      </c>
      <c r="O194" s="508" t="s">
        <v>2784</v>
      </c>
      <c r="P194" s="506" t="s">
        <v>2785</v>
      </c>
      <c r="Q194" s="340">
        <v>20.0</v>
      </c>
      <c r="R194" s="503" t="s">
        <v>2440</v>
      </c>
    </row>
    <row r="195">
      <c r="A195" s="502" t="str">
        <f>HYPERLINK("http://en.uesp.net/wiki/Skyrim:J%27zhar%27s_Journal","J'zhar's Journal")</f>
        <v>J'zhar's Journal</v>
      </c>
      <c r="B195" s="63" t="s">
        <v>132</v>
      </c>
      <c r="C195" s="63" t="s">
        <v>132</v>
      </c>
      <c r="D195" s="63" t="s">
        <v>132</v>
      </c>
      <c r="E195" s="503"/>
      <c r="F195" s="503"/>
      <c r="G195" s="503"/>
      <c r="H195" s="503"/>
      <c r="I195" s="503"/>
      <c r="J195" s="503"/>
      <c r="K195" s="503"/>
      <c r="L195" s="503"/>
      <c r="M195" s="503"/>
      <c r="N195" s="320" t="s">
        <v>1524</v>
      </c>
      <c r="O195" s="506" t="s">
        <v>2786</v>
      </c>
      <c r="P195" s="506" t="s">
        <v>2787</v>
      </c>
      <c r="Q195" s="340">
        <v>5.0</v>
      </c>
      <c r="R195" s="453" t="s">
        <v>2536</v>
      </c>
    </row>
    <row r="196">
      <c r="A196" s="502" t="str">
        <f>HYPERLINK("http://en.uesp.net/wiki/Skyrim:Japhet%27s_Journal","Japhet's Journal")</f>
        <v>Japhet's Journal</v>
      </c>
      <c r="B196" s="63" t="s">
        <v>132</v>
      </c>
      <c r="C196" s="63" t="s">
        <v>132</v>
      </c>
      <c r="D196" s="63" t="s">
        <v>132</v>
      </c>
      <c r="E196" s="503"/>
      <c r="F196" s="503"/>
      <c r="G196" s="503"/>
      <c r="H196" s="503"/>
      <c r="I196" s="503"/>
      <c r="J196" s="503"/>
      <c r="K196" s="503"/>
      <c r="L196" s="503"/>
      <c r="M196" s="503"/>
      <c r="N196" s="320" t="s">
        <v>1524</v>
      </c>
      <c r="O196" s="506" t="s">
        <v>2788</v>
      </c>
      <c r="P196" s="506" t="s">
        <v>2789</v>
      </c>
      <c r="Q196" s="340">
        <v>5.0</v>
      </c>
      <c r="R196" s="453" t="s">
        <v>2536</v>
      </c>
    </row>
    <row r="197">
      <c r="A197" s="502" t="str">
        <f>HYPERLINK("http://en.uesp.net/wiki/Skyrim:Jornibret%27s_Last_Dance","Jornibret's Last Dance")</f>
        <v>Jornibret's Last Dance</v>
      </c>
      <c r="B197" s="63" t="s">
        <v>132</v>
      </c>
      <c r="C197" s="63" t="s">
        <v>132</v>
      </c>
      <c r="D197" s="63" t="s">
        <v>132</v>
      </c>
      <c r="E197" s="503"/>
      <c r="F197" s="503"/>
      <c r="G197" s="503"/>
      <c r="H197" s="503"/>
      <c r="I197" s="503"/>
      <c r="J197" s="503"/>
      <c r="K197" s="503"/>
      <c r="L197" s="503"/>
      <c r="M197" s="503"/>
      <c r="N197" s="320" t="s">
        <v>1524</v>
      </c>
      <c r="O197" s="508" t="s">
        <v>2481</v>
      </c>
      <c r="P197" s="506" t="s">
        <v>2790</v>
      </c>
      <c r="Q197" s="340">
        <v>50.0</v>
      </c>
      <c r="R197" s="472" t="s">
        <v>2776</v>
      </c>
    </row>
    <row r="198">
      <c r="A198" s="502" t="str">
        <f>HYPERLINK("http://en.uesp.net/wiki/Skyrim:Journal_(Harmugstahl)","Journal")</f>
        <v>Journal</v>
      </c>
      <c r="B198" s="63" t="s">
        <v>132</v>
      </c>
      <c r="C198" s="63" t="s">
        <v>132</v>
      </c>
      <c r="D198" s="63" t="s">
        <v>132</v>
      </c>
      <c r="E198" s="503"/>
      <c r="F198" s="503"/>
      <c r="G198" s="503"/>
      <c r="H198" s="503"/>
      <c r="I198" s="503"/>
      <c r="J198" s="503"/>
      <c r="K198" s="503"/>
      <c r="L198" s="503"/>
      <c r="M198" s="503"/>
      <c r="N198" s="320" t="s">
        <v>1524</v>
      </c>
      <c r="O198" s="508" t="s">
        <v>2791</v>
      </c>
      <c r="P198" s="506" t="s">
        <v>2792</v>
      </c>
      <c r="Q198" s="340">
        <v>5.0</v>
      </c>
      <c r="R198" s="508" t="s">
        <v>2536</v>
      </c>
    </row>
    <row r="199">
      <c r="A199" s="502" t="str">
        <f>HYPERLINK("http://en.uesp.net/wiki/Skyrim:Journal_(Meeko%27s_Shack)","Journal")</f>
        <v>Journal</v>
      </c>
      <c r="B199" s="63" t="s">
        <v>132</v>
      </c>
      <c r="C199" s="63" t="s">
        <v>132</v>
      </c>
      <c r="D199" s="63" t="s">
        <v>132</v>
      </c>
      <c r="E199" s="503"/>
      <c r="F199" s="503"/>
      <c r="G199" s="503"/>
      <c r="H199" s="503"/>
      <c r="I199" s="503"/>
      <c r="J199" s="503"/>
      <c r="K199" s="503"/>
      <c r="L199" s="503"/>
      <c r="M199" s="503"/>
      <c r="N199" s="320" t="s">
        <v>1524</v>
      </c>
      <c r="O199" s="508" t="s">
        <v>2793</v>
      </c>
      <c r="P199" s="506" t="s">
        <v>2794</v>
      </c>
      <c r="Q199" s="340">
        <v>5.0</v>
      </c>
      <c r="R199" s="503" t="s">
        <v>2536</v>
      </c>
    </row>
    <row r="200">
      <c r="A200" s="502" t="str">
        <f>HYPERLINK("http://en.uesp.net/wiki/Skyrim:Journal_(pond)","Journal")</f>
        <v>Journal</v>
      </c>
      <c r="B200" s="63" t="s">
        <v>132</v>
      </c>
      <c r="C200" s="63" t="s">
        <v>132</v>
      </c>
      <c r="D200" s="63" t="s">
        <v>132</v>
      </c>
      <c r="E200" s="503"/>
      <c r="F200" s="503"/>
      <c r="G200" s="503"/>
      <c r="H200" s="503"/>
      <c r="I200" s="503"/>
      <c r="J200" s="503"/>
      <c r="K200" s="503"/>
      <c r="L200" s="503"/>
      <c r="M200" s="503"/>
      <c r="N200" s="320" t="s">
        <v>1524</v>
      </c>
      <c r="O200" s="508" t="s">
        <v>2795</v>
      </c>
      <c r="P200" s="506" t="s">
        <v>2796</v>
      </c>
      <c r="Q200" s="340">
        <v>5.0</v>
      </c>
      <c r="R200" s="503" t="s">
        <v>2536</v>
      </c>
    </row>
    <row r="201">
      <c r="A201" s="502" t="str">
        <f>HYPERLINK("http://en.uesp.net/wiki/Skyrim:Journal_of_Drokt","Journal of Drokt")</f>
        <v>Journal of Drokt</v>
      </c>
      <c r="B201" s="63" t="s">
        <v>132</v>
      </c>
      <c r="C201" s="63" t="s">
        <v>132</v>
      </c>
      <c r="D201" s="63" t="s">
        <v>132</v>
      </c>
      <c r="E201" s="503"/>
      <c r="F201" s="503"/>
      <c r="G201" s="503"/>
      <c r="H201" s="503"/>
      <c r="I201" s="503"/>
      <c r="J201" s="503"/>
      <c r="K201" s="503"/>
      <c r="L201" s="503"/>
      <c r="M201" s="503"/>
      <c r="N201" s="320" t="s">
        <v>1524</v>
      </c>
      <c r="O201" s="506" t="s">
        <v>2797</v>
      </c>
      <c r="P201" s="506" t="s">
        <v>2798</v>
      </c>
      <c r="Q201" s="340">
        <v>5.0</v>
      </c>
      <c r="R201" s="345" t="s">
        <v>2536</v>
      </c>
    </row>
    <row r="202">
      <c r="A202" s="502" t="str">
        <f>HYPERLINK("http://en.uesp.net/wiki/Skyrim:Journal_of_Mirtil_Angoth","Journal of Mirtil Angoth (DG)")</f>
        <v>Journal of Mirtil Angoth (DG)</v>
      </c>
      <c r="B202" s="63" t="s">
        <v>132</v>
      </c>
      <c r="C202" s="63" t="s">
        <v>132</v>
      </c>
      <c r="D202" s="63" t="s">
        <v>132</v>
      </c>
      <c r="E202" s="503"/>
      <c r="F202" s="503"/>
      <c r="G202" s="503"/>
      <c r="H202" s="503"/>
      <c r="I202" s="503"/>
      <c r="J202" s="503"/>
      <c r="K202" s="503"/>
      <c r="L202" s="503"/>
      <c r="M202" s="503"/>
      <c r="N202" s="320" t="s">
        <v>1524</v>
      </c>
      <c r="O202" s="506" t="s">
        <v>2799</v>
      </c>
      <c r="P202" s="506" t="s">
        <v>2664</v>
      </c>
      <c r="Q202" s="340">
        <v>20.0</v>
      </c>
      <c r="R202" s="453" t="s">
        <v>2536</v>
      </c>
    </row>
    <row r="203">
      <c r="A203" s="502" t="str">
        <f>HYPERLINK("http://en.uesp.net/wiki/Skyrim:Karan%27s_Journal","Karan's Journal")</f>
        <v>Karan's Journal</v>
      </c>
      <c r="B203" s="63" t="s">
        <v>132</v>
      </c>
      <c r="C203" s="63" t="s">
        <v>132</v>
      </c>
      <c r="D203" s="63" t="s">
        <v>132</v>
      </c>
      <c r="E203" s="503"/>
      <c r="F203" s="503"/>
      <c r="G203" s="503"/>
      <c r="H203" s="503"/>
      <c r="I203" s="503"/>
      <c r="J203" s="503"/>
      <c r="K203" s="503"/>
      <c r="L203" s="503"/>
      <c r="M203" s="503"/>
      <c r="N203" s="320" t="s">
        <v>1524</v>
      </c>
      <c r="O203" s="506" t="s">
        <v>2800</v>
      </c>
      <c r="P203" s="506" t="s">
        <v>2801</v>
      </c>
      <c r="Q203" s="340">
        <v>5.0</v>
      </c>
      <c r="R203" s="503" t="s">
        <v>2536</v>
      </c>
    </row>
    <row r="204">
      <c r="A204" s="502" t="str">
        <f>HYPERLINK("http://en.uesp.net/wiki/Skyrim:Katria%27s_Journal","Katria's Journal (DG)")</f>
        <v>Katria's Journal (DG)</v>
      </c>
      <c r="B204" s="63" t="s">
        <v>132</v>
      </c>
      <c r="C204" s="63" t="s">
        <v>132</v>
      </c>
      <c r="D204" s="63" t="s">
        <v>132</v>
      </c>
      <c r="E204" s="503"/>
      <c r="F204" s="503"/>
      <c r="G204" s="503"/>
      <c r="H204" s="503"/>
      <c r="I204" s="503"/>
      <c r="J204" s="503"/>
      <c r="K204" s="503"/>
      <c r="L204" s="503"/>
      <c r="M204" s="503"/>
      <c r="N204" s="320" t="s">
        <v>1524</v>
      </c>
      <c r="O204" s="506" t="s">
        <v>2802</v>
      </c>
      <c r="P204" s="506" t="s">
        <v>2803</v>
      </c>
      <c r="Q204" s="340">
        <v>15.0</v>
      </c>
      <c r="R204" s="345" t="s">
        <v>2536</v>
      </c>
    </row>
    <row r="205">
      <c r="A205" s="502" t="str">
        <f>HYPERLINK("http://en.uesp.net/wiki/Skyrim:Killing_-_Before_You%27re_Killed","Killing - Before You're Killed")</f>
        <v>Killing - Before You're Killed</v>
      </c>
      <c r="B205" s="63" t="s">
        <v>132</v>
      </c>
      <c r="C205" s="63" t="s">
        <v>132</v>
      </c>
      <c r="D205" s="63" t="s">
        <v>132</v>
      </c>
      <c r="E205" s="503"/>
      <c r="F205" s="503"/>
      <c r="G205" s="503"/>
      <c r="H205" s="503"/>
      <c r="I205" s="503"/>
      <c r="J205" s="503"/>
      <c r="K205" s="503"/>
      <c r="L205" s="503"/>
      <c r="M205" s="503"/>
      <c r="N205" s="320">
        <v>1.0</v>
      </c>
      <c r="O205" s="508" t="s">
        <v>2804</v>
      </c>
      <c r="P205" s="506" t="s">
        <v>2805</v>
      </c>
      <c r="Q205" s="340">
        <v>3.0</v>
      </c>
      <c r="R205" s="503" t="s">
        <v>2440</v>
      </c>
    </row>
    <row r="206">
      <c r="A206" s="502" t="str">
        <f>HYPERLINK("http://en.uesp.net/wiki/Skyrim:King","King")</f>
        <v>King</v>
      </c>
      <c r="B206" s="63" t="s">
        <v>132</v>
      </c>
      <c r="C206" s="63" t="s">
        <v>132</v>
      </c>
      <c r="D206" s="63" t="s">
        <v>132</v>
      </c>
      <c r="E206" s="503"/>
      <c r="F206" s="503"/>
      <c r="G206" s="503"/>
      <c r="H206" s="503"/>
      <c r="I206" s="503"/>
      <c r="J206" s="503"/>
      <c r="K206" s="503"/>
      <c r="L206" s="503"/>
      <c r="M206" s="503"/>
      <c r="N206" s="320" t="s">
        <v>1524</v>
      </c>
      <c r="O206" s="506" t="s">
        <v>2586</v>
      </c>
      <c r="P206" s="506" t="s">
        <v>2806</v>
      </c>
      <c r="Q206" s="340">
        <v>50.0</v>
      </c>
      <c r="R206" s="472" t="s">
        <v>2583</v>
      </c>
    </row>
    <row r="207">
      <c r="A207" s="502" t="str">
        <f>HYPERLINK("http://en.uesp.net/wiki/Skyrim:Kodlak%27s_Journal","Kodlak's Journal")</f>
        <v>Kodlak's Journal</v>
      </c>
      <c r="B207" s="63" t="s">
        <v>132</v>
      </c>
      <c r="C207" s="63" t="s">
        <v>132</v>
      </c>
      <c r="D207" s="63" t="s">
        <v>132</v>
      </c>
      <c r="E207" s="503"/>
      <c r="F207" s="503"/>
      <c r="G207" s="503"/>
      <c r="H207" s="503"/>
      <c r="I207" s="503"/>
      <c r="J207" s="503"/>
      <c r="K207" s="503"/>
      <c r="L207" s="503"/>
      <c r="M207" s="503"/>
      <c r="N207" s="320" t="s">
        <v>1524</v>
      </c>
      <c r="O207" s="506" t="s">
        <v>233</v>
      </c>
      <c r="P207" s="506" t="s">
        <v>2807</v>
      </c>
      <c r="Q207" s="340">
        <v>5.0</v>
      </c>
      <c r="R207" s="453" t="s">
        <v>2536</v>
      </c>
    </row>
    <row r="208">
      <c r="A208" s="502" t="str">
        <f>HYPERLINK("http://en.uesp.net/wiki/Skyrim:Kolb_%26_the_Dragon","Kolb &amp; the Dragon")</f>
        <v>Kolb &amp; the Dragon</v>
      </c>
      <c r="B208" s="63" t="s">
        <v>132</v>
      </c>
      <c r="C208" s="63" t="s">
        <v>132</v>
      </c>
      <c r="D208" s="63" t="s">
        <v>132</v>
      </c>
      <c r="E208" s="503"/>
      <c r="F208" s="503"/>
      <c r="G208" s="503"/>
      <c r="H208" s="503"/>
      <c r="I208" s="503"/>
      <c r="J208" s="503"/>
      <c r="K208" s="503"/>
      <c r="L208" s="503"/>
      <c r="M208" s="503"/>
      <c r="N208" s="320">
        <v>1.0</v>
      </c>
      <c r="O208" s="508" t="s">
        <v>2481</v>
      </c>
      <c r="P208" s="506" t="s">
        <v>2808</v>
      </c>
      <c r="Q208" s="340">
        <v>2.0</v>
      </c>
      <c r="R208" s="345" t="s">
        <v>2440</v>
      </c>
    </row>
    <row r="209">
      <c r="A209" s="502" t="str">
        <f>HYPERLINK("http://en.uesp.net/wiki/Skyrim:Krag%27s_Journal","Krag's Journal")</f>
        <v>Krag's Journal</v>
      </c>
      <c r="B209" s="63" t="s">
        <v>132</v>
      </c>
      <c r="C209" s="63" t="s">
        <v>132</v>
      </c>
      <c r="D209" s="63" t="s">
        <v>132</v>
      </c>
      <c r="E209" s="503"/>
      <c r="F209" s="503"/>
      <c r="G209" s="503"/>
      <c r="H209" s="503"/>
      <c r="I209" s="503"/>
      <c r="J209" s="503"/>
      <c r="K209" s="503"/>
      <c r="L209" s="503"/>
      <c r="M209" s="503"/>
      <c r="N209" s="320" t="s">
        <v>1524</v>
      </c>
      <c r="O209" s="506" t="s">
        <v>2809</v>
      </c>
      <c r="P209" s="506" t="s">
        <v>2810</v>
      </c>
      <c r="Q209" s="340">
        <v>5.0</v>
      </c>
      <c r="R209" s="503" t="s">
        <v>2536</v>
      </c>
    </row>
    <row r="210">
      <c r="A210" s="502" t="str">
        <f>HYPERLINK("http://en.uesp.net/wiki/Skyrim:Kyr%27s_Log","Kyr's Log")</f>
        <v>Kyr's Log</v>
      </c>
      <c r="B210" s="63" t="s">
        <v>132</v>
      </c>
      <c r="C210" s="63" t="s">
        <v>132</v>
      </c>
      <c r="D210" s="63" t="s">
        <v>132</v>
      </c>
      <c r="E210" s="503"/>
      <c r="F210" s="503"/>
      <c r="G210" s="503"/>
      <c r="H210" s="503"/>
      <c r="I210" s="503"/>
      <c r="J210" s="503"/>
      <c r="K210" s="503"/>
      <c r="L210" s="503"/>
      <c r="M210" s="503"/>
      <c r="N210" s="320" t="s">
        <v>1524</v>
      </c>
      <c r="O210" s="506" t="s">
        <v>2811</v>
      </c>
      <c r="P210" s="506" t="s">
        <v>2812</v>
      </c>
      <c r="Q210" s="340">
        <v>5.0</v>
      </c>
      <c r="R210" s="508" t="s">
        <v>2536</v>
      </c>
    </row>
    <row r="211">
      <c r="A211" s="502" t="str">
        <f>HYPERLINK("http://en.uesp.net/wiki/Skyrim:Last_King_of_the_Ayleids","Last King of the Ayleids")</f>
        <v>Last King of the Ayleids</v>
      </c>
      <c r="B211" s="63" t="s">
        <v>132</v>
      </c>
      <c r="C211" s="63" t="s">
        <v>132</v>
      </c>
      <c r="D211" s="63" t="s">
        <v>132</v>
      </c>
      <c r="E211" s="503"/>
      <c r="F211" s="503"/>
      <c r="G211" s="503"/>
      <c r="H211" s="503"/>
      <c r="I211" s="503"/>
      <c r="J211" s="503"/>
      <c r="K211" s="503"/>
      <c r="L211" s="503"/>
      <c r="M211" s="503"/>
      <c r="N211" s="320">
        <v>4.0</v>
      </c>
      <c r="O211" s="508" t="s">
        <v>2813</v>
      </c>
      <c r="P211" s="506" t="s">
        <v>2814</v>
      </c>
      <c r="Q211" s="340">
        <v>25.0</v>
      </c>
      <c r="R211" s="503" t="s">
        <v>2440</v>
      </c>
    </row>
    <row r="212">
      <c r="A212" s="502" t="str">
        <f>HYPERLINK("http://en.uesp.net/wiki/Skyrim:Last_Scabbard_of_Akrash","Last Scabbard of Akrash")</f>
        <v>Last Scabbard of Akrash</v>
      </c>
      <c r="B212" s="63" t="s">
        <v>132</v>
      </c>
      <c r="C212" s="63" t="s">
        <v>132</v>
      </c>
      <c r="D212" s="63" t="s">
        <v>132</v>
      </c>
      <c r="E212" s="503"/>
      <c r="F212" s="503"/>
      <c r="G212" s="503"/>
      <c r="H212" s="503"/>
      <c r="I212" s="503"/>
      <c r="J212" s="503"/>
      <c r="K212" s="503"/>
      <c r="L212" s="503"/>
      <c r="M212" s="503"/>
      <c r="N212" s="320" t="s">
        <v>1524</v>
      </c>
      <c r="O212" s="508" t="s">
        <v>2815</v>
      </c>
      <c r="P212" s="506" t="s">
        <v>2814</v>
      </c>
      <c r="Q212" s="340">
        <v>70.0</v>
      </c>
      <c r="R212" s="472" t="s">
        <v>2631</v>
      </c>
    </row>
    <row r="213">
      <c r="A213" s="502" t="str">
        <f>HYPERLINK("http://en.uesp.net/wiki/Skyrim:Legend_of_Krately_House","Legend of Krately House")</f>
        <v>Legend of Krately House</v>
      </c>
      <c r="B213" s="63" t="s">
        <v>132</v>
      </c>
      <c r="C213" s="63" t="s">
        <v>132</v>
      </c>
      <c r="D213" s="63" t="s">
        <v>132</v>
      </c>
      <c r="E213" s="503"/>
      <c r="F213" s="503"/>
      <c r="G213" s="503"/>
      <c r="H213" s="503"/>
      <c r="I213" s="503"/>
      <c r="J213" s="503"/>
      <c r="K213" s="503"/>
      <c r="L213" s="503"/>
      <c r="M213" s="503"/>
      <c r="N213" s="320" t="s">
        <v>1524</v>
      </c>
      <c r="O213" s="506" t="s">
        <v>2767</v>
      </c>
      <c r="P213" s="506" t="s">
        <v>2816</v>
      </c>
      <c r="Q213" s="340">
        <v>75.0</v>
      </c>
      <c r="R213" s="509" t="s">
        <v>2492</v>
      </c>
    </row>
    <row r="214">
      <c r="A214" s="502" t="str">
        <f>HYPERLINK("http://en.uesp.net/wiki/Skyrim:Life_of_Uriel_Septim_VII","Life of Uriel Septim VII")</f>
        <v>Life of Uriel Septim VII</v>
      </c>
      <c r="B214" s="63" t="s">
        <v>132</v>
      </c>
      <c r="C214" s="63" t="s">
        <v>132</v>
      </c>
      <c r="D214" s="63" t="s">
        <v>132</v>
      </c>
      <c r="E214" s="503"/>
      <c r="F214" s="503"/>
      <c r="G214" s="503"/>
      <c r="H214" s="503"/>
      <c r="I214" s="503"/>
      <c r="J214" s="503"/>
      <c r="K214" s="503"/>
      <c r="L214" s="503"/>
      <c r="M214" s="503"/>
      <c r="N214" s="320">
        <v>2.0</v>
      </c>
      <c r="O214" s="508" t="s">
        <v>2817</v>
      </c>
      <c r="P214" s="505" t="s">
        <v>2818</v>
      </c>
      <c r="Q214" s="340">
        <v>5.0</v>
      </c>
      <c r="R214" s="503" t="s">
        <v>2440</v>
      </c>
    </row>
    <row r="215">
      <c r="A215" s="502" t="str">
        <f>HYPERLINK("http://en.uesp.net/wiki/Skyrim:Light_Armor_Forging","Light Armor Forging")</f>
        <v>Light Armor Forging</v>
      </c>
      <c r="B215" s="63" t="s">
        <v>132</v>
      </c>
      <c r="C215" s="63" t="s">
        <v>132</v>
      </c>
      <c r="D215" s="63" t="s">
        <v>132</v>
      </c>
      <c r="E215" s="503"/>
      <c r="F215" s="503"/>
      <c r="G215" s="503"/>
      <c r="H215" s="503"/>
      <c r="I215" s="503"/>
      <c r="J215" s="503"/>
      <c r="K215" s="503"/>
      <c r="L215" s="503"/>
      <c r="M215" s="503"/>
      <c r="N215" s="504" t="s">
        <v>1524</v>
      </c>
      <c r="O215" s="505" t="s">
        <v>2819</v>
      </c>
      <c r="P215" s="506" t="s">
        <v>2820</v>
      </c>
      <c r="Q215" s="340">
        <v>70.0</v>
      </c>
      <c r="R215" s="472" t="s">
        <v>2631</v>
      </c>
    </row>
    <row r="216">
      <c r="A216" s="502" t="str">
        <f>HYPERLINK("http://en.uesp.net/wiki/Skyrim:Liminal_Bridges","Liminal Bridges")</f>
        <v>Liminal Bridges</v>
      </c>
      <c r="B216" s="63" t="s">
        <v>132</v>
      </c>
      <c r="C216" s="63" t="s">
        <v>132</v>
      </c>
      <c r="D216" s="63" t="s">
        <v>132</v>
      </c>
      <c r="E216" s="503"/>
      <c r="F216" s="503"/>
      <c r="G216" s="503"/>
      <c r="H216" s="503"/>
      <c r="I216" s="503"/>
      <c r="J216" s="503"/>
      <c r="K216" s="503"/>
      <c r="L216" s="503"/>
      <c r="M216" s="503"/>
      <c r="N216" s="320" t="s">
        <v>1524</v>
      </c>
      <c r="O216" s="508" t="s">
        <v>2821</v>
      </c>
      <c r="P216" s="506" t="s">
        <v>2822</v>
      </c>
      <c r="Q216" s="340">
        <v>50.0</v>
      </c>
      <c r="R216" s="472" t="s">
        <v>2489</v>
      </c>
    </row>
    <row r="217">
      <c r="A217" s="502" t="str">
        <f>HYPERLINK("https://en.uesp.net/wiki/Skyrim:Lives_of_the_Saints", "Lives of the Saints (DB)")</f>
        <v>Lives of the Saints (DB)</v>
      </c>
      <c r="B217" s="63" t="s">
        <v>132</v>
      </c>
      <c r="C217" s="63" t="s">
        <v>132</v>
      </c>
      <c r="D217" s="63" t="s">
        <v>132</v>
      </c>
      <c r="E217" s="503"/>
      <c r="F217" s="503"/>
      <c r="G217" s="503"/>
      <c r="H217" s="503"/>
      <c r="I217" s="503"/>
      <c r="J217" s="503"/>
      <c r="K217" s="503"/>
      <c r="L217" s="503"/>
      <c r="M217" s="503"/>
      <c r="N217" s="42">
        <v>2.0</v>
      </c>
      <c r="O217" s="505" t="s">
        <v>2823</v>
      </c>
      <c r="P217" s="506" t="s">
        <v>2824</v>
      </c>
      <c r="Q217" s="340">
        <v>5.0</v>
      </c>
      <c r="R217" s="345" t="s">
        <v>2440</v>
      </c>
    </row>
    <row r="218">
      <c r="A218" s="502" t="str">
        <f>HYPERLINK("http://en.uesp.net/wiki/Skyrim:Lost_Legends","Lost Legends")</f>
        <v>Lost Legends</v>
      </c>
      <c r="B218" s="63" t="s">
        <v>132</v>
      </c>
      <c r="C218" s="63" t="s">
        <v>132</v>
      </c>
      <c r="D218" s="63" t="s">
        <v>132</v>
      </c>
      <c r="E218" s="503"/>
      <c r="F218" s="503"/>
      <c r="G218" s="503"/>
      <c r="H218" s="503"/>
      <c r="I218" s="503"/>
      <c r="J218" s="503"/>
      <c r="K218" s="503"/>
      <c r="L218" s="503"/>
      <c r="M218" s="503"/>
      <c r="N218" s="320">
        <v>3.0</v>
      </c>
      <c r="O218" s="508" t="s">
        <v>2825</v>
      </c>
      <c r="P218" s="506" t="s">
        <v>2826</v>
      </c>
      <c r="Q218" s="340">
        <v>11.0</v>
      </c>
      <c r="R218" s="453" t="s">
        <v>2440</v>
      </c>
    </row>
    <row r="219">
      <c r="A219" s="502" t="str">
        <f>HYPERLINK("http://en.uesp.net/wiki/Skyrim:Lu-ah%27s_Journal","Lu-ah's Journal")</f>
        <v>Lu-ah's Journal</v>
      </c>
      <c r="B219" s="63" t="s">
        <v>132</v>
      </c>
      <c r="C219" s="63" t="s">
        <v>132</v>
      </c>
      <c r="D219" s="63" t="s">
        <v>132</v>
      </c>
      <c r="E219" s="503"/>
      <c r="F219" s="503"/>
      <c r="G219" s="503"/>
      <c r="H219" s="503"/>
      <c r="I219" s="503"/>
      <c r="J219" s="503"/>
      <c r="K219" s="503"/>
      <c r="L219" s="503"/>
      <c r="M219" s="503"/>
      <c r="N219" s="320" t="s">
        <v>1524</v>
      </c>
      <c r="O219" s="506" t="s">
        <v>2827</v>
      </c>
      <c r="P219" s="506" t="s">
        <v>2828</v>
      </c>
      <c r="Q219" s="340">
        <v>5.0</v>
      </c>
      <c r="R219" s="503" t="s">
        <v>2536</v>
      </c>
    </row>
    <row r="220">
      <c r="A220" s="502" t="str">
        <f>HYPERLINK("http://en.uesp.net/wiki/Skyrim:Lycanthropic_Legends_of_Skyrim","Lycanthropic Legends of Skyrim")</f>
        <v>Lycanthropic Legends of Skyrim</v>
      </c>
      <c r="B220" s="63" t="s">
        <v>132</v>
      </c>
      <c r="C220" s="63" t="s">
        <v>132</v>
      </c>
      <c r="D220" s="63" t="s">
        <v>132</v>
      </c>
      <c r="E220" s="503"/>
      <c r="F220" s="503"/>
      <c r="G220" s="503"/>
      <c r="H220" s="503"/>
      <c r="I220" s="503"/>
      <c r="J220" s="503"/>
      <c r="K220" s="503"/>
      <c r="L220" s="503"/>
      <c r="M220" s="503"/>
      <c r="N220" s="320">
        <v>4.0</v>
      </c>
      <c r="O220" s="508" t="s">
        <v>2829</v>
      </c>
      <c r="P220" s="506" t="s">
        <v>2830</v>
      </c>
      <c r="Q220" s="340">
        <v>20.0</v>
      </c>
      <c r="R220" s="453" t="s">
        <v>2440</v>
      </c>
    </row>
    <row r="221">
      <c r="A221" s="502" t="str">
        <f>HYPERLINK("http://en.uesp.net/wiki/Skyrim:Mace_Etiquette","Mace Etiquette")</f>
        <v>Mace Etiquette</v>
      </c>
      <c r="B221" s="63" t="s">
        <v>132</v>
      </c>
      <c r="C221" s="63" t="s">
        <v>132</v>
      </c>
      <c r="D221" s="63" t="s">
        <v>132</v>
      </c>
      <c r="E221" s="503"/>
      <c r="F221" s="503"/>
      <c r="G221" s="503"/>
      <c r="H221" s="503"/>
      <c r="I221" s="503"/>
      <c r="J221" s="503"/>
      <c r="K221" s="503"/>
      <c r="L221" s="503"/>
      <c r="M221" s="503"/>
      <c r="N221" s="320" t="s">
        <v>1524</v>
      </c>
      <c r="O221" s="508" t="s">
        <v>2481</v>
      </c>
      <c r="P221" s="506" t="s">
        <v>2831</v>
      </c>
      <c r="Q221" s="340">
        <v>50.0</v>
      </c>
      <c r="R221" s="472" t="s">
        <v>2496</v>
      </c>
    </row>
    <row r="222">
      <c r="A222" s="502" t="str">
        <f>HYPERLINK("http://en.uesp.net/wiki/Skyrim:Magic_from_the_Sky","Magic from the Sky")</f>
        <v>Magic from the Sky</v>
      </c>
      <c r="B222" s="63" t="s">
        <v>132</v>
      </c>
      <c r="C222" s="63" t="s">
        <v>132</v>
      </c>
      <c r="D222" s="63" t="s">
        <v>132</v>
      </c>
      <c r="E222" s="503"/>
      <c r="F222" s="503"/>
      <c r="G222" s="503"/>
      <c r="H222" s="503"/>
      <c r="I222" s="503"/>
      <c r="J222" s="503"/>
      <c r="K222" s="503"/>
      <c r="L222" s="503"/>
      <c r="M222" s="503"/>
      <c r="N222" s="320">
        <v>3.0</v>
      </c>
      <c r="O222" s="508" t="s">
        <v>2832</v>
      </c>
      <c r="P222" s="506" t="s">
        <v>2833</v>
      </c>
      <c r="Q222" s="340">
        <v>12.0</v>
      </c>
      <c r="R222" s="503" t="s">
        <v>2440</v>
      </c>
    </row>
    <row r="223">
      <c r="A223" s="502" t="str">
        <f>HYPERLINK("http://en.uesp.net/wiki/Skyrim:Maluril%27s_Journal","Maluril's Journal")</f>
        <v>Maluril's Journal</v>
      </c>
      <c r="B223" s="63" t="s">
        <v>132</v>
      </c>
      <c r="C223" s="63" t="s">
        <v>132</v>
      </c>
      <c r="D223" s="63" t="s">
        <v>132</v>
      </c>
      <c r="E223" s="503"/>
      <c r="F223" s="503"/>
      <c r="G223" s="503"/>
      <c r="H223" s="503"/>
      <c r="I223" s="503"/>
      <c r="J223" s="503"/>
      <c r="K223" s="503"/>
      <c r="L223" s="503"/>
      <c r="M223" s="503"/>
      <c r="N223" s="320" t="s">
        <v>1524</v>
      </c>
      <c r="O223" s="506" t="s">
        <v>2834</v>
      </c>
      <c r="P223" s="506" t="s">
        <v>2835</v>
      </c>
      <c r="Q223" s="340">
        <v>5.0</v>
      </c>
      <c r="R223" s="503" t="s">
        <v>2536</v>
      </c>
    </row>
    <row r="224">
      <c r="A224" s="502" t="str">
        <f>HYPERLINK("http://en.uesp.net/wiki/Skyrim:Malyn_Varen%27s_Grimoire","Malyn Varen's Grimoire")</f>
        <v>Malyn Varen's Grimoire</v>
      </c>
      <c r="B224" s="63" t="s">
        <v>132</v>
      </c>
      <c r="C224" s="63" t="s">
        <v>132</v>
      </c>
      <c r="D224" s="63" t="s">
        <v>132</v>
      </c>
      <c r="E224" s="503"/>
      <c r="F224" s="503"/>
      <c r="G224" s="503"/>
      <c r="H224" s="503"/>
      <c r="I224" s="503"/>
      <c r="J224" s="503"/>
      <c r="K224" s="503"/>
      <c r="L224" s="503"/>
      <c r="M224" s="503"/>
      <c r="N224" s="320" t="s">
        <v>1524</v>
      </c>
      <c r="O224" s="508" t="s">
        <v>2836</v>
      </c>
      <c r="P224" s="506" t="s">
        <v>2837</v>
      </c>
      <c r="Q224" s="340">
        <v>30.0</v>
      </c>
      <c r="R224" s="503" t="s">
        <v>2440</v>
      </c>
    </row>
    <row r="225">
      <c r="A225" s="502" t="str">
        <f>HYPERLINK("http://en.uesp.net/wiki/Skyrim:Mannimarco,_King_of_Worms","Mannimarco, King of Worms")</f>
        <v>Mannimarco, King of Worms</v>
      </c>
      <c r="B225" s="63" t="s">
        <v>132</v>
      </c>
      <c r="C225" s="63" t="s">
        <v>132</v>
      </c>
      <c r="D225" s="63" t="s">
        <v>132</v>
      </c>
      <c r="E225" s="503"/>
      <c r="F225" s="503"/>
      <c r="G225" s="503"/>
      <c r="H225" s="503"/>
      <c r="I225" s="503"/>
      <c r="J225" s="503"/>
      <c r="K225" s="503"/>
      <c r="L225" s="503"/>
      <c r="M225" s="503"/>
      <c r="N225" s="504" t="s">
        <v>1524</v>
      </c>
      <c r="O225" s="345" t="s">
        <v>2838</v>
      </c>
      <c r="P225" s="506" t="s">
        <v>2839</v>
      </c>
      <c r="Q225" s="340">
        <v>55.0</v>
      </c>
      <c r="R225" s="472" t="s">
        <v>2519</v>
      </c>
    </row>
    <row r="226">
      <c r="A226" s="502" t="str">
        <f>HYPERLINK("http://en.uesp.net/wiki/Skyrim:Margret%27s_Journal","Margret's Journal")</f>
        <v>Margret's Journal</v>
      </c>
      <c r="B226" s="63" t="s">
        <v>132</v>
      </c>
      <c r="C226" s="63" t="s">
        <v>132</v>
      </c>
      <c r="D226" s="63" t="s">
        <v>132</v>
      </c>
      <c r="E226" s="503"/>
      <c r="F226" s="503"/>
      <c r="G226" s="503"/>
      <c r="H226" s="503"/>
      <c r="I226" s="503"/>
      <c r="J226" s="503"/>
      <c r="K226" s="503"/>
      <c r="L226" s="503"/>
      <c r="M226" s="503"/>
      <c r="N226" s="320" t="s">
        <v>1524</v>
      </c>
      <c r="O226" s="506" t="s">
        <v>2840</v>
      </c>
      <c r="P226" s="506" t="s">
        <v>2841</v>
      </c>
      <c r="Q226" s="340">
        <v>5.0</v>
      </c>
      <c r="R226" s="345" t="s">
        <v>2536</v>
      </c>
    </row>
    <row r="227">
      <c r="A227" s="502" t="str">
        <f>HYPERLINK("http://en.uesp.net/wiki/Skyrim:Markarth_Home_Decorating_Guide","Markarth Home Decorating Guide")</f>
        <v>Markarth Home Decorating Guide</v>
      </c>
      <c r="B227" s="63" t="s">
        <v>132</v>
      </c>
      <c r="C227" s="63" t="s">
        <v>132</v>
      </c>
      <c r="D227" s="63" t="s">
        <v>132</v>
      </c>
      <c r="E227" s="503"/>
      <c r="F227" s="503"/>
      <c r="G227" s="503"/>
      <c r="H227" s="503"/>
      <c r="I227" s="503"/>
      <c r="J227" s="503"/>
      <c r="K227" s="503"/>
      <c r="L227" s="503"/>
      <c r="M227" s="503"/>
      <c r="N227" s="320" t="s">
        <v>1524</v>
      </c>
      <c r="O227" s="508" t="s">
        <v>2481</v>
      </c>
      <c r="P227" s="506" t="s">
        <v>2842</v>
      </c>
      <c r="Q227" s="340">
        <v>5.0</v>
      </c>
      <c r="R227" s="453" t="s">
        <v>2440</v>
      </c>
    </row>
    <row r="228">
      <c r="A228" s="502" t="str">
        <f>HYPERLINK("http://en.uesp.net/wiki/Skyrim:Medresi%27s_Notes","Medresi's Notes")</f>
        <v>Medresi's Notes</v>
      </c>
      <c r="B228" s="63" t="s">
        <v>132</v>
      </c>
      <c r="C228" s="63" t="s">
        <v>132</v>
      </c>
      <c r="D228" s="63" t="s">
        <v>132</v>
      </c>
      <c r="E228" s="503"/>
      <c r="F228" s="503"/>
      <c r="G228" s="503"/>
      <c r="H228" s="503"/>
      <c r="I228" s="503"/>
      <c r="J228" s="503"/>
      <c r="K228" s="503"/>
      <c r="L228" s="503"/>
      <c r="M228" s="503"/>
      <c r="N228" s="320" t="s">
        <v>1524</v>
      </c>
      <c r="O228" s="508" t="s">
        <v>2843</v>
      </c>
      <c r="P228" s="506" t="s">
        <v>2844</v>
      </c>
      <c r="Q228" s="340">
        <v>5.0</v>
      </c>
      <c r="R228" s="503" t="s">
        <v>2536</v>
      </c>
    </row>
    <row r="229">
      <c r="A229" s="502" t="str">
        <f>HYPERLINK("http://en.uesp.net/wiki/Skyrim:Merchant%27s_Journal","Merchant's Journal")</f>
        <v>Merchant's Journal</v>
      </c>
      <c r="B229" s="63" t="s">
        <v>132</v>
      </c>
      <c r="C229" s="63" t="s">
        <v>132</v>
      </c>
      <c r="D229" s="63" t="s">
        <v>132</v>
      </c>
      <c r="E229" s="503"/>
      <c r="F229" s="503"/>
      <c r="G229" s="503"/>
      <c r="H229" s="503"/>
      <c r="I229" s="503"/>
      <c r="J229" s="503"/>
      <c r="K229" s="503"/>
      <c r="L229" s="503"/>
      <c r="M229" s="503"/>
      <c r="N229" s="320" t="s">
        <v>1524</v>
      </c>
      <c r="O229" s="508" t="s">
        <v>2845</v>
      </c>
      <c r="P229" s="506" t="s">
        <v>2846</v>
      </c>
      <c r="Q229" s="340">
        <v>5.0</v>
      </c>
      <c r="R229" s="453" t="s">
        <v>2536</v>
      </c>
    </row>
    <row r="230">
      <c r="A230" s="502" t="str">
        <f>HYPERLINK("https://en.uesp.net/wiki/Skyrim:Merilar's_Journal", "Merilar's Journal (DB)")</f>
        <v>Merilar's Journal (DB)</v>
      </c>
      <c r="B230" s="63" t="s">
        <v>132</v>
      </c>
      <c r="C230" s="63" t="s">
        <v>132</v>
      </c>
      <c r="D230" s="63" t="s">
        <v>132</v>
      </c>
      <c r="E230" s="503"/>
      <c r="F230" s="503"/>
      <c r="G230" s="503"/>
      <c r="H230" s="503"/>
      <c r="I230" s="503"/>
      <c r="J230" s="503"/>
      <c r="K230" s="503"/>
      <c r="L230" s="503"/>
      <c r="M230" s="503"/>
      <c r="N230" s="504" t="s">
        <v>1524</v>
      </c>
      <c r="O230" s="505" t="s">
        <v>2847</v>
      </c>
      <c r="P230" s="514" t="s">
        <v>2848</v>
      </c>
      <c r="Q230" s="340">
        <v>5.0</v>
      </c>
      <c r="R230" s="503" t="s">
        <v>2536</v>
      </c>
    </row>
    <row r="231">
      <c r="A231" s="502" t="str">
        <f>HYPERLINK("http://en.uesp.net/wiki/Skyrim:Midden_Incident_Report","Midden Incident Report")</f>
        <v>Midden Incident Report</v>
      </c>
      <c r="B231" s="63" t="s">
        <v>132</v>
      </c>
      <c r="C231" s="63" t="s">
        <v>132</v>
      </c>
      <c r="D231" s="63" t="s">
        <v>132</v>
      </c>
      <c r="E231" s="503"/>
      <c r="F231" s="503"/>
      <c r="G231" s="503"/>
      <c r="H231" s="503"/>
      <c r="I231" s="503"/>
      <c r="J231" s="503"/>
      <c r="K231" s="503"/>
      <c r="L231" s="503"/>
      <c r="M231" s="503"/>
      <c r="N231" s="320" t="s">
        <v>1524</v>
      </c>
      <c r="O231" s="508" t="s">
        <v>2849</v>
      </c>
      <c r="P231" s="506" t="s">
        <v>2850</v>
      </c>
      <c r="Q231" s="340">
        <v>5.0</v>
      </c>
      <c r="R231" s="453" t="s">
        <v>2440</v>
      </c>
    </row>
    <row r="232">
      <c r="A232" s="502" t="str">
        <f>HYPERLINK("http://en.uesp.net/wiki/Skyrim:Miner%27s_Journal","Miner's Journal")</f>
        <v>Miner's Journal</v>
      </c>
      <c r="B232" s="63" t="s">
        <v>132</v>
      </c>
      <c r="C232" s="63" t="s">
        <v>132</v>
      </c>
      <c r="D232" s="63" t="s">
        <v>132</v>
      </c>
      <c r="E232" s="503"/>
      <c r="F232" s="503"/>
      <c r="G232" s="503"/>
      <c r="H232" s="503"/>
      <c r="I232" s="503"/>
      <c r="J232" s="503"/>
      <c r="K232" s="503"/>
      <c r="L232" s="503"/>
      <c r="M232" s="503"/>
      <c r="N232" s="504" t="s">
        <v>1524</v>
      </c>
      <c r="O232" s="345" t="s">
        <v>2851</v>
      </c>
      <c r="P232" s="505" t="s">
        <v>2852</v>
      </c>
      <c r="Q232" s="340">
        <v>5.0</v>
      </c>
      <c r="R232" s="503" t="s">
        <v>2536</v>
      </c>
    </row>
    <row r="233">
      <c r="A233" s="502" t="str">
        <f>HYPERLINK("http://en.uesp.net/wiki/Skyrim:Minorne_(book)","Minorne (DG)")</f>
        <v>Minorne (DG)</v>
      </c>
      <c r="B233" s="63" t="s">
        <v>132</v>
      </c>
      <c r="C233" s="63" t="s">
        <v>132</v>
      </c>
      <c r="D233" s="63" t="s">
        <v>132</v>
      </c>
      <c r="E233" s="503"/>
      <c r="F233" s="503"/>
      <c r="G233" s="503"/>
      <c r="H233" s="503"/>
      <c r="I233" s="503"/>
      <c r="J233" s="503"/>
      <c r="K233" s="503"/>
      <c r="L233" s="503"/>
      <c r="M233" s="503"/>
      <c r="N233" s="320" t="s">
        <v>1524</v>
      </c>
      <c r="O233" s="508" t="s">
        <v>2665</v>
      </c>
      <c r="P233" s="506" t="s">
        <v>2853</v>
      </c>
      <c r="Q233" s="340">
        <v>5.0</v>
      </c>
      <c r="R233" s="472" t="s">
        <v>2654</v>
      </c>
    </row>
    <row r="234">
      <c r="A234" s="502" t="str">
        <f>HYPERLINK("http://en.uesp.net/wiki/Skyrim:Mixed_Unit_Tactics","Mixed Unit Tactics")</f>
        <v>Mixed Unit Tactics</v>
      </c>
      <c r="B234" s="63" t="s">
        <v>132</v>
      </c>
      <c r="C234" s="63" t="s">
        <v>132</v>
      </c>
      <c r="D234" s="63" t="s">
        <v>132</v>
      </c>
      <c r="E234" s="503"/>
      <c r="F234" s="503"/>
      <c r="G234" s="503"/>
      <c r="H234" s="503"/>
      <c r="I234" s="503"/>
      <c r="J234" s="503"/>
      <c r="K234" s="503"/>
      <c r="L234" s="503"/>
      <c r="M234" s="503"/>
      <c r="N234" s="320">
        <v>2.0</v>
      </c>
      <c r="O234" s="508" t="s">
        <v>2854</v>
      </c>
      <c r="P234" s="506" t="s">
        <v>2855</v>
      </c>
      <c r="Q234" s="340">
        <v>5.0</v>
      </c>
      <c r="R234" s="453" t="s">
        <v>2440</v>
      </c>
    </row>
    <row r="235">
      <c r="A235" s="502" t="str">
        <f>HYPERLINK("http://en.uesp.net/wiki/Skyrim:Mysterious_Akavir","Mysterious Akavir")</f>
        <v>Mysterious Akavir</v>
      </c>
      <c r="B235" s="63" t="s">
        <v>132</v>
      </c>
      <c r="C235" s="63" t="s">
        <v>132</v>
      </c>
      <c r="D235" s="63" t="s">
        <v>132</v>
      </c>
      <c r="E235" s="503"/>
      <c r="F235" s="503"/>
      <c r="G235" s="503"/>
      <c r="H235" s="503"/>
      <c r="I235" s="503"/>
      <c r="J235" s="503"/>
      <c r="K235" s="503"/>
      <c r="L235" s="503"/>
      <c r="M235" s="503"/>
      <c r="N235" s="320">
        <v>2.0</v>
      </c>
      <c r="O235" s="508" t="s">
        <v>2481</v>
      </c>
      <c r="P235" s="506" t="s">
        <v>2856</v>
      </c>
      <c r="Q235" s="340">
        <v>5.0</v>
      </c>
      <c r="R235" s="503" t="s">
        <v>2440</v>
      </c>
    </row>
    <row r="236">
      <c r="A236" s="502" t="str">
        <f>HYPERLINK("http://en.uesp.net/wiki/Skyrim:Mystery_of_Talara,_Part_4","Mystery of Talara, Part 4")</f>
        <v>Mystery of Talara, Part 4</v>
      </c>
      <c r="B236" s="63" t="s">
        <v>132</v>
      </c>
      <c r="C236" s="63" t="s">
        <v>132</v>
      </c>
      <c r="D236" s="63" t="s">
        <v>132</v>
      </c>
      <c r="E236" s="503"/>
      <c r="F236" s="503"/>
      <c r="G236" s="503"/>
      <c r="H236" s="503"/>
      <c r="I236" s="503"/>
      <c r="J236" s="503"/>
      <c r="K236" s="503"/>
      <c r="L236" s="503"/>
      <c r="M236" s="503"/>
      <c r="N236" s="320" t="s">
        <v>1524</v>
      </c>
      <c r="O236" s="506" t="s">
        <v>2857</v>
      </c>
      <c r="P236" s="506" t="s">
        <v>2858</v>
      </c>
      <c r="Q236" s="340">
        <v>60.0</v>
      </c>
      <c r="R236" s="509" t="s">
        <v>2502</v>
      </c>
    </row>
    <row r="237">
      <c r="A237" s="502" t="str">
        <f>HYPERLINK("http://en.uesp.net/wiki/Skyrim:Mystery_of_Talara,_v_1","Mystery of Talara, v 1")</f>
        <v>Mystery of Talara, v 1</v>
      </c>
      <c r="B237" s="63" t="s">
        <v>132</v>
      </c>
      <c r="C237" s="63" t="s">
        <v>132</v>
      </c>
      <c r="D237" s="63" t="s">
        <v>132</v>
      </c>
      <c r="E237" s="503"/>
      <c r="F237" s="503"/>
      <c r="G237" s="503"/>
      <c r="H237" s="503"/>
      <c r="I237" s="503"/>
      <c r="J237" s="503"/>
      <c r="K237" s="503"/>
      <c r="L237" s="503"/>
      <c r="M237" s="503"/>
      <c r="N237" s="320">
        <v>0.0</v>
      </c>
      <c r="O237" s="506" t="s">
        <v>2857</v>
      </c>
      <c r="P237" s="506" t="s">
        <v>2859</v>
      </c>
      <c r="Q237" s="340">
        <v>3.0</v>
      </c>
      <c r="R237" s="345" t="s">
        <v>2440</v>
      </c>
    </row>
    <row r="238">
      <c r="A238" s="502" t="str">
        <f>HYPERLINK("http://en.uesp.net/wiki/Skyrim:Mystery_of_Talara,_v_2","Mystery of Talara, v 2")</f>
        <v>Mystery of Talara, v 2</v>
      </c>
      <c r="B238" s="63" t="s">
        <v>132</v>
      </c>
      <c r="C238" s="63" t="s">
        <v>132</v>
      </c>
      <c r="D238" s="63" t="s">
        <v>132</v>
      </c>
      <c r="E238" s="503"/>
      <c r="F238" s="503"/>
      <c r="G238" s="503"/>
      <c r="H238" s="503"/>
      <c r="I238" s="503"/>
      <c r="J238" s="503"/>
      <c r="K238" s="503"/>
      <c r="L238" s="503"/>
      <c r="M238" s="503"/>
      <c r="N238" s="320" t="s">
        <v>1524</v>
      </c>
      <c r="O238" s="506" t="s">
        <v>2857</v>
      </c>
      <c r="P238" s="506" t="s">
        <v>2860</v>
      </c>
      <c r="Q238" s="340">
        <v>55.0</v>
      </c>
      <c r="R238" s="509" t="s">
        <v>2498</v>
      </c>
    </row>
    <row r="239">
      <c r="A239" s="502" t="str">
        <f>HYPERLINK("http://en.uesp.net/wiki/Skyrim:Mystery_of_Talara,_v3","Mystery of Talara, v3")</f>
        <v>Mystery of Talara, v3</v>
      </c>
      <c r="B239" s="63" t="s">
        <v>132</v>
      </c>
      <c r="C239" s="63" t="s">
        <v>132</v>
      </c>
      <c r="D239" s="63" t="s">
        <v>132</v>
      </c>
      <c r="E239" s="503"/>
      <c r="F239" s="503"/>
      <c r="G239" s="503"/>
      <c r="H239" s="503"/>
      <c r="I239" s="503"/>
      <c r="J239" s="503"/>
      <c r="K239" s="503"/>
      <c r="L239" s="503"/>
      <c r="M239" s="503"/>
      <c r="N239" s="320" t="s">
        <v>1524</v>
      </c>
      <c r="O239" s="506" t="s">
        <v>2857</v>
      </c>
      <c r="P239" s="506" t="s">
        <v>2861</v>
      </c>
      <c r="Q239" s="340">
        <v>55.0</v>
      </c>
      <c r="R239" s="472" t="s">
        <v>2524</v>
      </c>
    </row>
    <row r="240">
      <c r="A240" s="502" t="str">
        <f>HYPERLINK("http://en.uesp.net/wiki/Skyrim:Mystery_of_Talara,_v5","Mystery of Talara, v5")</f>
        <v>Mystery of Talara, v5</v>
      </c>
      <c r="B240" s="63" t="s">
        <v>132</v>
      </c>
      <c r="C240" s="63" t="s">
        <v>132</v>
      </c>
      <c r="D240" s="63" t="s">
        <v>132</v>
      </c>
      <c r="E240" s="503"/>
      <c r="F240" s="503"/>
      <c r="G240" s="503"/>
      <c r="H240" s="503"/>
      <c r="I240" s="503"/>
      <c r="J240" s="503"/>
      <c r="K240" s="503"/>
      <c r="L240" s="503"/>
      <c r="M240" s="503"/>
      <c r="N240" s="320">
        <v>3.0</v>
      </c>
      <c r="O240" s="506" t="s">
        <v>2857</v>
      </c>
      <c r="P240" s="506" t="s">
        <v>2862</v>
      </c>
      <c r="Q240" s="340">
        <v>11.0</v>
      </c>
      <c r="R240" s="345" t="s">
        <v>2440</v>
      </c>
    </row>
    <row r="241">
      <c r="A241" s="502" t="str">
        <f>HYPERLINK("http://en.uesp.net/wiki/Skyrim:Mythic_Dawn_Commentaries_1","Mythic Dawn Commentaries 1")</f>
        <v>Mythic Dawn Commentaries 1</v>
      </c>
      <c r="B241" s="63" t="s">
        <v>132</v>
      </c>
      <c r="C241" s="63" t="s">
        <v>132</v>
      </c>
      <c r="D241" s="63" t="s">
        <v>132</v>
      </c>
      <c r="E241" s="503"/>
      <c r="F241" s="503"/>
      <c r="G241" s="503"/>
      <c r="H241" s="503"/>
      <c r="I241" s="503"/>
      <c r="J241" s="503"/>
      <c r="K241" s="503"/>
      <c r="L241" s="503"/>
      <c r="M241" s="503"/>
      <c r="N241" s="320" t="s">
        <v>1524</v>
      </c>
      <c r="O241" s="506" t="s">
        <v>2863</v>
      </c>
      <c r="P241" s="508" t="s">
        <v>2864</v>
      </c>
      <c r="Q241" s="340">
        <v>25.0</v>
      </c>
      <c r="R241" s="503" t="s">
        <v>2440</v>
      </c>
    </row>
    <row r="242">
      <c r="A242" s="502" t="str">
        <f>HYPERLINK("http://en.uesp.net/wiki/Skyrim:Mythic_Dawn_Commentaries_2","Mythic Dawn Commentaries 2")</f>
        <v>Mythic Dawn Commentaries 2</v>
      </c>
      <c r="B242" s="63" t="s">
        <v>132</v>
      </c>
      <c r="C242" s="63" t="s">
        <v>132</v>
      </c>
      <c r="D242" s="63" t="s">
        <v>132</v>
      </c>
      <c r="E242" s="503"/>
      <c r="F242" s="503"/>
      <c r="G242" s="503"/>
      <c r="H242" s="503"/>
      <c r="I242" s="503"/>
      <c r="J242" s="503"/>
      <c r="K242" s="503"/>
      <c r="L242" s="503"/>
      <c r="M242" s="503"/>
      <c r="N242" s="320" t="s">
        <v>1524</v>
      </c>
      <c r="O242" s="506" t="s">
        <v>2863</v>
      </c>
      <c r="P242" s="506" t="s">
        <v>2865</v>
      </c>
      <c r="Q242" s="340">
        <v>25.0</v>
      </c>
      <c r="R242" s="503" t="s">
        <v>2440</v>
      </c>
    </row>
    <row r="243">
      <c r="A243" s="502" t="str">
        <f>HYPERLINK("http://en.uesp.net/wiki/Skyrim:Mythic_Dawn_Commentaries_3","Mythic Dawn Commentaries 3")</f>
        <v>Mythic Dawn Commentaries 3</v>
      </c>
      <c r="B243" s="63" t="s">
        <v>132</v>
      </c>
      <c r="C243" s="63" t="s">
        <v>132</v>
      </c>
      <c r="D243" s="63" t="s">
        <v>132</v>
      </c>
      <c r="E243" s="503"/>
      <c r="F243" s="503"/>
      <c r="G243" s="503"/>
      <c r="H243" s="503"/>
      <c r="I243" s="503"/>
      <c r="J243" s="503"/>
      <c r="K243" s="503"/>
      <c r="L243" s="503"/>
      <c r="M243" s="503"/>
      <c r="N243" s="504" t="s">
        <v>1524</v>
      </c>
      <c r="O243" s="505" t="s">
        <v>2863</v>
      </c>
      <c r="P243" s="506" t="s">
        <v>2866</v>
      </c>
      <c r="Q243" s="340">
        <v>25.0</v>
      </c>
      <c r="R243" s="453" t="s">
        <v>2440</v>
      </c>
    </row>
    <row r="244">
      <c r="A244" s="502" t="str">
        <f>HYPERLINK("http://en.uesp.net/wiki/Skyrim:Mythic_Dawn_Commentaries_4","Mythic Dawn Commentaries 4")</f>
        <v>Mythic Dawn Commentaries 4</v>
      </c>
      <c r="B244" s="63" t="s">
        <v>132</v>
      </c>
      <c r="C244" s="63" t="s">
        <v>132</v>
      </c>
      <c r="D244" s="63" t="s">
        <v>132</v>
      </c>
      <c r="E244" s="503"/>
      <c r="F244" s="503"/>
      <c r="G244" s="503"/>
      <c r="H244" s="503"/>
      <c r="I244" s="503"/>
      <c r="J244" s="503"/>
      <c r="K244" s="503"/>
      <c r="L244" s="503"/>
      <c r="M244" s="503"/>
      <c r="N244" s="320" t="s">
        <v>1524</v>
      </c>
      <c r="O244" s="506" t="s">
        <v>2863</v>
      </c>
      <c r="P244" s="506" t="s">
        <v>2867</v>
      </c>
      <c r="Q244" s="340">
        <v>25.0</v>
      </c>
      <c r="R244" s="503" t="s">
        <v>2440</v>
      </c>
    </row>
    <row r="245">
      <c r="A245" s="502" t="str">
        <f>HYPERLINK("http://en.uesp.net/wiki/Skyrim:Myths_of_Sheogorath","Myths of Sheogorath")</f>
        <v>Myths of Sheogorath</v>
      </c>
      <c r="B245" s="63" t="s">
        <v>132</v>
      </c>
      <c r="C245" s="63" t="s">
        <v>132</v>
      </c>
      <c r="D245" s="63" t="s">
        <v>132</v>
      </c>
      <c r="E245" s="503"/>
      <c r="F245" s="503"/>
      <c r="G245" s="503"/>
      <c r="H245" s="503"/>
      <c r="I245" s="503"/>
      <c r="J245" s="503"/>
      <c r="K245" s="503"/>
      <c r="L245" s="503"/>
      <c r="M245" s="503"/>
      <c r="N245" s="504">
        <v>1.0</v>
      </c>
      <c r="O245" s="345" t="s">
        <v>2868</v>
      </c>
      <c r="P245" s="506" t="s">
        <v>2869</v>
      </c>
      <c r="Q245" s="340">
        <v>2.0</v>
      </c>
      <c r="R245" s="503" t="s">
        <v>2440</v>
      </c>
    </row>
    <row r="246">
      <c r="A246" s="502" t="str">
        <f>HYPERLINK("http://en.uesp.net/wiki/Skyrim:N%27Gasta!_Kvata!_Kvakis!","N'Gasta! Kvata! Kvakis!")</f>
        <v>N'Gasta! Kvata! Kvakis!</v>
      </c>
      <c r="B246" s="63" t="s">
        <v>132</v>
      </c>
      <c r="C246" s="63" t="s">
        <v>132</v>
      </c>
      <c r="D246" s="63" t="s">
        <v>132</v>
      </c>
      <c r="E246" s="503"/>
      <c r="F246" s="503"/>
      <c r="G246" s="503"/>
      <c r="H246" s="503"/>
      <c r="I246" s="503"/>
      <c r="J246" s="503"/>
      <c r="K246" s="503"/>
      <c r="L246" s="503"/>
      <c r="M246" s="503"/>
      <c r="N246" s="504">
        <v>4.0</v>
      </c>
      <c r="O246" s="505" t="s">
        <v>2870</v>
      </c>
      <c r="P246" s="506" t="s">
        <v>2871</v>
      </c>
      <c r="Q246" s="340">
        <v>20.0</v>
      </c>
      <c r="R246" s="503" t="s">
        <v>2440</v>
      </c>
    </row>
    <row r="247">
      <c r="A247" s="502" t="str">
        <f>HYPERLINK("https://en.uesp.net/wiki/Skyrim:Nchunak's_Fire_and_Faith", "Nchunak's Fire and Faith (DB)")</f>
        <v>Nchunak's Fire and Faith (DB)</v>
      </c>
      <c r="B247" s="63" t="s">
        <v>132</v>
      </c>
      <c r="C247" s="63" t="s">
        <v>132</v>
      </c>
      <c r="D247" s="63" t="s">
        <v>132</v>
      </c>
      <c r="E247" s="503"/>
      <c r="F247" s="503"/>
      <c r="G247" s="503"/>
      <c r="H247" s="503"/>
      <c r="I247" s="503"/>
      <c r="J247" s="503"/>
      <c r="K247" s="503"/>
      <c r="L247" s="503"/>
      <c r="M247" s="503"/>
      <c r="N247" s="42">
        <v>4.0</v>
      </c>
      <c r="O247" s="506" t="s">
        <v>2872</v>
      </c>
      <c r="P247" s="506" t="s">
        <v>2873</v>
      </c>
      <c r="Q247" s="340">
        <v>20.0</v>
      </c>
      <c r="R247" s="508" t="s">
        <v>2440</v>
      </c>
    </row>
    <row r="248">
      <c r="A248" s="502" t="str">
        <f>HYPERLINK("http://en.uesp.net/wiki/Skyrim:Nepos%27s_Journal","Nepos's Journal")</f>
        <v>Nepos's Journal</v>
      </c>
      <c r="B248" s="63" t="s">
        <v>132</v>
      </c>
      <c r="C248" s="63" t="s">
        <v>132</v>
      </c>
      <c r="D248" s="63" t="s">
        <v>132</v>
      </c>
      <c r="E248" s="503"/>
      <c r="F248" s="503"/>
      <c r="G248" s="503"/>
      <c r="H248" s="503"/>
      <c r="I248" s="503"/>
      <c r="J248" s="503"/>
      <c r="K248" s="503"/>
      <c r="L248" s="503"/>
      <c r="M248" s="503"/>
      <c r="N248" s="320" t="s">
        <v>1524</v>
      </c>
      <c r="O248" s="506" t="s">
        <v>2874</v>
      </c>
      <c r="P248" s="505" t="s">
        <v>2875</v>
      </c>
      <c r="Q248" s="340">
        <v>5.0</v>
      </c>
      <c r="R248" s="345" t="s">
        <v>2526</v>
      </c>
    </row>
    <row r="249">
      <c r="A249" s="502" t="str">
        <f>HYPERLINK("https://en.uesp.net/wiki/Skyrim:Nerevar_at_Red_Mountain", "Nerevar at Red Mountain (DB)")</f>
        <v>Nerevar at Red Mountain (DB)</v>
      </c>
      <c r="B249" s="63" t="s">
        <v>132</v>
      </c>
      <c r="C249" s="63" t="s">
        <v>132</v>
      </c>
      <c r="D249" s="63" t="s">
        <v>132</v>
      </c>
      <c r="E249" s="503"/>
      <c r="F249" s="503"/>
      <c r="G249" s="503"/>
      <c r="H249" s="503"/>
      <c r="I249" s="503"/>
      <c r="J249" s="503"/>
      <c r="K249" s="503"/>
      <c r="L249" s="503"/>
      <c r="M249" s="503"/>
      <c r="N249" s="42">
        <v>4.0</v>
      </c>
      <c r="O249" s="506" t="s">
        <v>2823</v>
      </c>
      <c r="P249" s="506" t="s">
        <v>2876</v>
      </c>
      <c r="Q249" s="340">
        <v>30.0</v>
      </c>
      <c r="R249" s="345" t="s">
        <v>2440</v>
      </c>
    </row>
    <row r="250">
      <c r="A250" s="502" t="str">
        <f>HYPERLINK("http://en.uesp.net/wiki/Skyrim:Nerevar_Moon_and_Star","Nerevar Moon and Star")</f>
        <v>Nerevar Moon and Star</v>
      </c>
      <c r="B250" s="63" t="s">
        <v>132</v>
      </c>
      <c r="C250" s="63" t="s">
        <v>132</v>
      </c>
      <c r="D250" s="63" t="s">
        <v>132</v>
      </c>
      <c r="E250" s="503"/>
      <c r="F250" s="503"/>
      <c r="G250" s="503"/>
      <c r="H250" s="503"/>
      <c r="I250" s="503"/>
      <c r="J250" s="503"/>
      <c r="K250" s="503"/>
      <c r="L250" s="503"/>
      <c r="M250" s="503"/>
      <c r="N250" s="320">
        <v>4.0</v>
      </c>
      <c r="O250" s="508" t="s">
        <v>2877</v>
      </c>
      <c r="P250" s="506" t="s">
        <v>2878</v>
      </c>
      <c r="Q250" s="340">
        <v>30.0</v>
      </c>
      <c r="R250" s="345" t="s">
        <v>2440</v>
      </c>
    </row>
    <row r="251">
      <c r="A251" s="502" t="str">
        <f>HYPERLINK("http://en.uesp.net/wiki/Skyrim:Night_Falls_on_Sentinel","Night Falls on Sentinel")</f>
        <v>Night Falls on Sentinel</v>
      </c>
      <c r="B251" s="63" t="s">
        <v>132</v>
      </c>
      <c r="C251" s="63" t="s">
        <v>132</v>
      </c>
      <c r="D251" s="63" t="s">
        <v>132</v>
      </c>
      <c r="E251" s="503"/>
      <c r="F251" s="503"/>
      <c r="G251" s="503"/>
      <c r="H251" s="503"/>
      <c r="I251" s="503"/>
      <c r="J251" s="503"/>
      <c r="K251" s="503"/>
      <c r="L251" s="503"/>
      <c r="M251" s="503"/>
      <c r="N251" s="320" t="s">
        <v>1524</v>
      </c>
      <c r="O251" s="508" t="s">
        <v>2879</v>
      </c>
      <c r="P251" s="505" t="s">
        <v>2880</v>
      </c>
      <c r="Q251" s="340">
        <v>50.0</v>
      </c>
      <c r="R251" s="472" t="s">
        <v>2496</v>
      </c>
    </row>
    <row r="252">
      <c r="A252" s="502" t="str">
        <f>HYPERLINK("http://en.uesp.net/wiki/Skyrim:Nightingales:_Fact_or_Fiction%3F","Nightingales: Fact or Fiction?")</f>
        <v>Nightingales: Fact or Fiction?</v>
      </c>
      <c r="B252" s="63" t="s">
        <v>132</v>
      </c>
      <c r="C252" s="63" t="s">
        <v>132</v>
      </c>
      <c r="D252" s="63" t="s">
        <v>132</v>
      </c>
      <c r="E252" s="503"/>
      <c r="F252" s="503"/>
      <c r="G252" s="503"/>
      <c r="H252" s="503"/>
      <c r="I252" s="503"/>
      <c r="J252" s="503"/>
      <c r="K252" s="503"/>
      <c r="L252" s="503"/>
      <c r="M252" s="503"/>
      <c r="N252" s="320">
        <v>0.0</v>
      </c>
      <c r="O252" s="508" t="s">
        <v>2881</v>
      </c>
      <c r="P252" s="506" t="s">
        <v>2882</v>
      </c>
      <c r="Q252" s="340">
        <v>3.0</v>
      </c>
      <c r="R252" s="503" t="s">
        <v>2440</v>
      </c>
    </row>
    <row r="253">
      <c r="A253" s="502" t="str">
        <f>HYPERLINK("http://en.uesp.net/wiki/Skyrim:Nords_Arise!","Nords Arise!")</f>
        <v>Nords Arise!</v>
      </c>
      <c r="B253" s="63" t="s">
        <v>132</v>
      </c>
      <c r="C253" s="63" t="s">
        <v>132</v>
      </c>
      <c r="D253" s="63" t="s">
        <v>132</v>
      </c>
      <c r="E253" s="503"/>
      <c r="F253" s="503"/>
      <c r="G253" s="503"/>
      <c r="H253" s="503"/>
      <c r="I253" s="503"/>
      <c r="J253" s="503"/>
      <c r="K253" s="503"/>
      <c r="L253" s="503"/>
      <c r="M253" s="503"/>
      <c r="N253" s="320">
        <v>1.0</v>
      </c>
      <c r="O253" s="508" t="s">
        <v>2481</v>
      </c>
      <c r="P253" s="506" t="s">
        <v>2883</v>
      </c>
      <c r="Q253" s="340">
        <v>4.0</v>
      </c>
      <c r="R253" s="503" t="s">
        <v>2440</v>
      </c>
    </row>
    <row r="254">
      <c r="A254" s="502" t="str">
        <f>HYPERLINK("http://en.uesp.net/wiki/Skyrim:Nords_of_Skyrim","Nords of Skyrim")</f>
        <v>Nords of Skyrim</v>
      </c>
      <c r="B254" s="63" t="s">
        <v>132</v>
      </c>
      <c r="C254" s="63" t="s">
        <v>132</v>
      </c>
      <c r="D254" s="63" t="s">
        <v>132</v>
      </c>
      <c r="E254" s="503"/>
      <c r="F254" s="503"/>
      <c r="G254" s="503"/>
      <c r="H254" s="503"/>
      <c r="I254" s="503"/>
      <c r="J254" s="503"/>
      <c r="K254" s="503"/>
      <c r="L254" s="503"/>
      <c r="M254" s="503"/>
      <c r="N254" s="320">
        <v>2.0</v>
      </c>
      <c r="O254" s="508" t="s">
        <v>2884</v>
      </c>
      <c r="P254" s="506" t="s">
        <v>2885</v>
      </c>
      <c r="Q254" s="340">
        <v>6.0</v>
      </c>
      <c r="R254" s="508" t="s">
        <v>2440</v>
      </c>
    </row>
    <row r="255">
      <c r="A255" s="502" t="str">
        <f>HYPERLINK("http://en.uesp.net/wiki/Skyrim:Notes_on_Dimhollow_Crypt,_Vol._3","Notes on Dimhollow Crypt, Vol. 3 (DG)")</f>
        <v>Notes on Dimhollow Crypt, Vol. 3 (DG)</v>
      </c>
      <c r="B255" s="63" t="s">
        <v>132</v>
      </c>
      <c r="C255" s="63" t="s">
        <v>132</v>
      </c>
      <c r="D255" s="63" t="s">
        <v>132</v>
      </c>
      <c r="E255" s="503"/>
      <c r="F255" s="503"/>
      <c r="G255" s="503"/>
      <c r="H255" s="503"/>
      <c r="I255" s="503"/>
      <c r="J255" s="503"/>
      <c r="K255" s="503"/>
      <c r="L255" s="503"/>
      <c r="M255" s="503"/>
      <c r="N255" s="504" t="s">
        <v>1524</v>
      </c>
      <c r="O255" s="345" t="s">
        <v>2886</v>
      </c>
      <c r="P255" s="506" t="s">
        <v>2887</v>
      </c>
      <c r="Q255" s="340">
        <v>11.0</v>
      </c>
      <c r="R255" s="345" t="s">
        <v>2536</v>
      </c>
    </row>
    <row r="256">
      <c r="A256" s="502" t="str">
        <f>HYPERLINK("http://en.uesp.net/wiki/Skyrim:Notes_On_The_Lunar_Forge","Notes On The Lunar Forge")</f>
        <v>Notes On The Lunar Forge</v>
      </c>
      <c r="B256" s="63" t="s">
        <v>132</v>
      </c>
      <c r="C256" s="63" t="s">
        <v>132</v>
      </c>
      <c r="D256" s="63" t="s">
        <v>132</v>
      </c>
      <c r="E256" s="503"/>
      <c r="F256" s="503"/>
      <c r="G256" s="503"/>
      <c r="H256" s="503"/>
      <c r="I256" s="503"/>
      <c r="J256" s="503"/>
      <c r="K256" s="503"/>
      <c r="L256" s="503"/>
      <c r="M256" s="503"/>
      <c r="N256" s="504" t="s">
        <v>1524</v>
      </c>
      <c r="O256" s="345" t="s">
        <v>2481</v>
      </c>
      <c r="P256" s="506" t="s">
        <v>2888</v>
      </c>
      <c r="Q256" s="340">
        <v>55.0</v>
      </c>
      <c r="R256" s="509" t="s">
        <v>2654</v>
      </c>
    </row>
    <row r="257">
      <c r="A257" s="502" t="str">
        <f>HYPERLINK("http://en.uesp.net/wiki/Skyrim:Notes_on_Yngol_Barrow","Notes on Yngol Barrow")</f>
        <v>Notes on Yngol Barrow</v>
      </c>
      <c r="B257" s="63" t="s">
        <v>132</v>
      </c>
      <c r="C257" s="63" t="s">
        <v>132</v>
      </c>
      <c r="D257" s="63" t="s">
        <v>132</v>
      </c>
      <c r="E257" s="503"/>
      <c r="F257" s="503"/>
      <c r="G257" s="503"/>
      <c r="H257" s="503"/>
      <c r="I257" s="503"/>
      <c r="J257" s="503"/>
      <c r="K257" s="503"/>
      <c r="L257" s="503"/>
      <c r="M257" s="503"/>
      <c r="N257" s="320" t="s">
        <v>1524</v>
      </c>
      <c r="O257" s="508" t="s">
        <v>2889</v>
      </c>
      <c r="P257" s="506" t="s">
        <v>2890</v>
      </c>
      <c r="Q257" s="340">
        <v>5.0</v>
      </c>
      <c r="R257" s="472" t="s">
        <v>2654</v>
      </c>
    </row>
    <row r="258">
      <c r="A258" s="502" t="str">
        <f>HYPERLINK("http://en.uesp.net/wiki/Skyrim:Nystrom%27s_Journal","Nystrom's Journal")</f>
        <v>Nystrom's Journal</v>
      </c>
      <c r="B258" s="63" t="s">
        <v>132</v>
      </c>
      <c r="C258" s="63" t="s">
        <v>132</v>
      </c>
      <c r="D258" s="63" t="s">
        <v>132</v>
      </c>
      <c r="E258" s="503"/>
      <c r="F258" s="503"/>
      <c r="G258" s="503"/>
      <c r="H258" s="503"/>
      <c r="I258" s="503"/>
      <c r="J258" s="503"/>
      <c r="K258" s="503"/>
      <c r="L258" s="503"/>
      <c r="M258" s="503"/>
      <c r="N258" s="320" t="s">
        <v>1524</v>
      </c>
      <c r="O258" s="506" t="s">
        <v>2891</v>
      </c>
      <c r="P258" s="506" t="s">
        <v>2892</v>
      </c>
      <c r="Q258" s="340">
        <v>150.0</v>
      </c>
      <c r="R258" s="503" t="s">
        <v>2536</v>
      </c>
    </row>
    <row r="259">
      <c r="A259" s="502" t="str">
        <f>HYPERLINK("http://en.uesp.net/wiki/Skyrim:Ode_To_The_Tundrastriders","Ode To The Tundrastriders")</f>
        <v>Ode To The Tundrastriders</v>
      </c>
      <c r="B259" s="63" t="s">
        <v>132</v>
      </c>
      <c r="C259" s="63" t="s">
        <v>132</v>
      </c>
      <c r="D259" s="63" t="s">
        <v>132</v>
      </c>
      <c r="E259" s="503"/>
      <c r="F259" s="503"/>
      <c r="G259" s="503"/>
      <c r="H259" s="503"/>
      <c r="I259" s="503"/>
      <c r="J259" s="503"/>
      <c r="K259" s="503"/>
      <c r="L259" s="503"/>
      <c r="M259" s="503"/>
      <c r="N259" s="504">
        <v>2.0</v>
      </c>
      <c r="O259" s="345" t="s">
        <v>2481</v>
      </c>
      <c r="P259" s="506" t="s">
        <v>2893</v>
      </c>
      <c r="Q259" s="340">
        <v>8.0</v>
      </c>
      <c r="R259" s="503" t="s">
        <v>2440</v>
      </c>
    </row>
    <row r="260">
      <c r="A260" s="502" t="str">
        <f>HYPERLINK("http://en.uesp.net/wiki/Skyrim:Of_Crossed_Daggers","Of Crossed Daggers")</f>
        <v>Of Crossed Daggers</v>
      </c>
      <c r="B260" s="63" t="s">
        <v>132</v>
      </c>
      <c r="C260" s="63" t="s">
        <v>132</v>
      </c>
      <c r="D260" s="63" t="s">
        <v>132</v>
      </c>
      <c r="E260" s="503"/>
      <c r="F260" s="503"/>
      <c r="G260" s="503"/>
      <c r="H260" s="503"/>
      <c r="I260" s="503"/>
      <c r="J260" s="503"/>
      <c r="K260" s="503"/>
      <c r="L260" s="503"/>
      <c r="M260" s="503"/>
      <c r="N260" s="320">
        <v>2.0</v>
      </c>
      <c r="O260" s="508" t="s">
        <v>2894</v>
      </c>
      <c r="P260" s="506" t="s">
        <v>2895</v>
      </c>
      <c r="Q260" s="340">
        <v>5.0</v>
      </c>
      <c r="R260" s="345" t="s">
        <v>2440</v>
      </c>
    </row>
    <row r="261">
      <c r="A261" s="502" t="str">
        <f>HYPERLINK("http://en.uesp.net/wiki/Skyrim:Of_Fjori_and_Holgeir","Of Fjori and Holgeir")</f>
        <v>Of Fjori and Holgeir</v>
      </c>
      <c r="B261" s="63" t="s">
        <v>132</v>
      </c>
      <c r="C261" s="63" t="s">
        <v>132</v>
      </c>
      <c r="D261" s="63" t="s">
        <v>132</v>
      </c>
      <c r="E261" s="503"/>
      <c r="F261" s="503"/>
      <c r="G261" s="503"/>
      <c r="H261" s="503"/>
      <c r="I261" s="503"/>
      <c r="J261" s="503"/>
      <c r="K261" s="503"/>
      <c r="L261" s="503"/>
      <c r="M261" s="503"/>
      <c r="N261" s="320">
        <v>2.0</v>
      </c>
      <c r="O261" s="508" t="s">
        <v>2481</v>
      </c>
      <c r="P261" s="506" t="s">
        <v>2896</v>
      </c>
      <c r="Q261" s="340">
        <v>6.0</v>
      </c>
      <c r="R261" s="503" t="s">
        <v>2440</v>
      </c>
    </row>
    <row r="262">
      <c r="A262" s="502" t="str">
        <f>HYPERLINK("http://en.uesp.net/wiki/Skyrim:Oghma_Infinium","Oghma Infinium")</f>
        <v>Oghma Infinium</v>
      </c>
      <c r="B262" s="63" t="s">
        <v>132</v>
      </c>
      <c r="C262" s="63" t="s">
        <v>132</v>
      </c>
      <c r="D262" s="63" t="s">
        <v>132</v>
      </c>
      <c r="E262" s="503"/>
      <c r="F262" s="503"/>
      <c r="G262" s="503"/>
      <c r="H262" s="503"/>
      <c r="I262" s="503"/>
      <c r="J262" s="503"/>
      <c r="K262" s="503"/>
      <c r="L262" s="503"/>
      <c r="M262" s="503"/>
      <c r="N262" s="320" t="s">
        <v>1524</v>
      </c>
      <c r="O262" s="508" t="s">
        <v>2897</v>
      </c>
      <c r="P262" s="506" t="s">
        <v>2898</v>
      </c>
      <c r="Q262" s="340">
        <v>2500.0</v>
      </c>
      <c r="R262" s="503" t="s">
        <v>2899</v>
      </c>
    </row>
    <row r="263">
      <c r="A263" s="502" t="str">
        <f>HYPERLINK("http://en.uesp.net/wiki/Skyrim:Olaf_and_the_Dragon","Olaf and the Dragon")</f>
        <v>Olaf and the Dragon</v>
      </c>
      <c r="B263" s="63" t="s">
        <v>132</v>
      </c>
      <c r="C263" s="63" t="s">
        <v>132</v>
      </c>
      <c r="D263" s="63" t="s">
        <v>132</v>
      </c>
      <c r="E263" s="503"/>
      <c r="F263" s="503"/>
      <c r="G263" s="503"/>
      <c r="H263" s="503"/>
      <c r="I263" s="503"/>
      <c r="J263" s="503"/>
      <c r="K263" s="503"/>
      <c r="L263" s="503"/>
      <c r="M263" s="503"/>
      <c r="N263" s="320">
        <v>1.0</v>
      </c>
      <c r="O263" s="506" t="s">
        <v>602</v>
      </c>
      <c r="P263" s="506" t="s">
        <v>2900</v>
      </c>
      <c r="Q263" s="340">
        <v>2.0</v>
      </c>
      <c r="R263" s="503" t="s">
        <v>2440</v>
      </c>
    </row>
    <row r="264">
      <c r="A264" s="502" t="str">
        <f>HYPERLINK("http://en.uesp.net/wiki/Skyrim:Old_Tome","Old Tome")</f>
        <v>Old Tome</v>
      </c>
      <c r="B264" s="63" t="s">
        <v>132</v>
      </c>
      <c r="C264" s="63" t="s">
        <v>132</v>
      </c>
      <c r="D264" s="63" t="s">
        <v>132</v>
      </c>
      <c r="E264" s="503"/>
      <c r="F264" s="503"/>
      <c r="G264" s="503"/>
      <c r="H264" s="503"/>
      <c r="I264" s="503"/>
      <c r="J264" s="503"/>
      <c r="K264" s="503"/>
      <c r="L264" s="503"/>
      <c r="M264" s="503"/>
      <c r="N264" s="320" t="s">
        <v>1524</v>
      </c>
      <c r="O264" s="508" t="s">
        <v>2481</v>
      </c>
      <c r="P264" s="506" t="s">
        <v>2901</v>
      </c>
      <c r="Q264" s="340">
        <v>5.0</v>
      </c>
      <c r="R264" s="453" t="s">
        <v>2440</v>
      </c>
    </row>
    <row r="265">
      <c r="A265" s="502" t="str">
        <f>HYPERLINK("http://en.uesp.net/wiki/Skyrim:On_Oblivion","On Oblivion")</f>
        <v>On Oblivion</v>
      </c>
      <c r="B265" s="63" t="s">
        <v>132</v>
      </c>
      <c r="C265" s="63" t="s">
        <v>132</v>
      </c>
      <c r="D265" s="63" t="s">
        <v>132</v>
      </c>
      <c r="E265" s="503"/>
      <c r="F265" s="503"/>
      <c r="G265" s="503"/>
      <c r="H265" s="503"/>
      <c r="I265" s="503"/>
      <c r="J265" s="503"/>
      <c r="K265" s="503"/>
      <c r="L265" s="503"/>
      <c r="M265" s="503"/>
      <c r="N265" s="320">
        <v>3.0</v>
      </c>
      <c r="O265" s="508" t="s">
        <v>2902</v>
      </c>
      <c r="P265" s="506" t="s">
        <v>2903</v>
      </c>
      <c r="Q265" s="340">
        <v>10.0</v>
      </c>
      <c r="R265" s="508" t="s">
        <v>2440</v>
      </c>
    </row>
    <row r="266">
      <c r="A266" s="502" t="str">
        <f>HYPERLINK("http://en.uesp.net/wiki/Skyrim:On_Stepping_Lightly","On Stepping Lightly")</f>
        <v>On Stepping Lightly</v>
      </c>
      <c r="B266" s="63" t="s">
        <v>132</v>
      </c>
      <c r="C266" s="63" t="s">
        <v>132</v>
      </c>
      <c r="D266" s="63" t="s">
        <v>132</v>
      </c>
      <c r="E266" s="503"/>
      <c r="F266" s="503"/>
      <c r="G266" s="503"/>
      <c r="H266" s="503"/>
      <c r="I266" s="503"/>
      <c r="J266" s="503"/>
      <c r="K266" s="503"/>
      <c r="L266" s="503"/>
      <c r="M266" s="503"/>
      <c r="N266" s="320">
        <v>3.0</v>
      </c>
      <c r="O266" s="508" t="s">
        <v>2904</v>
      </c>
      <c r="P266" s="506" t="s">
        <v>2905</v>
      </c>
      <c r="Q266" s="340">
        <v>12.0</v>
      </c>
      <c r="R266" s="453" t="s">
        <v>2440</v>
      </c>
    </row>
    <row r="267">
      <c r="A267" s="502" t="str">
        <f>HYPERLINK("http://en.uesp.net/wiki/Skyrim:On_the_Great_Collapse","On the Great Collapse")</f>
        <v>On the Great Collapse</v>
      </c>
      <c r="B267" s="63" t="s">
        <v>132</v>
      </c>
      <c r="C267" s="63" t="s">
        <v>132</v>
      </c>
      <c r="D267" s="63" t="s">
        <v>132</v>
      </c>
      <c r="E267" s="503"/>
      <c r="F267" s="503"/>
      <c r="G267" s="503"/>
      <c r="H267" s="503"/>
      <c r="I267" s="503"/>
      <c r="J267" s="503"/>
      <c r="K267" s="503"/>
      <c r="L267" s="503"/>
      <c r="M267" s="503"/>
      <c r="N267" s="320">
        <v>3.0</v>
      </c>
      <c r="O267" s="508" t="s">
        <v>2906</v>
      </c>
      <c r="P267" s="506" t="s">
        <v>2907</v>
      </c>
      <c r="Q267" s="340">
        <v>12.0</v>
      </c>
      <c r="R267" s="453" t="s">
        <v>2440</v>
      </c>
    </row>
    <row r="268">
      <c r="A268" s="502" t="str">
        <f>HYPERLINK("http://en.uesp.net/wiki/Skyrim:Opusculus_Lamae_Bal","Opusculus Lamae Bal")</f>
        <v>Opusculus Lamae Bal</v>
      </c>
      <c r="B268" s="63" t="s">
        <v>132</v>
      </c>
      <c r="C268" s="63" t="s">
        <v>132</v>
      </c>
      <c r="D268" s="63" t="s">
        <v>132</v>
      </c>
      <c r="E268" s="503"/>
      <c r="F268" s="503"/>
      <c r="G268" s="503"/>
      <c r="H268" s="503"/>
      <c r="I268" s="503"/>
      <c r="J268" s="503"/>
      <c r="K268" s="503"/>
      <c r="L268" s="503"/>
      <c r="M268" s="503"/>
      <c r="N268" s="320">
        <v>3.0</v>
      </c>
      <c r="O268" s="508" t="s">
        <v>2908</v>
      </c>
      <c r="P268" s="506" t="s">
        <v>2909</v>
      </c>
      <c r="Q268" s="340">
        <v>14.0</v>
      </c>
      <c r="R268" s="503" t="s">
        <v>2440</v>
      </c>
    </row>
    <row r="269">
      <c r="A269" s="502" t="str">
        <f>HYPERLINK("http://en.uesp.net/wiki/Skyrim:Orsinium_and_the_Orcs","Orsinium and the Orcs")</f>
        <v>Orsinium and the Orcs</v>
      </c>
      <c r="B269" s="63" t="s">
        <v>132</v>
      </c>
      <c r="C269" s="63" t="s">
        <v>132</v>
      </c>
      <c r="D269" s="63" t="s">
        <v>132</v>
      </c>
      <c r="E269" s="503"/>
      <c r="F269" s="503"/>
      <c r="G269" s="503"/>
      <c r="H269" s="503"/>
      <c r="I269" s="503"/>
      <c r="J269" s="503"/>
      <c r="K269" s="503"/>
      <c r="L269" s="503"/>
      <c r="M269" s="503"/>
      <c r="N269" s="320" t="s">
        <v>1524</v>
      </c>
      <c r="O269" s="508" t="s">
        <v>2910</v>
      </c>
      <c r="P269" s="506" t="s">
        <v>2911</v>
      </c>
      <c r="Q269" s="340">
        <v>70.0</v>
      </c>
      <c r="R269" s="453" t="s">
        <v>2440</v>
      </c>
    </row>
    <row r="270">
      <c r="A270" s="502" t="str">
        <f>HYPERLINK("http://en.uesp.net/wiki/Skyrim:Palla,_volume_1","Palla, volume 1")</f>
        <v>Palla, volume 1</v>
      </c>
      <c r="B270" s="63" t="s">
        <v>132</v>
      </c>
      <c r="C270" s="63" t="s">
        <v>132</v>
      </c>
      <c r="D270" s="63" t="s">
        <v>132</v>
      </c>
      <c r="E270" s="503"/>
      <c r="F270" s="503"/>
      <c r="G270" s="503"/>
      <c r="H270" s="503"/>
      <c r="I270" s="503"/>
      <c r="J270" s="503"/>
      <c r="K270" s="503"/>
      <c r="L270" s="503"/>
      <c r="M270" s="503"/>
      <c r="N270" s="504">
        <v>0.0</v>
      </c>
      <c r="O270" s="505" t="s">
        <v>2912</v>
      </c>
      <c r="P270" s="506" t="s">
        <v>2913</v>
      </c>
      <c r="Q270" s="340">
        <v>3.0</v>
      </c>
      <c r="R270" s="503" t="s">
        <v>2440</v>
      </c>
    </row>
    <row r="271">
      <c r="A271" s="502" t="str">
        <f>HYPERLINK("http://en.uesp.net/wiki/Skyrim:Palla,_volume_2","Palla, volume 2")</f>
        <v>Palla, volume 2</v>
      </c>
      <c r="B271" s="63" t="s">
        <v>132</v>
      </c>
      <c r="C271" s="63" t="s">
        <v>132</v>
      </c>
      <c r="D271" s="63" t="s">
        <v>132</v>
      </c>
      <c r="E271" s="503"/>
      <c r="F271" s="503"/>
      <c r="G271" s="503"/>
      <c r="H271" s="503"/>
      <c r="I271" s="503"/>
      <c r="J271" s="503"/>
      <c r="K271" s="503"/>
      <c r="L271" s="503"/>
      <c r="M271" s="503"/>
      <c r="N271" s="320">
        <v>3.0</v>
      </c>
      <c r="O271" s="506" t="s">
        <v>2912</v>
      </c>
      <c r="P271" s="506" t="s">
        <v>2914</v>
      </c>
      <c r="Q271" s="340">
        <v>10.0</v>
      </c>
      <c r="R271" s="345" t="s">
        <v>2440</v>
      </c>
    </row>
    <row r="272">
      <c r="A272" s="502" t="str">
        <f>HYPERLINK("http://en.uesp.net/wiki/Skyrim:Pension_of_the_Ancestor_Moth","Pension of the Ancestor Moth")</f>
        <v>Pension of the Ancestor Moth</v>
      </c>
      <c r="B272" s="63" t="s">
        <v>132</v>
      </c>
      <c r="C272" s="63" t="s">
        <v>132</v>
      </c>
      <c r="D272" s="63" t="s">
        <v>132</v>
      </c>
      <c r="E272" s="503"/>
      <c r="F272" s="503"/>
      <c r="G272" s="503"/>
      <c r="H272" s="503"/>
      <c r="I272" s="503"/>
      <c r="J272" s="503"/>
      <c r="K272" s="503"/>
      <c r="L272" s="503"/>
      <c r="M272" s="503"/>
      <c r="N272" s="320">
        <v>2.0</v>
      </c>
      <c r="O272" s="508" t="s">
        <v>2915</v>
      </c>
      <c r="P272" s="506" t="s">
        <v>2916</v>
      </c>
      <c r="Q272" s="340">
        <v>8.0</v>
      </c>
      <c r="R272" s="509" t="s">
        <v>2494</v>
      </c>
    </row>
    <row r="273">
      <c r="A273" s="502" t="str">
        <f>HYPERLINK("http://en.uesp.net/wiki/Skyrim:Physicalities_of_Werewolves","Physicalities of Werewolves")</f>
        <v>Physicalities of Werewolves</v>
      </c>
      <c r="B273" s="63" t="s">
        <v>132</v>
      </c>
      <c r="C273" s="63" t="s">
        <v>132</v>
      </c>
      <c r="D273" s="63" t="s">
        <v>132</v>
      </c>
      <c r="E273" s="503"/>
      <c r="F273" s="503"/>
      <c r="G273" s="503"/>
      <c r="H273" s="503"/>
      <c r="I273" s="503"/>
      <c r="J273" s="503"/>
      <c r="K273" s="503"/>
      <c r="L273" s="503"/>
      <c r="M273" s="503"/>
      <c r="N273" s="320">
        <v>3.0</v>
      </c>
      <c r="O273" s="508" t="s">
        <v>2917</v>
      </c>
      <c r="P273" s="506" t="s">
        <v>2918</v>
      </c>
      <c r="Q273" s="340">
        <v>14.0</v>
      </c>
      <c r="R273" s="453" t="s">
        <v>2440</v>
      </c>
    </row>
    <row r="274">
      <c r="A274" s="502" t="str">
        <f>HYPERLINK("http://en.uesp.net/wiki/Skyrim:Pirate_King_of_the_Abecean","Pirate King of the Abecean")</f>
        <v>Pirate King of the Abecean</v>
      </c>
      <c r="B274" s="63" t="s">
        <v>132</v>
      </c>
      <c r="C274" s="63" t="s">
        <v>132</v>
      </c>
      <c r="D274" s="63" t="s">
        <v>132</v>
      </c>
      <c r="E274" s="503"/>
      <c r="F274" s="503"/>
      <c r="G274" s="503"/>
      <c r="H274" s="503"/>
      <c r="I274" s="503"/>
      <c r="J274" s="503"/>
      <c r="K274" s="503"/>
      <c r="L274" s="503"/>
      <c r="M274" s="503"/>
      <c r="N274" s="320">
        <v>2.0</v>
      </c>
      <c r="O274" s="508" t="s">
        <v>2481</v>
      </c>
      <c r="P274" s="506" t="s">
        <v>2919</v>
      </c>
      <c r="Q274" s="340">
        <v>6.0</v>
      </c>
      <c r="R274" s="508" t="s">
        <v>2440</v>
      </c>
    </row>
    <row r="275">
      <c r="A275" s="502" t="str">
        <f>HYPERLINK("http://en.uesp.net/wiki/Skyrim:Power_of_the_Elements","Power of the Elements")</f>
        <v>Power of the Elements</v>
      </c>
      <c r="B275" s="63" t="s">
        <v>132</v>
      </c>
      <c r="C275" s="63" t="s">
        <v>132</v>
      </c>
      <c r="D275" s="63" t="s">
        <v>132</v>
      </c>
      <c r="E275" s="503"/>
      <c r="F275" s="503"/>
      <c r="G275" s="503"/>
      <c r="H275" s="503"/>
      <c r="I275" s="503"/>
      <c r="J275" s="503"/>
      <c r="K275" s="503"/>
      <c r="L275" s="503"/>
      <c r="M275" s="503"/>
      <c r="N275" s="320" t="s">
        <v>1524</v>
      </c>
      <c r="O275" s="508" t="s">
        <v>2481</v>
      </c>
      <c r="P275" s="506" t="s">
        <v>2920</v>
      </c>
      <c r="Q275" s="340">
        <v>5.0</v>
      </c>
      <c r="R275" s="503" t="s">
        <v>2440</v>
      </c>
    </row>
    <row r="276">
      <c r="A276" s="502" t="str">
        <f>HYPERLINK("http://en.uesp.net/wiki/Skyrim:Proper_Lock_Design","Proper Lock Design")</f>
        <v>Proper Lock Design</v>
      </c>
      <c r="B276" s="63" t="s">
        <v>132</v>
      </c>
      <c r="C276" s="63" t="s">
        <v>132</v>
      </c>
      <c r="D276" s="63" t="s">
        <v>132</v>
      </c>
      <c r="E276" s="503"/>
      <c r="F276" s="503"/>
      <c r="G276" s="503"/>
      <c r="H276" s="503"/>
      <c r="I276" s="503"/>
      <c r="J276" s="503"/>
      <c r="K276" s="503"/>
      <c r="L276" s="503"/>
      <c r="M276" s="503"/>
      <c r="N276" s="320" t="s">
        <v>1524</v>
      </c>
      <c r="O276" s="508" t="s">
        <v>2481</v>
      </c>
      <c r="P276" s="505" t="s">
        <v>2921</v>
      </c>
      <c r="Q276" s="340">
        <v>75.0</v>
      </c>
      <c r="R276" s="472" t="s">
        <v>2533</v>
      </c>
    </row>
    <row r="277">
      <c r="A277" s="502" t="str">
        <f>HYPERLINK("http://en.uesp.net/wiki/Skyrim:Purloined_Shadows","Purloined Shadows")</f>
        <v>Purloined Shadows</v>
      </c>
      <c r="B277" s="63" t="s">
        <v>132</v>
      </c>
      <c r="C277" s="63" t="s">
        <v>132</v>
      </c>
      <c r="D277" s="63" t="s">
        <v>132</v>
      </c>
      <c r="E277" s="503"/>
      <c r="F277" s="503"/>
      <c r="G277" s="503"/>
      <c r="H277" s="503"/>
      <c r="I277" s="503"/>
      <c r="J277" s="503"/>
      <c r="K277" s="503"/>
      <c r="L277" s="503"/>
      <c r="M277" s="503"/>
      <c r="N277" s="320" t="s">
        <v>1524</v>
      </c>
      <c r="O277" s="508" t="s">
        <v>2506</v>
      </c>
      <c r="P277" s="505" t="s">
        <v>2922</v>
      </c>
      <c r="Q277" s="340">
        <v>60.0</v>
      </c>
      <c r="R277" s="472" t="s">
        <v>2539</v>
      </c>
    </row>
    <row r="278">
      <c r="A278" s="502" t="str">
        <f>HYPERLINK("http://en.uesp.net/wiki/Skyrim:Racial_Phylogeny","Racial Phylogeny")</f>
        <v>Racial Phylogeny</v>
      </c>
      <c r="B278" s="63" t="s">
        <v>132</v>
      </c>
      <c r="C278" s="63" t="s">
        <v>132</v>
      </c>
      <c r="D278" s="63" t="s">
        <v>132</v>
      </c>
      <c r="E278" s="503"/>
      <c r="F278" s="503"/>
      <c r="G278" s="503"/>
      <c r="H278" s="503"/>
      <c r="I278" s="503"/>
      <c r="J278" s="503"/>
      <c r="K278" s="503"/>
      <c r="L278" s="503"/>
      <c r="M278" s="503"/>
      <c r="N278" s="320" t="s">
        <v>1524</v>
      </c>
      <c r="O278" s="508" t="s">
        <v>2923</v>
      </c>
      <c r="P278" s="506" t="s">
        <v>2924</v>
      </c>
      <c r="Q278" s="340">
        <v>55.0</v>
      </c>
      <c r="R278" s="509" t="s">
        <v>2498</v>
      </c>
    </row>
    <row r="279">
      <c r="A279" s="502" t="str">
        <f>HYPERLINK("https://en.uesp.net/wiki/Skyrim:Raleth_Eldri's_Notes_on_Kagrumez", "Raleth Eldri's Notes on Kagrumez (DB)")</f>
        <v>Raleth Eldri's Notes on Kagrumez (DB)</v>
      </c>
      <c r="B279" s="63" t="s">
        <v>132</v>
      </c>
      <c r="C279" s="63" t="s">
        <v>132</v>
      </c>
      <c r="D279" s="63" t="s">
        <v>132</v>
      </c>
      <c r="E279" s="503"/>
      <c r="F279" s="503"/>
      <c r="G279" s="503"/>
      <c r="H279" s="503"/>
      <c r="I279" s="503"/>
      <c r="J279" s="503"/>
      <c r="K279" s="503"/>
      <c r="L279" s="503"/>
      <c r="M279" s="503"/>
      <c r="N279" s="320" t="s">
        <v>1524</v>
      </c>
      <c r="O279" s="506" t="s">
        <v>2925</v>
      </c>
      <c r="P279" s="514" t="s">
        <v>2926</v>
      </c>
      <c r="Q279" s="340">
        <v>5.0</v>
      </c>
      <c r="R279" s="509" t="s">
        <v>2654</v>
      </c>
    </row>
    <row r="280">
      <c r="A280" s="502" t="str">
        <f>HYPERLINK("http://en.uesp.net/wiki/Skyrim:Ramati%27s_Journal","Ramati's Journal")</f>
        <v>Ramati's Journal</v>
      </c>
      <c r="B280" s="63" t="s">
        <v>132</v>
      </c>
      <c r="C280" s="63" t="s">
        <v>132</v>
      </c>
      <c r="D280" s="63" t="s">
        <v>132</v>
      </c>
      <c r="E280" s="503"/>
      <c r="F280" s="503"/>
      <c r="G280" s="503"/>
      <c r="H280" s="503"/>
      <c r="I280" s="503"/>
      <c r="J280" s="503"/>
      <c r="K280" s="503"/>
      <c r="L280" s="503"/>
      <c r="M280" s="503"/>
      <c r="N280" s="320" t="s">
        <v>1524</v>
      </c>
      <c r="O280" s="506" t="s">
        <v>2927</v>
      </c>
      <c r="P280" s="506" t="s">
        <v>2928</v>
      </c>
      <c r="Q280" s="340">
        <v>5.0</v>
      </c>
      <c r="R280" s="503" t="s">
        <v>2536</v>
      </c>
    </row>
    <row r="281">
      <c r="A281" s="502" t="str">
        <f>HYPERLINK("http://en.uesp.net/wiki/Skyrim:Reality_%26_Other_Falsehoods","Reality &amp; Other Falsehoods")</f>
        <v>Reality &amp; Other Falsehoods</v>
      </c>
      <c r="B281" s="63" t="s">
        <v>132</v>
      </c>
      <c r="C281" s="63" t="s">
        <v>132</v>
      </c>
      <c r="D281" s="63" t="s">
        <v>132</v>
      </c>
      <c r="E281" s="503"/>
      <c r="F281" s="503"/>
      <c r="G281" s="503"/>
      <c r="H281" s="503"/>
      <c r="I281" s="503"/>
      <c r="J281" s="503"/>
      <c r="K281" s="503"/>
      <c r="L281" s="503"/>
      <c r="M281" s="503"/>
      <c r="N281" s="320" t="s">
        <v>1524</v>
      </c>
      <c r="O281" s="508" t="s">
        <v>2481</v>
      </c>
      <c r="P281" s="506" t="s">
        <v>2929</v>
      </c>
      <c r="Q281" s="340">
        <v>60.0</v>
      </c>
      <c r="R281" s="472" t="s">
        <v>2602</v>
      </c>
    </row>
    <row r="282">
      <c r="A282" s="502" t="str">
        <f>HYPERLINK("http://en.uesp.net/wiki/Skyrim:Red_Eagle%27s_Rite","Red Eagle's Rite")</f>
        <v>Red Eagle's Rite</v>
      </c>
      <c r="B282" s="63" t="s">
        <v>132</v>
      </c>
      <c r="C282" s="63" t="s">
        <v>132</v>
      </c>
      <c r="D282" s="63" t="s">
        <v>132</v>
      </c>
      <c r="E282" s="503"/>
      <c r="F282" s="503"/>
      <c r="G282" s="503"/>
      <c r="H282" s="503"/>
      <c r="I282" s="503"/>
      <c r="J282" s="503"/>
      <c r="K282" s="503"/>
      <c r="L282" s="503"/>
      <c r="M282" s="503"/>
      <c r="N282" s="320" t="s">
        <v>1524</v>
      </c>
      <c r="O282" s="508" t="s">
        <v>2930</v>
      </c>
      <c r="P282" s="506" t="s">
        <v>2931</v>
      </c>
      <c r="Q282" s="340">
        <v>5.0</v>
      </c>
      <c r="R282" s="503" t="s">
        <v>2526</v>
      </c>
    </row>
    <row r="283">
      <c r="A283" s="502" t="str">
        <f>HYPERLINK("http://en.uesp.net/wiki/Skyrim:Remanada","Remanada")</f>
        <v>Remanada</v>
      </c>
      <c r="B283" s="63" t="s">
        <v>132</v>
      </c>
      <c r="C283" s="63" t="s">
        <v>132</v>
      </c>
      <c r="D283" s="63" t="s">
        <v>132</v>
      </c>
      <c r="E283" s="503"/>
      <c r="F283" s="503"/>
      <c r="G283" s="503"/>
      <c r="H283" s="503"/>
      <c r="I283" s="503"/>
      <c r="J283" s="503"/>
      <c r="K283" s="503"/>
      <c r="L283" s="503"/>
      <c r="M283" s="503"/>
      <c r="N283" s="320">
        <v>4.0</v>
      </c>
      <c r="O283" s="508" t="s">
        <v>2481</v>
      </c>
      <c r="P283" s="506" t="s">
        <v>2932</v>
      </c>
      <c r="Q283" s="340">
        <v>20.0</v>
      </c>
      <c r="R283" s="453" t="s">
        <v>2440</v>
      </c>
    </row>
    <row r="284">
      <c r="A284" s="502" t="str">
        <f>HYPERLINK("http://en.uesp.net/wiki/Skyrim:Report:_Disaster_at_Ionith","Report: Disaster at Ionith")</f>
        <v>Report: Disaster at Ionith</v>
      </c>
      <c r="B284" s="63" t="s">
        <v>132</v>
      </c>
      <c r="C284" s="63" t="s">
        <v>132</v>
      </c>
      <c r="D284" s="63" t="s">
        <v>132</v>
      </c>
      <c r="E284" s="503"/>
      <c r="F284" s="503"/>
      <c r="G284" s="503"/>
      <c r="H284" s="503"/>
      <c r="I284" s="503"/>
      <c r="J284" s="503"/>
      <c r="K284" s="503"/>
      <c r="L284" s="503"/>
      <c r="M284" s="503"/>
      <c r="N284" s="320">
        <v>1.0</v>
      </c>
      <c r="O284" s="508" t="s">
        <v>2933</v>
      </c>
      <c r="P284" s="506" t="s">
        <v>2934</v>
      </c>
      <c r="Q284" s="340">
        <v>3.0</v>
      </c>
      <c r="R284" s="453" t="s">
        <v>2440</v>
      </c>
    </row>
    <row r="285">
      <c r="A285" s="502" t="str">
        <f>HYPERLINK("http://en.uesp.net/wiki/Skyrim:Research_Log","Research Log")</f>
        <v>Research Log</v>
      </c>
      <c r="B285" s="63" t="s">
        <v>132</v>
      </c>
      <c r="C285" s="63" t="s">
        <v>132</v>
      </c>
      <c r="D285" s="63" t="s">
        <v>132</v>
      </c>
      <c r="E285" s="503"/>
      <c r="F285" s="503"/>
      <c r="G285" s="503"/>
      <c r="H285" s="503"/>
      <c r="I285" s="503"/>
      <c r="J285" s="503"/>
      <c r="K285" s="503"/>
      <c r="L285" s="503"/>
      <c r="M285" s="503"/>
      <c r="N285" s="320" t="s">
        <v>1524</v>
      </c>
      <c r="O285" s="508" t="s">
        <v>2935</v>
      </c>
      <c r="P285" s="506" t="s">
        <v>2936</v>
      </c>
      <c r="Q285" s="340">
        <v>5.0</v>
      </c>
      <c r="R285" s="453" t="s">
        <v>2654</v>
      </c>
    </row>
    <row r="286">
      <c r="A286" s="502" t="str">
        <f>HYPERLINK("http://en.uesp.net/wiki/Skyrim:Research_Notes","Research Notes")</f>
        <v>Research Notes</v>
      </c>
      <c r="B286" s="63" t="s">
        <v>132</v>
      </c>
      <c r="C286" s="63" t="s">
        <v>132</v>
      </c>
      <c r="D286" s="63" t="s">
        <v>132</v>
      </c>
      <c r="E286" s="503"/>
      <c r="F286" s="503"/>
      <c r="G286" s="503"/>
      <c r="H286" s="503"/>
      <c r="I286" s="503"/>
      <c r="J286" s="503"/>
      <c r="K286" s="503"/>
      <c r="L286" s="503"/>
      <c r="M286" s="503"/>
      <c r="N286" s="320" t="s">
        <v>1524</v>
      </c>
      <c r="O286" s="508" t="s">
        <v>2693</v>
      </c>
      <c r="P286" s="506" t="s">
        <v>2937</v>
      </c>
      <c r="Q286" s="340">
        <v>5.0</v>
      </c>
      <c r="R286" s="509" t="s">
        <v>2654</v>
      </c>
    </row>
    <row r="287">
      <c r="A287" s="502" t="str">
        <f>HYPERLINK("http://en.uesp.net/wiki/Skyrim:Response_to_Bero%27s_Speech","Response to Bero's Speech")</f>
        <v>Response to Bero's Speech</v>
      </c>
      <c r="B287" s="63" t="s">
        <v>132</v>
      </c>
      <c r="C287" s="63" t="s">
        <v>132</v>
      </c>
      <c r="D287" s="63" t="s">
        <v>132</v>
      </c>
      <c r="E287" s="503"/>
      <c r="F287" s="503"/>
      <c r="G287" s="503"/>
      <c r="H287" s="503"/>
      <c r="I287" s="503"/>
      <c r="J287" s="503"/>
      <c r="K287" s="503"/>
      <c r="L287" s="503"/>
      <c r="M287" s="503"/>
      <c r="N287" s="504" t="s">
        <v>1524</v>
      </c>
      <c r="O287" s="345" t="s">
        <v>2938</v>
      </c>
      <c r="P287" s="506" t="s">
        <v>2939</v>
      </c>
      <c r="Q287" s="340">
        <v>55.0</v>
      </c>
      <c r="R287" s="472" t="s">
        <v>2524</v>
      </c>
    </row>
    <row r="288">
      <c r="A288" s="502" t="str">
        <f>HYPERLINK("http://en.uesp.net/wiki/Skyrim:Riften_Home_Decorating_Guide","Riften Home Decorating Guide")</f>
        <v>Riften Home Decorating Guide</v>
      </c>
      <c r="B288" s="63" t="s">
        <v>132</v>
      </c>
      <c r="C288" s="63" t="s">
        <v>132</v>
      </c>
      <c r="D288" s="63" t="s">
        <v>132</v>
      </c>
      <c r="E288" s="503"/>
      <c r="F288" s="503"/>
      <c r="G288" s="503"/>
      <c r="H288" s="503"/>
      <c r="I288" s="503"/>
      <c r="J288" s="503"/>
      <c r="K288" s="503"/>
      <c r="L288" s="503"/>
      <c r="M288" s="503"/>
      <c r="N288" s="320" t="s">
        <v>1524</v>
      </c>
      <c r="O288" s="508" t="s">
        <v>2481</v>
      </c>
      <c r="P288" s="506" t="s">
        <v>2940</v>
      </c>
      <c r="Q288" s="340">
        <v>5.0</v>
      </c>
      <c r="R288" s="503" t="s">
        <v>2440</v>
      </c>
    </row>
    <row r="289">
      <c r="A289" s="502" t="str">
        <f>HYPERLINK("http://en.uesp.net/wiki/Skyrim:Rising_Threat,_Vol._I","Rising Threat, Vol. I")</f>
        <v>Rising Threat, Vol. I</v>
      </c>
      <c r="B289" s="63" t="s">
        <v>132</v>
      </c>
      <c r="C289" s="63" t="s">
        <v>132</v>
      </c>
      <c r="D289" s="63" t="s">
        <v>132</v>
      </c>
      <c r="E289" s="503"/>
      <c r="F289" s="503"/>
      <c r="G289" s="503"/>
      <c r="H289" s="503"/>
      <c r="I289" s="503"/>
      <c r="J289" s="503"/>
      <c r="K289" s="503"/>
      <c r="L289" s="503"/>
      <c r="M289" s="503"/>
      <c r="N289" s="320">
        <v>2.0</v>
      </c>
      <c r="O289" s="506" t="s">
        <v>2941</v>
      </c>
      <c r="P289" s="506" t="s">
        <v>2942</v>
      </c>
      <c r="Q289" s="340">
        <v>6.0</v>
      </c>
      <c r="R289" s="503" t="s">
        <v>2440</v>
      </c>
    </row>
    <row r="290">
      <c r="A290" s="502" t="str">
        <f>HYPERLINK("http://en.uesp.net/wiki/Skyrim:Rising_Threat,_Vol._II","Rising Threat, Vol. II")</f>
        <v>Rising Threat, Vol. II</v>
      </c>
      <c r="B290" s="63" t="s">
        <v>132</v>
      </c>
      <c r="C290" s="63" t="s">
        <v>132</v>
      </c>
      <c r="D290" s="63" t="s">
        <v>132</v>
      </c>
      <c r="E290" s="503"/>
      <c r="F290" s="503"/>
      <c r="G290" s="503"/>
      <c r="H290" s="503"/>
      <c r="I290" s="503"/>
      <c r="J290" s="503"/>
      <c r="K290" s="503"/>
      <c r="L290" s="503"/>
      <c r="M290" s="503"/>
      <c r="N290" s="320">
        <v>2.0</v>
      </c>
      <c r="O290" s="506" t="s">
        <v>2506</v>
      </c>
      <c r="P290" s="506" t="s">
        <v>2943</v>
      </c>
      <c r="Q290" s="340">
        <v>6.0</v>
      </c>
      <c r="R290" s="503" t="s">
        <v>2440</v>
      </c>
    </row>
    <row r="291">
      <c r="A291" s="502" t="str">
        <f>HYPERLINK("http://en.uesp.net/wiki/Skyrim:Rising_Threat,_Vol._III","Rising Threat, Vol. III")</f>
        <v>Rising Threat, Vol. III</v>
      </c>
      <c r="B291" s="63" t="s">
        <v>132</v>
      </c>
      <c r="C291" s="63" t="s">
        <v>132</v>
      </c>
      <c r="D291" s="63" t="s">
        <v>132</v>
      </c>
      <c r="E291" s="503"/>
      <c r="F291" s="503"/>
      <c r="G291" s="503"/>
      <c r="H291" s="503"/>
      <c r="I291" s="503"/>
      <c r="J291" s="503"/>
      <c r="K291" s="503"/>
      <c r="L291" s="503"/>
      <c r="M291" s="503"/>
      <c r="N291" s="320">
        <v>2.0</v>
      </c>
      <c r="O291" s="506" t="s">
        <v>2941</v>
      </c>
      <c r="P291" s="505" t="s">
        <v>2944</v>
      </c>
      <c r="Q291" s="340">
        <v>6.0</v>
      </c>
      <c r="R291" s="345" t="s">
        <v>2440</v>
      </c>
    </row>
    <row r="292">
      <c r="A292" s="502" t="str">
        <f>HYPERLINK("http://en.uesp.net/wiki/Skyrim:Rising_Threat,_Vol._IV","Rising Threat, Vol. IV")</f>
        <v>Rising Threat, Vol. IV</v>
      </c>
      <c r="B292" s="63" t="s">
        <v>132</v>
      </c>
      <c r="C292" s="63" t="s">
        <v>132</v>
      </c>
      <c r="D292" s="63" t="s">
        <v>132</v>
      </c>
      <c r="E292" s="503"/>
      <c r="F292" s="503"/>
      <c r="G292" s="503"/>
      <c r="H292" s="503"/>
      <c r="I292" s="503"/>
      <c r="J292" s="503"/>
      <c r="K292" s="503"/>
      <c r="L292" s="503"/>
      <c r="M292" s="503"/>
      <c r="N292" s="320">
        <v>2.0</v>
      </c>
      <c r="O292" s="506" t="s">
        <v>2941</v>
      </c>
      <c r="P292" s="506" t="s">
        <v>2945</v>
      </c>
      <c r="Q292" s="340">
        <v>6.0</v>
      </c>
      <c r="R292" s="345" t="s">
        <v>2440</v>
      </c>
    </row>
    <row r="293">
      <c r="A293" s="502" t="str">
        <f>HYPERLINK("http://en.uesp.net/wiki/Skyrim:Rislav_The_Righteous","Rislav The Righteous")</f>
        <v>Rislav The Righteous</v>
      </c>
      <c r="B293" s="63" t="s">
        <v>132</v>
      </c>
      <c r="C293" s="63" t="s">
        <v>132</v>
      </c>
      <c r="D293" s="63" t="s">
        <v>132</v>
      </c>
      <c r="E293" s="503"/>
      <c r="F293" s="503"/>
      <c r="G293" s="503"/>
      <c r="H293" s="503"/>
      <c r="I293" s="503"/>
      <c r="J293" s="503"/>
      <c r="K293" s="503"/>
      <c r="L293" s="503"/>
      <c r="M293" s="503"/>
      <c r="N293" s="320" t="s">
        <v>1524</v>
      </c>
      <c r="O293" s="508" t="s">
        <v>2946</v>
      </c>
      <c r="P293" s="506" t="s">
        <v>2947</v>
      </c>
      <c r="Q293" s="340">
        <v>50.0</v>
      </c>
      <c r="R293" s="472" t="s">
        <v>2776</v>
      </c>
    </row>
    <row r="294">
      <c r="A294" s="502" t="str">
        <f>HYPERLINK("http://en.uesp.net/wiki/Skyrim:Ruined_Trailbook","Ruined Trailbook")</f>
        <v>Ruined Trailbook</v>
      </c>
      <c r="B294" s="63" t="s">
        <v>132</v>
      </c>
      <c r="C294" s="63" t="s">
        <v>132</v>
      </c>
      <c r="D294" s="63" t="s">
        <v>132</v>
      </c>
      <c r="E294" s="503"/>
      <c r="F294" s="503"/>
      <c r="G294" s="503"/>
      <c r="H294" s="503"/>
      <c r="I294" s="503"/>
      <c r="J294" s="503"/>
      <c r="K294" s="503"/>
      <c r="L294" s="503"/>
      <c r="M294" s="503"/>
      <c r="N294" s="320" t="s">
        <v>1524</v>
      </c>
      <c r="O294" s="508" t="s">
        <v>2948</v>
      </c>
      <c r="P294" s="506" t="s">
        <v>2949</v>
      </c>
      <c r="Q294" s="340">
        <v>5.0</v>
      </c>
      <c r="R294" s="503" t="s">
        <v>2536</v>
      </c>
    </row>
    <row r="295">
      <c r="A295" s="502" t="str">
        <f>HYPERLINK("http://en.uesp.net/wiki/Skyrim:Ruins_of_Kemel-Ze","Ruins of Kemel-Ze")</f>
        <v>Ruins of Kemel-Ze</v>
      </c>
      <c r="B295" s="63" t="s">
        <v>132</v>
      </c>
      <c r="C295" s="63" t="s">
        <v>132</v>
      </c>
      <c r="D295" s="63" t="s">
        <v>132</v>
      </c>
      <c r="E295" s="503"/>
      <c r="F295" s="503"/>
      <c r="G295" s="503"/>
      <c r="H295" s="503"/>
      <c r="I295" s="503"/>
      <c r="J295" s="503"/>
      <c r="K295" s="503"/>
      <c r="L295" s="503"/>
      <c r="M295" s="503"/>
      <c r="N295" s="504">
        <v>2.0</v>
      </c>
      <c r="O295" s="345" t="s">
        <v>2950</v>
      </c>
      <c r="P295" s="506" t="s">
        <v>2951</v>
      </c>
      <c r="Q295" s="340">
        <v>7.0</v>
      </c>
      <c r="R295" s="503" t="s">
        <v>2440</v>
      </c>
    </row>
    <row r="296">
      <c r="A296" s="502" t="str">
        <f>HYPERLINK("http://en.uesp.net/wiki/Skyrim:Ruminations_on_the_Elder_Scrolls","Ruminations on the Elder Scrolls")</f>
        <v>Ruminations on the Elder Scrolls</v>
      </c>
      <c r="B296" s="63" t="s">
        <v>132</v>
      </c>
      <c r="C296" s="63" t="s">
        <v>132</v>
      </c>
      <c r="D296" s="63" t="s">
        <v>132</v>
      </c>
      <c r="E296" s="503"/>
      <c r="F296" s="503"/>
      <c r="G296" s="503"/>
      <c r="H296" s="503"/>
      <c r="I296" s="503"/>
      <c r="J296" s="503"/>
      <c r="K296" s="503"/>
      <c r="L296" s="503"/>
      <c r="M296" s="503"/>
      <c r="N296" s="320" t="s">
        <v>1524</v>
      </c>
      <c r="O296" s="508" t="s">
        <v>434</v>
      </c>
      <c r="P296" s="506" t="s">
        <v>2952</v>
      </c>
      <c r="Q296" s="340">
        <v>30.0</v>
      </c>
      <c r="R296" s="453" t="s">
        <v>2440</v>
      </c>
    </row>
    <row r="297">
      <c r="A297" s="502" t="str">
        <f>HYPERLINK("http://en.uesp.net/wiki/Skyrim:Sacred_Witness","Sacred Witness")</f>
        <v>Sacred Witness</v>
      </c>
      <c r="B297" s="63" t="s">
        <v>132</v>
      </c>
      <c r="C297" s="63" t="s">
        <v>132</v>
      </c>
      <c r="D297" s="63" t="s">
        <v>132</v>
      </c>
      <c r="E297" s="503"/>
      <c r="F297" s="503"/>
      <c r="G297" s="503"/>
      <c r="H297" s="503"/>
      <c r="I297" s="503"/>
      <c r="J297" s="503"/>
      <c r="K297" s="503"/>
      <c r="L297" s="503"/>
      <c r="M297" s="503"/>
      <c r="N297" s="504" t="s">
        <v>1524</v>
      </c>
      <c r="O297" s="345" t="s">
        <v>2953</v>
      </c>
      <c r="P297" s="505" t="s">
        <v>2954</v>
      </c>
      <c r="Q297" s="340">
        <v>75.0</v>
      </c>
      <c r="R297" s="509" t="s">
        <v>2492</v>
      </c>
    </row>
    <row r="298">
      <c r="A298" s="502" t="str">
        <f>HYPERLINK("https://en.uesp.net/wiki/Skyrim:Saden's_Journal", "Saden's Journal (DB)")</f>
        <v>Saden's Journal (DB)</v>
      </c>
      <c r="B298" s="63" t="s">
        <v>132</v>
      </c>
      <c r="C298" s="63" t="s">
        <v>132</v>
      </c>
      <c r="D298" s="63" t="s">
        <v>132</v>
      </c>
      <c r="E298" s="503"/>
      <c r="F298" s="503"/>
      <c r="G298" s="503"/>
      <c r="H298" s="503"/>
      <c r="I298" s="503"/>
      <c r="J298" s="503"/>
      <c r="K298" s="503"/>
      <c r="L298" s="503"/>
      <c r="M298" s="503"/>
      <c r="N298" s="504" t="s">
        <v>1524</v>
      </c>
      <c r="O298" s="505" t="s">
        <v>2955</v>
      </c>
      <c r="P298" s="514" t="s">
        <v>2956</v>
      </c>
      <c r="Q298" s="340">
        <v>1.0</v>
      </c>
      <c r="R298" s="503" t="s">
        <v>2536</v>
      </c>
    </row>
    <row r="299">
      <c r="A299" s="502" t="str">
        <f>HYPERLINK("http://en.uesp.net/wiki/Skyrim:Saint_Jiub%27s_Opus","Saint Jiub's Opus (DG)")</f>
        <v>Saint Jiub's Opus (DG)</v>
      </c>
      <c r="B299" s="63" t="s">
        <v>132</v>
      </c>
      <c r="C299" s="63" t="s">
        <v>132</v>
      </c>
      <c r="D299" s="63" t="s">
        <v>132</v>
      </c>
      <c r="E299" s="503"/>
      <c r="F299" s="503"/>
      <c r="G299" s="503"/>
      <c r="H299" s="503"/>
      <c r="I299" s="503"/>
      <c r="J299" s="503"/>
      <c r="K299" s="503"/>
      <c r="L299" s="503"/>
      <c r="M299" s="503"/>
      <c r="N299" s="504" t="s">
        <v>1524</v>
      </c>
      <c r="O299" s="345" t="s">
        <v>2957</v>
      </c>
      <c r="P299" s="505" t="s">
        <v>2958</v>
      </c>
      <c r="Q299" s="340">
        <v>1250.0</v>
      </c>
      <c r="R299" s="503" t="s">
        <v>2440</v>
      </c>
    </row>
    <row r="300">
      <c r="A300" s="502" t="str">
        <f>HYPERLINK("http://en.uesp.net/wiki/Skyrim:Scourge_of_the_Gray_Quarter","Scourge of the Gray Quarter")</f>
        <v>Scourge of the Gray Quarter</v>
      </c>
      <c r="B300" s="63" t="s">
        <v>132</v>
      </c>
      <c r="C300" s="63" t="s">
        <v>132</v>
      </c>
      <c r="D300" s="63" t="s">
        <v>132</v>
      </c>
      <c r="E300" s="503"/>
      <c r="F300" s="503"/>
      <c r="G300" s="503"/>
      <c r="H300" s="503"/>
      <c r="I300" s="503"/>
      <c r="J300" s="503"/>
      <c r="K300" s="503"/>
      <c r="L300" s="503"/>
      <c r="M300" s="503"/>
      <c r="N300" s="320">
        <v>2.0</v>
      </c>
      <c r="O300" s="508" t="s">
        <v>2959</v>
      </c>
      <c r="P300" s="506" t="s">
        <v>2960</v>
      </c>
      <c r="Q300" s="340">
        <v>8.0</v>
      </c>
      <c r="R300" s="453" t="s">
        <v>2440</v>
      </c>
    </row>
    <row r="301">
      <c r="A301" s="502" t="str">
        <f>HYPERLINK("https://en.uesp.net/wiki/Skyrim:Servos's_Journal", "Servos's Journal (DB)")</f>
        <v>Servos's Journal (DB)</v>
      </c>
      <c r="B301" s="63" t="s">
        <v>132</v>
      </c>
      <c r="C301" s="63" t="s">
        <v>132</v>
      </c>
      <c r="D301" s="63" t="s">
        <v>132</v>
      </c>
      <c r="E301" s="503"/>
      <c r="F301" s="503"/>
      <c r="G301" s="503"/>
      <c r="H301" s="503"/>
      <c r="I301" s="503"/>
      <c r="J301" s="503"/>
      <c r="K301" s="503"/>
      <c r="L301" s="503"/>
      <c r="M301" s="503"/>
      <c r="N301" s="504" t="s">
        <v>1524</v>
      </c>
      <c r="O301" s="505" t="s">
        <v>2961</v>
      </c>
      <c r="P301" s="514" t="s">
        <v>2962</v>
      </c>
      <c r="Q301" s="340">
        <v>5.0</v>
      </c>
      <c r="R301" s="503" t="s">
        <v>2536</v>
      </c>
    </row>
    <row r="302">
      <c r="A302" s="502" t="str">
        <f>HYPERLINK("http://en.uesp.net/wiki/Skyrim:Shadowmarks_(book)","Shadowmarks")</f>
        <v>Shadowmarks</v>
      </c>
      <c r="B302" s="63" t="s">
        <v>132</v>
      </c>
      <c r="C302" s="63" t="s">
        <v>132</v>
      </c>
      <c r="D302" s="63" t="s">
        <v>132</v>
      </c>
      <c r="E302" s="503"/>
      <c r="F302" s="503"/>
      <c r="G302" s="503"/>
      <c r="H302" s="503"/>
      <c r="I302" s="503"/>
      <c r="J302" s="503"/>
      <c r="K302" s="503"/>
      <c r="L302" s="503"/>
      <c r="M302" s="503"/>
      <c r="N302" s="320" t="s">
        <v>1524</v>
      </c>
      <c r="O302" s="506" t="s">
        <v>2963</v>
      </c>
      <c r="P302" s="506" t="s">
        <v>2964</v>
      </c>
      <c r="Q302" s="340">
        <v>30.0</v>
      </c>
      <c r="R302" s="503" t="s">
        <v>2440</v>
      </c>
    </row>
    <row r="303">
      <c r="A303" s="502" t="str">
        <f>HYPERLINK("http://en.uesp.net/wiki/Skyrim:Shezarr_and_the_Divines","Shezarr and the Divines")</f>
        <v>Shezarr and the Divines</v>
      </c>
      <c r="B303" s="63" t="s">
        <v>132</v>
      </c>
      <c r="C303" s="63" t="s">
        <v>132</v>
      </c>
      <c r="D303" s="63" t="s">
        <v>132</v>
      </c>
      <c r="E303" s="503"/>
      <c r="F303" s="503"/>
      <c r="G303" s="503"/>
      <c r="H303" s="503"/>
      <c r="I303" s="503"/>
      <c r="J303" s="503"/>
      <c r="K303" s="503"/>
      <c r="L303" s="503"/>
      <c r="M303" s="503"/>
      <c r="N303" s="504">
        <v>3.0</v>
      </c>
      <c r="O303" s="505" t="s">
        <v>2965</v>
      </c>
      <c r="P303" s="505" t="s">
        <v>2966</v>
      </c>
      <c r="Q303" s="340">
        <v>11.0</v>
      </c>
      <c r="R303" s="345" t="s">
        <v>2440</v>
      </c>
    </row>
    <row r="304">
      <c r="A304" s="502" t="str">
        <f>HYPERLINK("http://en.uesp.net/wiki/Skyrim:Short_History_of_Morrowind","Short History of Morrowind")</f>
        <v>Short History of Morrowind</v>
      </c>
      <c r="B304" s="63" t="s">
        <v>132</v>
      </c>
      <c r="C304" s="63" t="s">
        <v>132</v>
      </c>
      <c r="D304" s="63" t="s">
        <v>132</v>
      </c>
      <c r="E304" s="503"/>
      <c r="F304" s="503"/>
      <c r="G304" s="503"/>
      <c r="H304" s="503"/>
      <c r="I304" s="503"/>
      <c r="J304" s="503"/>
      <c r="K304" s="503"/>
      <c r="L304" s="503"/>
      <c r="M304" s="503"/>
      <c r="N304" s="504">
        <v>3.0</v>
      </c>
      <c r="O304" s="345" t="s">
        <v>2967</v>
      </c>
      <c r="P304" s="505" t="s">
        <v>2968</v>
      </c>
      <c r="Q304" s="340">
        <v>15.0</v>
      </c>
      <c r="R304" s="503" t="s">
        <v>2440</v>
      </c>
    </row>
    <row r="305">
      <c r="A305" s="502" t="str">
        <f>HYPERLINK("http://en.uesp.net/wiki/Skyrim:Sild%27s_Journal","Sild's Journal")</f>
        <v>Sild's Journal</v>
      </c>
      <c r="B305" s="63" t="s">
        <v>132</v>
      </c>
      <c r="C305" s="63" t="s">
        <v>132</v>
      </c>
      <c r="D305" s="63" t="s">
        <v>132</v>
      </c>
      <c r="E305" s="503"/>
      <c r="F305" s="503"/>
      <c r="G305" s="503"/>
      <c r="H305" s="503"/>
      <c r="I305" s="503"/>
      <c r="J305" s="503"/>
      <c r="K305" s="503"/>
      <c r="L305" s="503"/>
      <c r="M305" s="503"/>
      <c r="N305" s="320" t="s">
        <v>1524</v>
      </c>
      <c r="O305" s="506" t="s">
        <v>2969</v>
      </c>
      <c r="P305" s="505" t="s">
        <v>2970</v>
      </c>
      <c r="Q305" s="340">
        <v>5.0</v>
      </c>
      <c r="R305" s="503" t="s">
        <v>2536</v>
      </c>
    </row>
    <row r="306">
      <c r="A306" s="502" t="str">
        <f>HYPERLINK("http://en.uesp.net/wiki/Skyrim:Sinderion%27s_Field_Journal","Sinderion's Field Journal")</f>
        <v>Sinderion's Field Journal</v>
      </c>
      <c r="B306" s="63" t="s">
        <v>132</v>
      </c>
      <c r="C306" s="63" t="s">
        <v>132</v>
      </c>
      <c r="D306" s="63" t="s">
        <v>132</v>
      </c>
      <c r="E306" s="503"/>
      <c r="F306" s="503"/>
      <c r="G306" s="503"/>
      <c r="H306" s="503"/>
      <c r="I306" s="503"/>
      <c r="J306" s="503"/>
      <c r="K306" s="503"/>
      <c r="L306" s="503"/>
      <c r="M306" s="503"/>
      <c r="N306" s="504" t="s">
        <v>1524</v>
      </c>
      <c r="O306" s="505" t="s">
        <v>2971</v>
      </c>
      <c r="P306" s="506" t="s">
        <v>2972</v>
      </c>
      <c r="Q306" s="340">
        <v>30.0</v>
      </c>
      <c r="R306" s="503" t="s">
        <v>2536</v>
      </c>
    </row>
    <row r="307">
      <c r="A307" s="502" t="str">
        <f>HYPERLINK("http://en.uesp.net/wiki/Skyrim:Sithis","Sithis")</f>
        <v>Sithis</v>
      </c>
      <c r="B307" s="63" t="s">
        <v>132</v>
      </c>
      <c r="C307" s="63" t="s">
        <v>132</v>
      </c>
      <c r="D307" s="63" t="s">
        <v>132</v>
      </c>
      <c r="E307" s="503"/>
      <c r="F307" s="503"/>
      <c r="G307" s="503"/>
      <c r="H307" s="503"/>
      <c r="I307" s="503"/>
      <c r="J307" s="503"/>
      <c r="K307" s="503"/>
      <c r="L307" s="503"/>
      <c r="M307" s="503"/>
      <c r="N307" s="320" t="s">
        <v>1524</v>
      </c>
      <c r="O307" s="508" t="s">
        <v>2481</v>
      </c>
      <c r="P307" s="505" t="s">
        <v>2973</v>
      </c>
      <c r="Q307" s="340">
        <v>60.0</v>
      </c>
      <c r="R307" s="472" t="s">
        <v>2602</v>
      </c>
    </row>
    <row r="308">
      <c r="A308" s="502" t="str">
        <f>HYPERLINK("http://en.uesp.net/wiki/Skyrim:Skorm_Snow-Strider%27s_Journal","Skorm Snow-Strider's Journal")</f>
        <v>Skorm Snow-Strider's Journal</v>
      </c>
      <c r="B308" s="63" t="s">
        <v>132</v>
      </c>
      <c r="C308" s="63" t="s">
        <v>132</v>
      </c>
      <c r="D308" s="63" t="s">
        <v>132</v>
      </c>
      <c r="E308" s="503"/>
      <c r="F308" s="503"/>
      <c r="G308" s="503"/>
      <c r="H308" s="503"/>
      <c r="I308" s="503"/>
      <c r="J308" s="503"/>
      <c r="K308" s="503"/>
      <c r="L308" s="503"/>
      <c r="M308" s="503"/>
      <c r="N308" s="320" t="s">
        <v>1524</v>
      </c>
      <c r="O308" s="506" t="s">
        <v>2974</v>
      </c>
      <c r="P308" s="506" t="s">
        <v>2975</v>
      </c>
      <c r="Q308" s="340">
        <v>5.0</v>
      </c>
      <c r="R308" s="453" t="s">
        <v>2536</v>
      </c>
    </row>
    <row r="309">
      <c r="A309" s="502" t="str">
        <f>HYPERLINK("http://en.uesp.net/wiki/Skyrim:Skyrim%27s_Rule","Skyrim's Rule")</f>
        <v>Skyrim's Rule</v>
      </c>
      <c r="B309" s="63" t="s">
        <v>132</v>
      </c>
      <c r="C309" s="63" t="s">
        <v>132</v>
      </c>
      <c r="D309" s="63" t="s">
        <v>132</v>
      </c>
      <c r="E309" s="503"/>
      <c r="F309" s="503"/>
      <c r="G309" s="503"/>
      <c r="H309" s="503"/>
      <c r="I309" s="503"/>
      <c r="J309" s="503"/>
      <c r="K309" s="503"/>
      <c r="L309" s="503"/>
      <c r="M309" s="503"/>
      <c r="N309" s="320">
        <v>3.0</v>
      </c>
      <c r="O309" s="508" t="s">
        <v>2976</v>
      </c>
      <c r="P309" s="506" t="s">
        <v>2977</v>
      </c>
      <c r="Q309" s="340">
        <v>14.0</v>
      </c>
      <c r="R309" s="503" t="s">
        <v>2440</v>
      </c>
    </row>
    <row r="310">
      <c r="A310" s="502" t="str">
        <f>HYPERLINK("http://en.uesp.net/wiki/Skyrim:Smuggler%27s_Journal","Smuggler's Journal")</f>
        <v>Smuggler's Journal</v>
      </c>
      <c r="B310" s="63" t="s">
        <v>132</v>
      </c>
      <c r="C310" s="63" t="s">
        <v>132</v>
      </c>
      <c r="D310" s="63" t="s">
        <v>132</v>
      </c>
      <c r="E310" s="503"/>
      <c r="F310" s="503"/>
      <c r="G310" s="503"/>
      <c r="H310" s="503"/>
      <c r="I310" s="503"/>
      <c r="J310" s="503"/>
      <c r="K310" s="503"/>
      <c r="L310" s="503"/>
      <c r="M310" s="503"/>
      <c r="N310" s="504" t="s">
        <v>1524</v>
      </c>
      <c r="O310" s="345" t="s">
        <v>2978</v>
      </c>
      <c r="P310" s="506" t="s">
        <v>2979</v>
      </c>
      <c r="Q310" s="340">
        <v>5.0</v>
      </c>
      <c r="R310" s="503" t="s">
        <v>2536</v>
      </c>
    </row>
    <row r="311">
      <c r="A311" s="502" t="str">
        <f>HYPERLINK("http://en.uesp.net/wiki/Skyrim:Solitude_Home_Decorating_Guide","Solitude Home Decorating Guide")</f>
        <v>Solitude Home Decorating Guide</v>
      </c>
      <c r="B311" s="63" t="s">
        <v>132</v>
      </c>
      <c r="C311" s="63" t="s">
        <v>132</v>
      </c>
      <c r="D311" s="63" t="s">
        <v>132</v>
      </c>
      <c r="E311" s="503"/>
      <c r="F311" s="503"/>
      <c r="G311" s="503"/>
      <c r="H311" s="503"/>
      <c r="I311" s="503"/>
      <c r="J311" s="503"/>
      <c r="K311" s="503"/>
      <c r="L311" s="503"/>
      <c r="M311" s="503"/>
      <c r="N311" s="504" t="s">
        <v>1524</v>
      </c>
      <c r="O311" s="345" t="s">
        <v>2481</v>
      </c>
      <c r="P311" s="506" t="s">
        <v>2980</v>
      </c>
      <c r="Q311" s="340">
        <v>5.0</v>
      </c>
      <c r="R311" s="503" t="s">
        <v>2440</v>
      </c>
    </row>
    <row r="312">
      <c r="A312" s="502" t="str">
        <f>HYPERLINK("http://en.uesp.net/wiki/Skyrim:Song_Of_Hrormir","Song Of Hrormir")</f>
        <v>Song Of Hrormir</v>
      </c>
      <c r="B312" s="63" t="s">
        <v>132</v>
      </c>
      <c r="C312" s="63" t="s">
        <v>132</v>
      </c>
      <c r="D312" s="63" t="s">
        <v>132</v>
      </c>
      <c r="E312" s="503"/>
      <c r="F312" s="503"/>
      <c r="G312" s="503"/>
      <c r="H312" s="503"/>
      <c r="I312" s="503"/>
      <c r="J312" s="503"/>
      <c r="K312" s="503"/>
      <c r="L312" s="503"/>
      <c r="M312" s="503"/>
      <c r="N312" s="320" t="s">
        <v>1524</v>
      </c>
      <c r="O312" s="508" t="s">
        <v>2481</v>
      </c>
      <c r="P312" s="506" t="s">
        <v>2981</v>
      </c>
      <c r="Q312" s="340">
        <v>50.0</v>
      </c>
      <c r="R312" s="472" t="s">
        <v>2583</v>
      </c>
    </row>
    <row r="313">
      <c r="A313" s="502" t="str">
        <f>HYPERLINK("http://en.uesp.net/wiki/Skyrim:Song_of_the_Alchemists","Song of the Alchemists")</f>
        <v>Song of the Alchemists</v>
      </c>
      <c r="B313" s="63" t="s">
        <v>132</v>
      </c>
      <c r="C313" s="63" t="s">
        <v>132</v>
      </c>
      <c r="D313" s="63" t="s">
        <v>132</v>
      </c>
      <c r="E313" s="503"/>
      <c r="F313" s="503"/>
      <c r="G313" s="503"/>
      <c r="H313" s="503"/>
      <c r="I313" s="503"/>
      <c r="J313" s="503"/>
      <c r="K313" s="503"/>
      <c r="L313" s="503"/>
      <c r="M313" s="503"/>
      <c r="N313" s="320" t="s">
        <v>1524</v>
      </c>
      <c r="O313" s="508" t="s">
        <v>2574</v>
      </c>
      <c r="P313" s="506" t="s">
        <v>2982</v>
      </c>
      <c r="Q313" s="340">
        <v>55.0</v>
      </c>
      <c r="R313" s="472" t="s">
        <v>2519</v>
      </c>
    </row>
    <row r="314">
      <c r="A314" s="502" t="str">
        <f>HYPERLINK("http://en.uesp.net/wiki/Skyrim:Song_of_the_Askelde_Men","Song of the Askelde Men")</f>
        <v>Song of the Askelde Men</v>
      </c>
      <c r="B314" s="63" t="s">
        <v>132</v>
      </c>
      <c r="C314" s="63" t="s">
        <v>132</v>
      </c>
      <c r="D314" s="63" t="s">
        <v>132</v>
      </c>
      <c r="E314" s="503"/>
      <c r="F314" s="503"/>
      <c r="G314" s="503"/>
      <c r="H314" s="503"/>
      <c r="I314" s="503"/>
      <c r="J314" s="503"/>
      <c r="K314" s="503"/>
      <c r="L314" s="503"/>
      <c r="M314" s="503"/>
      <c r="N314" s="320">
        <v>2.0</v>
      </c>
      <c r="O314" s="508" t="s">
        <v>2481</v>
      </c>
      <c r="P314" s="506" t="s">
        <v>2983</v>
      </c>
      <c r="Q314" s="340">
        <v>5.0</v>
      </c>
      <c r="R314" s="453" t="s">
        <v>2440</v>
      </c>
    </row>
    <row r="315">
      <c r="A315" s="502" t="str">
        <f>HYPERLINK("http://en.uesp.net/wiki/Skyrim:Songs_of_Skyrim","Songs of Skyrim")</f>
        <v>Songs of Skyrim</v>
      </c>
      <c r="B315" s="63" t="s">
        <v>132</v>
      </c>
      <c r="C315" s="63" t="s">
        <v>132</v>
      </c>
      <c r="D315" s="63" t="s">
        <v>132</v>
      </c>
      <c r="E315" s="503"/>
      <c r="F315" s="503"/>
      <c r="G315" s="503"/>
      <c r="H315" s="503"/>
      <c r="I315" s="503"/>
      <c r="J315" s="503"/>
      <c r="K315" s="503"/>
      <c r="L315" s="503"/>
      <c r="M315" s="503"/>
      <c r="N315" s="320">
        <v>3.0</v>
      </c>
      <c r="O315" s="508" t="s">
        <v>2984</v>
      </c>
      <c r="P315" s="506" t="s">
        <v>2985</v>
      </c>
      <c r="Q315" s="340">
        <v>10.0</v>
      </c>
      <c r="R315" s="453" t="s">
        <v>2440</v>
      </c>
    </row>
    <row r="316">
      <c r="A316" s="502" t="str">
        <f>HYPERLINK("http://en.uesp.net/wiki/Skyrim:Songs_of_Skyrim:_Revised","Songs of Skyrim: Revised")</f>
        <v>Songs of Skyrim: Revised</v>
      </c>
      <c r="B316" s="63" t="s">
        <v>132</v>
      </c>
      <c r="C316" s="63" t="s">
        <v>132</v>
      </c>
      <c r="D316" s="63" t="s">
        <v>132</v>
      </c>
      <c r="E316" s="503"/>
      <c r="F316" s="503"/>
      <c r="G316" s="503"/>
      <c r="H316" s="503"/>
      <c r="I316" s="503"/>
      <c r="J316" s="503"/>
      <c r="K316" s="503"/>
      <c r="L316" s="503"/>
      <c r="M316" s="503"/>
      <c r="N316" s="320">
        <v>3.0</v>
      </c>
      <c r="O316" s="508" t="s">
        <v>2984</v>
      </c>
      <c r="P316" s="506" t="s">
        <v>2986</v>
      </c>
      <c r="Q316" s="340">
        <v>14.0</v>
      </c>
      <c r="R316" s="503" t="s">
        <v>2440</v>
      </c>
    </row>
    <row r="317">
      <c r="A317" s="502" t="str">
        <f>HYPERLINK("http://en.uesp.net/wiki/Skyrim:Songs_of_the_Return,_Vol_19","Songs of the Return, Vol 19")</f>
        <v>Songs of the Return, Vol 19</v>
      </c>
      <c r="B317" s="63" t="s">
        <v>132</v>
      </c>
      <c r="C317" s="63" t="s">
        <v>132</v>
      </c>
      <c r="D317" s="63" t="s">
        <v>132</v>
      </c>
      <c r="E317" s="503"/>
      <c r="F317" s="503"/>
      <c r="G317" s="503"/>
      <c r="H317" s="503"/>
      <c r="I317" s="503"/>
      <c r="J317" s="503"/>
      <c r="K317" s="503"/>
      <c r="L317" s="503"/>
      <c r="M317" s="503"/>
      <c r="N317" s="320">
        <v>0.0</v>
      </c>
      <c r="O317" s="508" t="s">
        <v>2481</v>
      </c>
      <c r="P317" s="506" t="s">
        <v>2987</v>
      </c>
      <c r="Q317" s="340">
        <v>6.0</v>
      </c>
      <c r="R317" s="503" t="s">
        <v>2440</v>
      </c>
    </row>
    <row r="318">
      <c r="A318" s="502" t="str">
        <f>HYPERLINK("http://en.uesp.net/wiki/Skyrim:Songs_of_the_Return,_Vol_2","Songs of the Return, Vol 2")</f>
        <v>Songs of the Return, Vol 2</v>
      </c>
      <c r="B318" s="63" t="s">
        <v>132</v>
      </c>
      <c r="C318" s="63" t="s">
        <v>132</v>
      </c>
      <c r="D318" s="63" t="s">
        <v>132</v>
      </c>
      <c r="E318" s="503"/>
      <c r="F318" s="503"/>
      <c r="G318" s="503"/>
      <c r="H318" s="503"/>
      <c r="I318" s="503"/>
      <c r="J318" s="503"/>
      <c r="K318" s="503"/>
      <c r="L318" s="503"/>
      <c r="M318" s="503"/>
      <c r="N318" s="320">
        <v>2.0</v>
      </c>
      <c r="O318" s="508" t="s">
        <v>2481</v>
      </c>
      <c r="P318" s="506" t="s">
        <v>2988</v>
      </c>
      <c r="Q318" s="340">
        <v>6.0</v>
      </c>
      <c r="R318" s="503" t="s">
        <v>2440</v>
      </c>
    </row>
    <row r="319">
      <c r="A319" s="502" t="str">
        <f>HYPERLINK("http://en.uesp.net/wiki/Skyrim:Songs_of_the_Return,_vol_24","Songs of the Return, vol 24")</f>
        <v>Songs of the Return, vol 24</v>
      </c>
      <c r="B319" s="63" t="s">
        <v>132</v>
      </c>
      <c r="C319" s="63" t="s">
        <v>132</v>
      </c>
      <c r="D319" s="63" t="s">
        <v>132</v>
      </c>
      <c r="E319" s="503"/>
      <c r="F319" s="503"/>
      <c r="G319" s="503"/>
      <c r="H319" s="503"/>
      <c r="I319" s="503"/>
      <c r="J319" s="503"/>
      <c r="K319" s="503"/>
      <c r="L319" s="503"/>
      <c r="M319" s="503"/>
      <c r="N319" s="320">
        <v>4.0</v>
      </c>
      <c r="O319" s="508" t="s">
        <v>2481</v>
      </c>
      <c r="P319" s="506" t="s">
        <v>2989</v>
      </c>
      <c r="Q319" s="340">
        <v>30.0</v>
      </c>
      <c r="R319" s="503" t="s">
        <v>2440</v>
      </c>
    </row>
    <row r="320">
      <c r="A320" s="502" t="str">
        <f>HYPERLINK("http://en.uesp.net/wiki/Skyrim:Songs_of_the_Return,_Vol_56","Songs of the Return, Vol 56")</f>
        <v>Songs of the Return, Vol 56</v>
      </c>
      <c r="B320" s="63" t="s">
        <v>132</v>
      </c>
      <c r="C320" s="63" t="s">
        <v>132</v>
      </c>
      <c r="D320" s="63" t="s">
        <v>132</v>
      </c>
      <c r="E320" s="503"/>
      <c r="F320" s="503"/>
      <c r="G320" s="503"/>
      <c r="H320" s="503"/>
      <c r="I320" s="503"/>
      <c r="J320" s="503"/>
      <c r="K320" s="503"/>
      <c r="L320" s="503"/>
      <c r="M320" s="503"/>
      <c r="N320" s="320">
        <v>2.0</v>
      </c>
      <c r="O320" s="508" t="s">
        <v>2481</v>
      </c>
      <c r="P320" s="506" t="s">
        <v>2990</v>
      </c>
      <c r="Q320" s="340">
        <v>6.0</v>
      </c>
      <c r="R320" s="503" t="s">
        <v>2440</v>
      </c>
    </row>
    <row r="321">
      <c r="A321" s="502" t="str">
        <f>HYPERLINK("http://en.uesp.net/wiki/Skyrim:Songs_of_the_Return,_Vol_7","Songs of the Return, Vol 7")</f>
        <v>Songs of the Return, Vol 7</v>
      </c>
      <c r="B321" s="63" t="s">
        <v>132</v>
      </c>
      <c r="C321" s="63" t="s">
        <v>132</v>
      </c>
      <c r="D321" s="63" t="s">
        <v>132</v>
      </c>
      <c r="E321" s="503"/>
      <c r="F321" s="503"/>
      <c r="G321" s="503"/>
      <c r="H321" s="503"/>
      <c r="I321" s="503"/>
      <c r="J321" s="503"/>
      <c r="K321" s="503"/>
      <c r="L321" s="503"/>
      <c r="M321" s="503"/>
      <c r="N321" s="320">
        <v>2.0</v>
      </c>
      <c r="O321" s="508" t="s">
        <v>2481</v>
      </c>
      <c r="P321" s="506" t="s">
        <v>2991</v>
      </c>
      <c r="Q321" s="340">
        <v>6.0</v>
      </c>
      <c r="R321" s="453" t="s">
        <v>2440</v>
      </c>
    </row>
    <row r="322">
      <c r="A322" s="502" t="str">
        <f>HYPERLINK("http://en.uesp.net/wiki/Skyrim:Souls,_Black_and_White","Souls, Black and White")</f>
        <v>Souls, Black and White</v>
      </c>
      <c r="B322" s="63" t="s">
        <v>132</v>
      </c>
      <c r="C322" s="63" t="s">
        <v>132</v>
      </c>
      <c r="D322" s="63" t="s">
        <v>132</v>
      </c>
      <c r="E322" s="503"/>
      <c r="F322" s="503"/>
      <c r="G322" s="503"/>
      <c r="H322" s="503"/>
      <c r="I322" s="503"/>
      <c r="J322" s="503"/>
      <c r="K322" s="503"/>
      <c r="L322" s="503"/>
      <c r="M322" s="503"/>
      <c r="N322" s="320">
        <v>4.0</v>
      </c>
      <c r="O322" s="508" t="s">
        <v>2992</v>
      </c>
      <c r="P322" s="506" t="s">
        <v>2993</v>
      </c>
      <c r="Q322" s="340">
        <v>20.0</v>
      </c>
      <c r="R322" s="453" t="s">
        <v>2440</v>
      </c>
    </row>
    <row r="323">
      <c r="A323" s="502" t="str">
        <f>HYPERLINK("http://en.uesp.net/wiki/Skyrim:Sovngarde:_A_Reexamination","Sovngarde: A Reexamination")</f>
        <v>Sovngarde: A Reexamination</v>
      </c>
      <c r="B323" s="63" t="s">
        <v>132</v>
      </c>
      <c r="C323" s="63" t="s">
        <v>132</v>
      </c>
      <c r="D323" s="63" t="s">
        <v>132</v>
      </c>
      <c r="E323" s="503"/>
      <c r="F323" s="503"/>
      <c r="G323" s="503"/>
      <c r="H323" s="503"/>
      <c r="I323" s="503"/>
      <c r="J323" s="503"/>
      <c r="K323" s="503"/>
      <c r="L323" s="503"/>
      <c r="M323" s="503"/>
      <c r="N323" s="320">
        <v>3.0</v>
      </c>
      <c r="O323" s="508" t="s">
        <v>2994</v>
      </c>
      <c r="P323" s="506" t="s">
        <v>2995</v>
      </c>
      <c r="Q323" s="340">
        <v>12.0</v>
      </c>
      <c r="R323" s="503" t="s">
        <v>2440</v>
      </c>
    </row>
    <row r="324">
      <c r="A324" s="502" t="str">
        <f>HYPERLINK("https://en.uesp.net/wiki/Skyrim:Spider_Experiment_Notes", "Spider Experiment Notes (DB)")</f>
        <v>Spider Experiment Notes (DB)</v>
      </c>
      <c r="B324" s="63" t="s">
        <v>132</v>
      </c>
      <c r="C324" s="63" t="s">
        <v>132</v>
      </c>
      <c r="D324" s="63" t="s">
        <v>132</v>
      </c>
      <c r="E324" s="503"/>
      <c r="F324" s="503"/>
      <c r="G324" s="503"/>
      <c r="H324" s="503"/>
      <c r="I324" s="503"/>
      <c r="J324" s="503"/>
      <c r="K324" s="503"/>
      <c r="L324" s="503"/>
      <c r="M324" s="503"/>
      <c r="N324" s="320" t="s">
        <v>1524</v>
      </c>
      <c r="O324" s="514" t="s">
        <v>2961</v>
      </c>
      <c r="P324" s="514" t="s">
        <v>2996</v>
      </c>
      <c r="Q324" s="340">
        <v>5.0</v>
      </c>
      <c r="R324" s="345" t="s">
        <v>2440</v>
      </c>
    </row>
    <row r="325">
      <c r="A325" s="502" t="str">
        <f>HYPERLINK("http://en.uesp.net/wiki/Skyrim:Spirit_of_Nirn","Spirit of Nirn")</f>
        <v>Spirit of Nirn</v>
      </c>
      <c r="B325" s="63" t="s">
        <v>132</v>
      </c>
      <c r="C325" s="63" t="s">
        <v>132</v>
      </c>
      <c r="D325" s="63" t="s">
        <v>132</v>
      </c>
      <c r="E325" s="503"/>
      <c r="F325" s="503"/>
      <c r="G325" s="503"/>
      <c r="H325" s="503"/>
      <c r="I325" s="503"/>
      <c r="J325" s="503"/>
      <c r="K325" s="503"/>
      <c r="L325" s="503"/>
      <c r="M325" s="503"/>
      <c r="N325" s="320">
        <v>2.0</v>
      </c>
      <c r="O325" s="508" t="s">
        <v>2481</v>
      </c>
      <c r="P325" s="506" t="s">
        <v>2997</v>
      </c>
      <c r="Q325" s="340">
        <v>6.0</v>
      </c>
      <c r="R325" s="503" t="s">
        <v>2440</v>
      </c>
    </row>
    <row r="326">
      <c r="A326" s="502" t="str">
        <f>HYPERLINK("http://en.uesp.net/wiki/Skyrim:Spirit_of_the_Daedra","Spirit of the Daedra")</f>
        <v>Spirit of the Daedra</v>
      </c>
      <c r="B326" s="63" t="s">
        <v>132</v>
      </c>
      <c r="C326" s="63" t="s">
        <v>132</v>
      </c>
      <c r="D326" s="63" t="s">
        <v>132</v>
      </c>
      <c r="E326" s="503"/>
      <c r="F326" s="503"/>
      <c r="G326" s="503"/>
      <c r="H326" s="503"/>
      <c r="I326" s="503"/>
      <c r="J326" s="503"/>
      <c r="K326" s="503"/>
      <c r="L326" s="503"/>
      <c r="M326" s="503"/>
      <c r="N326" s="504">
        <v>4.0</v>
      </c>
      <c r="O326" s="345" t="s">
        <v>2481</v>
      </c>
      <c r="P326" s="506" t="s">
        <v>2998</v>
      </c>
      <c r="Q326" s="340">
        <v>25.0</v>
      </c>
      <c r="R326" s="503" t="s">
        <v>2440</v>
      </c>
    </row>
    <row r="327">
      <c r="A327" s="502" t="str">
        <f>HYPERLINK("http://en.uesp.net/wiki/Skyrim:Staubin%27s_Diary","Staubin's Diary")</f>
        <v>Staubin's Diary</v>
      </c>
      <c r="B327" s="63" t="s">
        <v>132</v>
      </c>
      <c r="C327" s="63" t="s">
        <v>132</v>
      </c>
      <c r="D327" s="63" t="s">
        <v>132</v>
      </c>
      <c r="E327" s="503"/>
      <c r="F327" s="503"/>
      <c r="G327" s="503"/>
      <c r="H327" s="503"/>
      <c r="I327" s="503"/>
      <c r="J327" s="503"/>
      <c r="K327" s="503"/>
      <c r="L327" s="503"/>
      <c r="M327" s="503"/>
      <c r="N327" s="320" t="s">
        <v>1524</v>
      </c>
      <c r="O327" s="506" t="s">
        <v>2999</v>
      </c>
      <c r="P327" s="508" t="s">
        <v>3000</v>
      </c>
      <c r="Q327" s="340">
        <v>5.0</v>
      </c>
      <c r="R327" s="453" t="s">
        <v>2536</v>
      </c>
    </row>
    <row r="328">
      <c r="A328" s="502" t="str">
        <f>HYPERLINK("http://en.uesp.net/wiki/Skyrim:Stromm%27s_Diary","Stromm's Diary")</f>
        <v>Stromm's Diary</v>
      </c>
      <c r="B328" s="63" t="s">
        <v>132</v>
      </c>
      <c r="C328" s="63" t="s">
        <v>132</v>
      </c>
      <c r="D328" s="63" t="s">
        <v>132</v>
      </c>
      <c r="E328" s="503"/>
      <c r="F328" s="503"/>
      <c r="G328" s="503"/>
      <c r="H328" s="503"/>
      <c r="I328" s="503"/>
      <c r="J328" s="503"/>
      <c r="K328" s="503"/>
      <c r="L328" s="503"/>
      <c r="M328" s="503"/>
      <c r="N328" s="320" t="s">
        <v>1524</v>
      </c>
      <c r="O328" s="506" t="s">
        <v>3001</v>
      </c>
      <c r="P328" s="506" t="s">
        <v>3002</v>
      </c>
      <c r="Q328" s="340">
        <v>5.0</v>
      </c>
      <c r="R328" s="503" t="s">
        <v>2536</v>
      </c>
    </row>
    <row r="329">
      <c r="A329" s="502" t="str">
        <f>HYPERLINK("http://en.uesp.net/wiki/Skyrim:Sudi%27s_Journal","Sudi's Journal")</f>
        <v>Sudi's Journal</v>
      </c>
      <c r="B329" s="63" t="s">
        <v>132</v>
      </c>
      <c r="C329" s="63" t="s">
        <v>132</v>
      </c>
      <c r="D329" s="63" t="s">
        <v>132</v>
      </c>
      <c r="E329" s="503"/>
      <c r="F329" s="503"/>
      <c r="G329" s="503"/>
      <c r="H329" s="503"/>
      <c r="I329" s="503"/>
      <c r="J329" s="503"/>
      <c r="K329" s="503"/>
      <c r="L329" s="503"/>
      <c r="M329" s="503"/>
      <c r="N329" s="320" t="s">
        <v>1524</v>
      </c>
      <c r="O329" s="506" t="s">
        <v>3003</v>
      </c>
      <c r="P329" s="506" t="s">
        <v>3004</v>
      </c>
      <c r="Q329" s="340">
        <v>5.0</v>
      </c>
      <c r="R329" s="345" t="s">
        <v>2536</v>
      </c>
    </row>
    <row r="330">
      <c r="A330" s="502" t="str">
        <f>HYPERLINK("http://en.uesp.net/wiki/Skyrim:Sulla%27s_Journal","Sulla's Journal")</f>
        <v>Sulla's Journal</v>
      </c>
      <c r="B330" s="63" t="s">
        <v>132</v>
      </c>
      <c r="C330" s="63" t="s">
        <v>132</v>
      </c>
      <c r="D330" s="63" t="s">
        <v>132</v>
      </c>
      <c r="E330" s="503"/>
      <c r="F330" s="503"/>
      <c r="G330" s="503"/>
      <c r="H330" s="503"/>
      <c r="I330" s="503"/>
      <c r="J330" s="503"/>
      <c r="K330" s="503"/>
      <c r="L330" s="503"/>
      <c r="M330" s="503"/>
      <c r="N330" s="320" t="s">
        <v>1524</v>
      </c>
      <c r="O330" s="506" t="s">
        <v>2693</v>
      </c>
      <c r="P330" s="506" t="s">
        <v>3005</v>
      </c>
      <c r="Q330" s="340">
        <v>5.0</v>
      </c>
      <c r="R330" s="503" t="s">
        <v>2536</v>
      </c>
    </row>
    <row r="331">
      <c r="A331" s="502" t="str">
        <f>HYPERLINK("http://en.uesp.net/wiki/Skyrim:Surfeit_of_Thieves","Surfeit of Thieves")</f>
        <v>Surfeit of Thieves</v>
      </c>
      <c r="B331" s="63" t="s">
        <v>132</v>
      </c>
      <c r="C331" s="63" t="s">
        <v>132</v>
      </c>
      <c r="D331" s="63" t="s">
        <v>132</v>
      </c>
      <c r="E331" s="503"/>
      <c r="F331" s="503"/>
      <c r="G331" s="503"/>
      <c r="H331" s="503"/>
      <c r="I331" s="503"/>
      <c r="J331" s="503"/>
      <c r="K331" s="503"/>
      <c r="L331" s="503"/>
      <c r="M331" s="503"/>
      <c r="N331" s="320" t="s">
        <v>1524</v>
      </c>
      <c r="O331" s="508" t="s">
        <v>3006</v>
      </c>
      <c r="P331" s="506" t="s">
        <v>3007</v>
      </c>
      <c r="Q331" s="340">
        <v>75.0</v>
      </c>
      <c r="R331" s="472" t="s">
        <v>2533</v>
      </c>
    </row>
    <row r="332">
      <c r="A332" s="502" t="str">
        <f>HYPERLINK("http://en.uesp.net/wiki/Skyrim:Tattered_Journal_(Embershard_Mine)","Tattered Journal")</f>
        <v>Tattered Journal</v>
      </c>
      <c r="B332" s="63" t="s">
        <v>132</v>
      </c>
      <c r="C332" s="63" t="s">
        <v>132</v>
      </c>
      <c r="D332" s="63" t="s">
        <v>132</v>
      </c>
      <c r="E332" s="503"/>
      <c r="F332" s="503"/>
      <c r="G332" s="503"/>
      <c r="H332" s="503"/>
      <c r="I332" s="503"/>
      <c r="J332" s="503"/>
      <c r="K332" s="503"/>
      <c r="L332" s="503"/>
      <c r="M332" s="503"/>
      <c r="N332" s="320" t="s">
        <v>1524</v>
      </c>
      <c r="O332" s="508" t="s">
        <v>3008</v>
      </c>
      <c r="P332" s="506" t="s">
        <v>3009</v>
      </c>
      <c r="Q332" s="340">
        <v>5.0</v>
      </c>
      <c r="R332" s="503" t="s">
        <v>2536</v>
      </c>
    </row>
    <row r="333">
      <c r="A333" s="502" t="str">
        <f>HYPERLINK("http://en.uesp.net/wiki/Skyrim:Tattered_Journal_(Tolvald%27s_Cave)","Tattered Journal")</f>
        <v>Tattered Journal</v>
      </c>
      <c r="B333" s="63" t="s">
        <v>132</v>
      </c>
      <c r="C333" s="63" t="s">
        <v>132</v>
      </c>
      <c r="D333" s="63" t="s">
        <v>132</v>
      </c>
      <c r="E333" s="503"/>
      <c r="F333" s="503"/>
      <c r="G333" s="503"/>
      <c r="H333" s="503"/>
      <c r="I333" s="503"/>
      <c r="J333" s="503"/>
      <c r="K333" s="503"/>
      <c r="L333" s="503"/>
      <c r="M333" s="503"/>
      <c r="N333" s="320" t="s">
        <v>1524</v>
      </c>
      <c r="O333" s="508" t="s">
        <v>2534</v>
      </c>
      <c r="P333" s="506" t="s">
        <v>3010</v>
      </c>
      <c r="Q333" s="340">
        <v>5.0</v>
      </c>
      <c r="R333" s="503" t="s">
        <v>2536</v>
      </c>
    </row>
    <row r="334">
      <c r="A334" s="502" t="str">
        <f>HYPERLINK("http://en.uesp.net/wiki/Skyrim:Thalmor_Dossier:_Delphine","Thalmor Dossier: Delphine")</f>
        <v>Thalmor Dossier: Delphine</v>
      </c>
      <c r="B334" s="63" t="s">
        <v>132</v>
      </c>
      <c r="C334" s="63" t="s">
        <v>132</v>
      </c>
      <c r="D334" s="63" t="s">
        <v>132</v>
      </c>
      <c r="E334" s="503"/>
      <c r="F334" s="503"/>
      <c r="G334" s="503"/>
      <c r="H334" s="503"/>
      <c r="I334" s="503"/>
      <c r="J334" s="503"/>
      <c r="K334" s="503"/>
      <c r="L334" s="503"/>
      <c r="M334" s="503"/>
      <c r="N334" s="320" t="s">
        <v>1524</v>
      </c>
      <c r="O334" s="508" t="s">
        <v>3011</v>
      </c>
      <c r="P334" s="506" t="s">
        <v>3012</v>
      </c>
      <c r="Q334" s="340">
        <v>5.0</v>
      </c>
      <c r="R334" s="503" t="s">
        <v>3013</v>
      </c>
    </row>
    <row r="335">
      <c r="A335" s="502" t="str">
        <f>HYPERLINK("http://en.uesp.net/wiki/Skyrim:Thalmor_Dossier:_Esbern","Thalmor Dossier: Esbern")</f>
        <v>Thalmor Dossier: Esbern</v>
      </c>
      <c r="B335" s="63" t="s">
        <v>132</v>
      </c>
      <c r="C335" s="63" t="s">
        <v>132</v>
      </c>
      <c r="D335" s="63" t="s">
        <v>132</v>
      </c>
      <c r="E335" s="503"/>
      <c r="F335" s="503"/>
      <c r="G335" s="503"/>
      <c r="H335" s="503"/>
      <c r="I335" s="503"/>
      <c r="J335" s="503"/>
      <c r="K335" s="503"/>
      <c r="L335" s="503"/>
      <c r="M335" s="503"/>
      <c r="N335" s="320" t="s">
        <v>1524</v>
      </c>
      <c r="O335" s="508" t="s">
        <v>3011</v>
      </c>
      <c r="P335" s="506" t="s">
        <v>3014</v>
      </c>
      <c r="Q335" s="340">
        <v>5.0</v>
      </c>
      <c r="R335" s="503" t="s">
        <v>3013</v>
      </c>
    </row>
    <row r="336">
      <c r="A336" s="502" t="str">
        <f>HYPERLINK("http://en.uesp.net/wiki/Skyrim:Thalmor_Dossier:_Ulfric_Stormcloak","Thalmor Dossier: Ulfric Stormcloak")</f>
        <v>Thalmor Dossier: Ulfric Stormcloak</v>
      </c>
      <c r="B336" s="63" t="s">
        <v>132</v>
      </c>
      <c r="C336" s="63" t="s">
        <v>132</v>
      </c>
      <c r="D336" s="63" t="s">
        <v>132</v>
      </c>
      <c r="E336" s="503"/>
      <c r="F336" s="503"/>
      <c r="G336" s="503"/>
      <c r="H336" s="503"/>
      <c r="I336" s="503"/>
      <c r="J336" s="503"/>
      <c r="K336" s="503"/>
      <c r="L336" s="503"/>
      <c r="M336" s="503"/>
      <c r="N336" s="320" t="s">
        <v>1524</v>
      </c>
      <c r="O336" s="508" t="s">
        <v>3011</v>
      </c>
      <c r="P336" s="505" t="s">
        <v>3015</v>
      </c>
      <c r="Q336" s="340">
        <v>5.0</v>
      </c>
      <c r="R336" s="345" t="s">
        <v>3013</v>
      </c>
    </row>
    <row r="337">
      <c r="A337" s="510" t="str">
        <f>HYPERLINK("http://en.uesp.net/wiki/Skyrim:The_%22Madmen%22_of_the_Reach","The ""Madmen"" of the Reach")</f>
        <v>The "Madmen" of the Reach</v>
      </c>
      <c r="B337" s="63" t="s">
        <v>132</v>
      </c>
      <c r="C337" s="63" t="s">
        <v>132</v>
      </c>
      <c r="D337" s="63" t="s">
        <v>132</v>
      </c>
      <c r="E337" s="503"/>
      <c r="F337" s="503"/>
      <c r="G337" s="503"/>
      <c r="H337" s="503"/>
      <c r="I337" s="503"/>
      <c r="J337" s="503"/>
      <c r="K337" s="503"/>
      <c r="L337" s="503"/>
      <c r="M337" s="503"/>
      <c r="N337" s="320">
        <v>2.0</v>
      </c>
      <c r="O337" s="506" t="s">
        <v>3016</v>
      </c>
      <c r="P337" s="506" t="s">
        <v>3017</v>
      </c>
      <c r="Q337" s="340">
        <v>7.0</v>
      </c>
      <c r="R337" s="345" t="s">
        <v>2440</v>
      </c>
    </row>
    <row r="338">
      <c r="A338" s="502" t="str">
        <f>HYPERLINK("http://en.uesp.net/wiki/Skyrim:The_Adabal-a","The Adabal-a")</f>
        <v>The Adabal-a</v>
      </c>
      <c r="B338" s="63" t="s">
        <v>132</v>
      </c>
      <c r="C338" s="63" t="s">
        <v>132</v>
      </c>
      <c r="D338" s="63" t="s">
        <v>132</v>
      </c>
      <c r="E338" s="503"/>
      <c r="F338" s="503"/>
      <c r="G338" s="503"/>
      <c r="H338" s="503"/>
      <c r="I338" s="503"/>
      <c r="J338" s="503"/>
      <c r="K338" s="503"/>
      <c r="L338" s="503"/>
      <c r="M338" s="503"/>
      <c r="N338" s="504">
        <v>4.0</v>
      </c>
      <c r="O338" s="345" t="s">
        <v>3018</v>
      </c>
      <c r="P338" s="506" t="s">
        <v>3019</v>
      </c>
      <c r="Q338" s="340">
        <v>25.0</v>
      </c>
      <c r="R338" s="345" t="s">
        <v>2440</v>
      </c>
    </row>
    <row r="339">
      <c r="A339" s="502" t="str">
        <f>HYPERLINK("http://en.uesp.net/wiki/Skyrim:The_Aetherium_Wars","The Aetherium Wars")</f>
        <v>The Aetherium Wars</v>
      </c>
      <c r="B339" s="63" t="s">
        <v>132</v>
      </c>
      <c r="C339" s="63" t="s">
        <v>132</v>
      </c>
      <c r="D339" s="63" t="s">
        <v>132</v>
      </c>
      <c r="E339" s="503"/>
      <c r="F339" s="503"/>
      <c r="G339" s="503"/>
      <c r="H339" s="503"/>
      <c r="I339" s="503"/>
      <c r="J339" s="503"/>
      <c r="K339" s="503"/>
      <c r="L339" s="503"/>
      <c r="M339" s="503"/>
      <c r="N339" s="504" t="s">
        <v>1524</v>
      </c>
      <c r="O339" s="345" t="s">
        <v>3020</v>
      </c>
      <c r="P339" s="506" t="s">
        <v>3021</v>
      </c>
      <c r="Q339" s="340">
        <v>15.0</v>
      </c>
      <c r="R339" s="345" t="s">
        <v>2440</v>
      </c>
    </row>
    <row r="340">
      <c r="A340" s="502" t="str">
        <f>HYPERLINK("http://en.uesp.net/wiki/Skyrim:The_Alduin/Akatosh_Dichotomy","The Alduin/Akatosh Dichotomy")</f>
        <v>The Alduin/Akatosh Dichotomy</v>
      </c>
      <c r="B340" s="63" t="s">
        <v>132</v>
      </c>
      <c r="C340" s="63" t="s">
        <v>132</v>
      </c>
      <c r="D340" s="63" t="s">
        <v>132</v>
      </c>
      <c r="E340" s="503"/>
      <c r="F340" s="503"/>
      <c r="G340" s="503"/>
      <c r="H340" s="503"/>
      <c r="I340" s="503"/>
      <c r="J340" s="503"/>
      <c r="K340" s="503"/>
      <c r="L340" s="503"/>
      <c r="M340" s="503"/>
      <c r="N340" s="320">
        <v>2.0</v>
      </c>
      <c r="O340" s="506" t="s">
        <v>3022</v>
      </c>
      <c r="P340" s="506" t="s">
        <v>3023</v>
      </c>
      <c r="Q340" s="340">
        <v>8.0</v>
      </c>
      <c r="R340" s="345" t="s">
        <v>2440</v>
      </c>
    </row>
    <row r="341">
      <c r="A341" s="502" t="str">
        <f>HYPERLINK("http://en.uesp.net/wiki/Skyrim:The_Amulet_of_Kings","The Amulet of Kings")</f>
        <v>The Amulet of Kings</v>
      </c>
      <c r="B341" s="63" t="s">
        <v>132</v>
      </c>
      <c r="C341" s="63" t="s">
        <v>132</v>
      </c>
      <c r="D341" s="63" t="s">
        <v>132</v>
      </c>
      <c r="E341" s="503"/>
      <c r="F341" s="503"/>
      <c r="G341" s="503"/>
      <c r="H341" s="503"/>
      <c r="I341" s="503"/>
      <c r="J341" s="503"/>
      <c r="K341" s="503"/>
      <c r="L341" s="503"/>
      <c r="M341" s="503"/>
      <c r="N341" s="320">
        <v>2.0</v>
      </c>
      <c r="O341" s="508" t="s">
        <v>3024</v>
      </c>
      <c r="P341" s="506" t="s">
        <v>3025</v>
      </c>
      <c r="Q341" s="340">
        <v>6.0</v>
      </c>
      <c r="R341" s="503" t="s">
        <v>2440</v>
      </c>
    </row>
    <row r="342">
      <c r="A342" s="502" t="str">
        <f>HYPERLINK("https://en.uesp.net/wiki/Skyrim:The_Anticipations", "The Anticipations (DB)")</f>
        <v>The Anticipations (DB)</v>
      </c>
      <c r="B342" s="63" t="s">
        <v>132</v>
      </c>
      <c r="C342" s="63" t="s">
        <v>132</v>
      </c>
      <c r="D342" s="63" t="s">
        <v>132</v>
      </c>
      <c r="E342" s="503"/>
      <c r="F342" s="503"/>
      <c r="G342" s="503"/>
      <c r="H342" s="503"/>
      <c r="I342" s="503"/>
      <c r="J342" s="503"/>
      <c r="K342" s="503"/>
      <c r="L342" s="503"/>
      <c r="M342" s="503"/>
      <c r="N342" s="42">
        <v>3.0</v>
      </c>
      <c r="O342" s="506" t="s">
        <v>2481</v>
      </c>
      <c r="P342" s="506" t="s">
        <v>3026</v>
      </c>
      <c r="Q342" s="340">
        <v>14.0</v>
      </c>
      <c r="R342" s="345" t="s">
        <v>2440</v>
      </c>
    </row>
    <row r="343">
      <c r="A343" s="502" t="str">
        <f>HYPERLINK("http://en.uesp.net/wiki/Skyrim:The_Apprentice%27s_Assistant","The Apprentice's Assistant")</f>
        <v>The Apprentice's Assistant</v>
      </c>
      <c r="B343" s="63" t="s">
        <v>132</v>
      </c>
      <c r="C343" s="63" t="s">
        <v>132</v>
      </c>
      <c r="D343" s="63" t="s">
        <v>132</v>
      </c>
      <c r="E343" s="503"/>
      <c r="F343" s="503"/>
      <c r="G343" s="503"/>
      <c r="H343" s="503"/>
      <c r="I343" s="503"/>
      <c r="J343" s="503"/>
      <c r="K343" s="503"/>
      <c r="L343" s="503"/>
      <c r="M343" s="503"/>
      <c r="N343" s="320">
        <v>3.0</v>
      </c>
      <c r="O343" s="508" t="s">
        <v>3027</v>
      </c>
      <c r="P343" s="506" t="s">
        <v>3028</v>
      </c>
      <c r="Q343" s="340">
        <v>12.0</v>
      </c>
      <c r="R343" s="503" t="s">
        <v>2440</v>
      </c>
    </row>
    <row r="344">
      <c r="A344" s="502" t="str">
        <f>HYPERLINK("http://en.uesp.net/wiki/Skyrim:The_Arcturian_Heresy","The Arcturian Heresy")</f>
        <v>The Arcturian Heresy</v>
      </c>
      <c r="B344" s="63" t="s">
        <v>132</v>
      </c>
      <c r="C344" s="63" t="s">
        <v>132</v>
      </c>
      <c r="D344" s="63" t="s">
        <v>132</v>
      </c>
      <c r="E344" s="503"/>
      <c r="F344" s="503"/>
      <c r="G344" s="503"/>
      <c r="H344" s="503"/>
      <c r="I344" s="503"/>
      <c r="J344" s="503"/>
      <c r="K344" s="503"/>
      <c r="L344" s="503"/>
      <c r="M344" s="503"/>
      <c r="N344" s="504">
        <v>2.0</v>
      </c>
      <c r="O344" s="345" t="s">
        <v>3029</v>
      </c>
      <c r="P344" s="506" t="s">
        <v>3030</v>
      </c>
      <c r="Q344" s="340">
        <v>6.0</v>
      </c>
      <c r="R344" s="503" t="s">
        <v>2440</v>
      </c>
    </row>
    <row r="345">
      <c r="A345" s="502" t="str">
        <f>HYPERLINK("http://en.uesp.net/wiki/Skyrim:The_Armorer%27s_Challenge","The Armorer's Challenge")</f>
        <v>The Armorer's Challenge</v>
      </c>
      <c r="B345" s="63" t="s">
        <v>132</v>
      </c>
      <c r="C345" s="63" t="s">
        <v>132</v>
      </c>
      <c r="D345" s="63" t="s">
        <v>132</v>
      </c>
      <c r="E345" s="503"/>
      <c r="F345" s="503"/>
      <c r="G345" s="503"/>
      <c r="H345" s="503"/>
      <c r="I345" s="503"/>
      <c r="J345" s="503"/>
      <c r="K345" s="503"/>
      <c r="L345" s="503"/>
      <c r="M345" s="503"/>
      <c r="N345" s="320" t="s">
        <v>1524</v>
      </c>
      <c r="O345" s="508" t="s">
        <v>2868</v>
      </c>
      <c r="P345" s="506" t="s">
        <v>3031</v>
      </c>
      <c r="Q345" s="340">
        <v>70.0</v>
      </c>
      <c r="R345" s="472" t="s">
        <v>2631</v>
      </c>
    </row>
    <row r="346">
      <c r="A346" s="502" t="str">
        <f>HYPERLINK("http://en.uesp.net/wiki/Skyrim:The_Art_of_War_Magic","The Art of War Magic")</f>
        <v>The Art of War Magic</v>
      </c>
      <c r="B346" s="63" t="s">
        <v>132</v>
      </c>
      <c r="C346" s="63" t="s">
        <v>132</v>
      </c>
      <c r="D346" s="63" t="s">
        <v>132</v>
      </c>
      <c r="E346" s="503"/>
      <c r="F346" s="503"/>
      <c r="G346" s="503"/>
      <c r="H346" s="503"/>
      <c r="I346" s="503"/>
      <c r="J346" s="503"/>
      <c r="K346" s="503"/>
      <c r="L346" s="503"/>
      <c r="M346" s="503"/>
      <c r="N346" s="320" t="s">
        <v>1524</v>
      </c>
      <c r="O346" s="506" t="s">
        <v>3032</v>
      </c>
      <c r="P346" s="506" t="s">
        <v>3033</v>
      </c>
      <c r="Q346" s="340">
        <v>55.0</v>
      </c>
      <c r="R346" s="472" t="s">
        <v>2524</v>
      </c>
    </row>
    <row r="347">
      <c r="A347" s="502" t="str">
        <f>HYPERLINK("https://en.uesp.net/wiki/Skyrim:The_Axe_Man", "The Axe Man (DB)")</f>
        <v>The Axe Man (DB)</v>
      </c>
      <c r="B347" s="63" t="s">
        <v>132</v>
      </c>
      <c r="C347" s="63" t="s">
        <v>132</v>
      </c>
      <c r="D347" s="63" t="s">
        <v>132</v>
      </c>
      <c r="E347" s="503"/>
      <c r="F347" s="503"/>
      <c r="G347" s="503"/>
      <c r="H347" s="503"/>
      <c r="I347" s="503"/>
      <c r="J347" s="503"/>
      <c r="K347" s="503"/>
      <c r="L347" s="503"/>
      <c r="M347" s="503"/>
      <c r="N347" s="42">
        <v>2.0</v>
      </c>
      <c r="O347" s="505" t="s">
        <v>2481</v>
      </c>
      <c r="P347" s="506" t="s">
        <v>3034</v>
      </c>
      <c r="Q347" s="340">
        <v>6.0</v>
      </c>
      <c r="R347" s="345" t="s">
        <v>2440</v>
      </c>
    </row>
    <row r="348">
      <c r="A348" s="502" t="str">
        <f>HYPERLINK("http://en.uesp.net/wiki/Skyrim:The_Bear_of_Markarth","The Bear of Markarth")</f>
        <v>The Bear of Markarth</v>
      </c>
      <c r="B348" s="63" t="s">
        <v>132</v>
      </c>
      <c r="C348" s="63" t="s">
        <v>132</v>
      </c>
      <c r="D348" s="63" t="s">
        <v>132</v>
      </c>
      <c r="E348" s="503"/>
      <c r="F348" s="503"/>
      <c r="G348" s="503"/>
      <c r="H348" s="503"/>
      <c r="I348" s="503"/>
      <c r="J348" s="503"/>
      <c r="K348" s="503"/>
      <c r="L348" s="503"/>
      <c r="M348" s="503"/>
      <c r="N348" s="320">
        <v>2.0</v>
      </c>
      <c r="O348" s="506" t="s">
        <v>3016</v>
      </c>
      <c r="P348" s="506" t="s">
        <v>3035</v>
      </c>
      <c r="Q348" s="340">
        <v>8.0</v>
      </c>
      <c r="R348" s="503" t="s">
        <v>2440</v>
      </c>
    </row>
    <row r="349">
      <c r="A349" s="502" t="str">
        <f>HYPERLINK("http://en.uesp.net/wiki/Skyrim:The_Beginner%27s_Guide_to_Homesteading","The Beginner's Guide to Homesteading")</f>
        <v>The Beginner's Guide to Homesteading</v>
      </c>
      <c r="B349" s="63" t="s">
        <v>132</v>
      </c>
      <c r="C349" s="63" t="s">
        <v>132</v>
      </c>
      <c r="D349" s="63" t="s">
        <v>132</v>
      </c>
      <c r="E349" s="503"/>
      <c r="F349" s="503"/>
      <c r="G349" s="503"/>
      <c r="H349" s="503"/>
      <c r="I349" s="503"/>
      <c r="J349" s="503"/>
      <c r="K349" s="503"/>
      <c r="L349" s="503"/>
      <c r="M349" s="503"/>
      <c r="N349" s="320" t="s">
        <v>1524</v>
      </c>
      <c r="O349" s="508" t="s">
        <v>2481</v>
      </c>
      <c r="P349" s="506" t="s">
        <v>3036</v>
      </c>
      <c r="Q349" s="340">
        <v>10.0</v>
      </c>
      <c r="R349" s="453" t="s">
        <v>2440</v>
      </c>
    </row>
    <row r="350">
      <c r="A350" s="502" t="str">
        <f>HYPERLINK("http://en.uesp.net/wiki/Skyrim:The_Betrayed","The Betrayed (DG)")</f>
        <v>The Betrayed (DG)</v>
      </c>
      <c r="B350" s="63" t="s">
        <v>132</v>
      </c>
      <c r="C350" s="63" t="s">
        <v>132</v>
      </c>
      <c r="D350" s="63" t="s">
        <v>132</v>
      </c>
      <c r="E350" s="503"/>
      <c r="F350" s="503"/>
      <c r="G350" s="503"/>
      <c r="H350" s="503"/>
      <c r="I350" s="503"/>
      <c r="J350" s="503"/>
      <c r="K350" s="503"/>
      <c r="L350" s="503"/>
      <c r="M350" s="503"/>
      <c r="N350" s="320" t="s">
        <v>1524</v>
      </c>
      <c r="O350" s="508" t="s">
        <v>3037</v>
      </c>
      <c r="P350" s="506" t="s">
        <v>2664</v>
      </c>
      <c r="Q350" s="340">
        <v>20.0</v>
      </c>
      <c r="R350" s="345" t="s">
        <v>2440</v>
      </c>
    </row>
    <row r="351">
      <c r="A351" s="502" t="str">
        <f>HYPERLINK("http://en.uesp.net/wiki/Skyrim:The_Black_Arrow,_v1","The Black Arrow, v1")</f>
        <v>The Black Arrow, v1</v>
      </c>
      <c r="B351" s="63" t="s">
        <v>132</v>
      </c>
      <c r="C351" s="63" t="s">
        <v>132</v>
      </c>
      <c r="D351" s="63" t="s">
        <v>132</v>
      </c>
      <c r="E351" s="503"/>
      <c r="F351" s="503"/>
      <c r="G351" s="503"/>
      <c r="H351" s="503"/>
      <c r="I351" s="503"/>
      <c r="J351" s="503"/>
      <c r="K351" s="503"/>
      <c r="L351" s="503"/>
      <c r="M351" s="503"/>
      <c r="N351" s="320">
        <v>0.0</v>
      </c>
      <c r="O351" s="506" t="s">
        <v>3038</v>
      </c>
      <c r="P351" s="506" t="s">
        <v>3039</v>
      </c>
      <c r="Q351" s="340">
        <v>2.0</v>
      </c>
      <c r="R351" s="345" t="s">
        <v>2440</v>
      </c>
    </row>
    <row r="352">
      <c r="A352" s="502" t="str">
        <f>HYPERLINK("http://en.uesp.net/wiki/Skyrim:The_Black_Arrow,_v2","The Black Arrow, v2")</f>
        <v>The Black Arrow, v2</v>
      </c>
      <c r="B352" s="63" t="s">
        <v>132</v>
      </c>
      <c r="C352" s="63" t="s">
        <v>132</v>
      </c>
      <c r="D352" s="63" t="s">
        <v>132</v>
      </c>
      <c r="E352" s="503"/>
      <c r="F352" s="503"/>
      <c r="G352" s="503"/>
      <c r="H352" s="503"/>
      <c r="I352" s="503"/>
      <c r="J352" s="503"/>
      <c r="K352" s="503"/>
      <c r="L352" s="503"/>
      <c r="M352" s="503"/>
      <c r="N352" s="320" t="s">
        <v>1524</v>
      </c>
      <c r="O352" s="506" t="s">
        <v>3038</v>
      </c>
      <c r="P352" s="506" t="s">
        <v>3040</v>
      </c>
      <c r="Q352" s="340">
        <v>65.0</v>
      </c>
      <c r="R352" s="472" t="s">
        <v>2704</v>
      </c>
    </row>
    <row r="353">
      <c r="A353" s="502" t="str">
        <f>HYPERLINK("http://en.uesp.net/wiki/Skyrim:The_Black_Arts_On_Trial","The Black Arts On Trial")</f>
        <v>The Black Arts On Trial</v>
      </c>
      <c r="B353" s="63" t="s">
        <v>132</v>
      </c>
      <c r="C353" s="63" t="s">
        <v>132</v>
      </c>
      <c r="D353" s="63" t="s">
        <v>132</v>
      </c>
      <c r="E353" s="503"/>
      <c r="F353" s="503"/>
      <c r="G353" s="503"/>
      <c r="H353" s="503"/>
      <c r="I353" s="503"/>
      <c r="J353" s="503"/>
      <c r="K353" s="503"/>
      <c r="L353" s="503"/>
      <c r="M353" s="503"/>
      <c r="N353" s="320" t="s">
        <v>1524</v>
      </c>
      <c r="O353" s="508" t="s">
        <v>3041</v>
      </c>
      <c r="P353" s="506" t="s">
        <v>3042</v>
      </c>
      <c r="Q353" s="340">
        <v>60.0</v>
      </c>
      <c r="R353" s="509" t="s">
        <v>2502</v>
      </c>
    </row>
    <row r="354">
      <c r="A354" s="502" t="str">
        <f>HYPERLINK("http://en.uesp.net/wiki/Skyrim:The_Book_of_Daedra","The Book of Daedra")</f>
        <v>The Book of Daedra</v>
      </c>
      <c r="B354" s="63" t="s">
        <v>132</v>
      </c>
      <c r="C354" s="63" t="s">
        <v>132</v>
      </c>
      <c r="D354" s="63" t="s">
        <v>132</v>
      </c>
      <c r="E354" s="503"/>
      <c r="F354" s="503"/>
      <c r="G354" s="503"/>
      <c r="H354" s="503"/>
      <c r="I354" s="503"/>
      <c r="J354" s="503"/>
      <c r="K354" s="503"/>
      <c r="L354" s="503"/>
      <c r="M354" s="503"/>
      <c r="N354" s="320">
        <v>2.0</v>
      </c>
      <c r="O354" s="508" t="s">
        <v>2481</v>
      </c>
      <c r="P354" s="506" t="s">
        <v>3043</v>
      </c>
      <c r="Q354" s="340">
        <v>5.0</v>
      </c>
      <c r="R354" s="508" t="s">
        <v>2440</v>
      </c>
    </row>
    <row r="355">
      <c r="A355" s="502" t="str">
        <f>HYPERLINK("http://en.uesp.net/wiki/Skyrim:The_Book_of_Fate","The Book of Fate")</f>
        <v>The Book of Fate</v>
      </c>
      <c r="B355" s="63" t="s">
        <v>132</v>
      </c>
      <c r="C355" s="63" t="s">
        <v>132</v>
      </c>
      <c r="D355" s="63" t="s">
        <v>132</v>
      </c>
      <c r="E355" s="503"/>
      <c r="F355" s="503"/>
      <c r="G355" s="503"/>
      <c r="H355" s="503"/>
      <c r="I355" s="503"/>
      <c r="J355" s="503"/>
      <c r="K355" s="503"/>
      <c r="L355" s="503"/>
      <c r="M355" s="503"/>
      <c r="N355" s="320" t="s">
        <v>1524</v>
      </c>
      <c r="O355" s="508" t="s">
        <v>3044</v>
      </c>
      <c r="P355" s="506" t="s">
        <v>3045</v>
      </c>
      <c r="Q355" s="340">
        <v>40.0</v>
      </c>
      <c r="R355" s="345" t="s">
        <v>2440</v>
      </c>
    </row>
    <row r="356">
      <c r="A356" s="502" t="str">
        <f>HYPERLINK("http://en.uesp.net/wiki/Skyrim:The_Book_of_Life_and_Service","The Book of Life and Service (DG)")</f>
        <v>The Book of Life and Service (DG)</v>
      </c>
      <c r="B356" s="63" t="s">
        <v>132</v>
      </c>
      <c r="C356" s="63" t="s">
        <v>132</v>
      </c>
      <c r="D356" s="63" t="s">
        <v>132</v>
      </c>
      <c r="E356" s="503"/>
      <c r="F356" s="503"/>
      <c r="G356" s="503"/>
      <c r="H356" s="503"/>
      <c r="I356" s="503"/>
      <c r="J356" s="503"/>
      <c r="K356" s="503"/>
      <c r="L356" s="503"/>
      <c r="M356" s="503"/>
      <c r="N356" s="320" t="s">
        <v>1524</v>
      </c>
      <c r="O356" s="508" t="s">
        <v>2481</v>
      </c>
      <c r="P356" s="506" t="s">
        <v>3046</v>
      </c>
      <c r="Q356" s="340">
        <v>35.0</v>
      </c>
      <c r="R356" s="503" t="s">
        <v>2440</v>
      </c>
    </row>
    <row r="357">
      <c r="A357" s="502" t="str">
        <f>HYPERLINK("http://en.uesp.net/wiki/Skyrim:The_Book_of_the_Dragonborn","The Book of the Dragonborn")</f>
        <v>The Book of the Dragonborn</v>
      </c>
      <c r="B357" s="63" t="s">
        <v>132</v>
      </c>
      <c r="C357" s="63" t="s">
        <v>132</v>
      </c>
      <c r="D357" s="63" t="s">
        <v>132</v>
      </c>
      <c r="E357" s="503"/>
      <c r="F357" s="503"/>
      <c r="G357" s="503"/>
      <c r="H357" s="503"/>
      <c r="I357" s="503"/>
      <c r="J357" s="503"/>
      <c r="K357" s="503"/>
      <c r="L357" s="503"/>
      <c r="M357" s="503"/>
      <c r="N357" s="504">
        <v>3.0</v>
      </c>
      <c r="O357" s="345" t="s">
        <v>3047</v>
      </c>
      <c r="P357" s="506" t="s">
        <v>3048</v>
      </c>
      <c r="Q357" s="340">
        <v>12.0</v>
      </c>
      <c r="R357" s="503" t="s">
        <v>2440</v>
      </c>
    </row>
    <row r="358">
      <c r="A358" s="502" t="str">
        <f>HYPERLINK("http://en.uesp.net/wiki/Skyrim:The_Buying_Game","The Buying Game")</f>
        <v>The Buying Game</v>
      </c>
      <c r="B358" s="63" t="s">
        <v>132</v>
      </c>
      <c r="C358" s="63" t="s">
        <v>132</v>
      </c>
      <c r="D358" s="63" t="s">
        <v>132</v>
      </c>
      <c r="E358" s="503"/>
      <c r="F358" s="503"/>
      <c r="G358" s="503"/>
      <c r="H358" s="503"/>
      <c r="I358" s="503"/>
      <c r="J358" s="503"/>
      <c r="K358" s="503"/>
      <c r="L358" s="503"/>
      <c r="M358" s="503"/>
      <c r="N358" s="320" t="s">
        <v>1524</v>
      </c>
      <c r="O358" s="508" t="s">
        <v>3049</v>
      </c>
      <c r="P358" s="506" t="s">
        <v>3050</v>
      </c>
      <c r="Q358" s="340">
        <v>60.0</v>
      </c>
      <c r="R358" s="509" t="s">
        <v>2500</v>
      </c>
    </row>
    <row r="359">
      <c r="A359" s="502" t="str">
        <f>HYPERLINK("http://en.uesp.net/wiki/Skyrim:The_Cabin_in_the_Woods","The Cabin in the Woods")</f>
        <v>The Cabin in the Woods</v>
      </c>
      <c r="B359" s="63" t="s">
        <v>132</v>
      </c>
      <c r="C359" s="63" t="s">
        <v>132</v>
      </c>
      <c r="D359" s="63" t="s">
        <v>132</v>
      </c>
      <c r="E359" s="503"/>
      <c r="F359" s="503"/>
      <c r="G359" s="503"/>
      <c r="H359" s="503"/>
      <c r="I359" s="503"/>
      <c r="J359" s="503"/>
      <c r="K359" s="503"/>
      <c r="L359" s="503"/>
      <c r="M359" s="503"/>
      <c r="N359" s="320">
        <v>2.0</v>
      </c>
      <c r="O359" s="506" t="s">
        <v>3051</v>
      </c>
      <c r="P359" s="506" t="s">
        <v>3052</v>
      </c>
      <c r="Q359" s="340">
        <v>8.0</v>
      </c>
      <c r="R359" s="503" t="s">
        <v>2440</v>
      </c>
    </row>
    <row r="360">
      <c r="A360" s="502" t="str">
        <f>HYPERLINK("http://en.uesp.net/wiki/Skyrim:The_Cake_and_The_Diamond","The Cake and The Diamond")</f>
        <v>The Cake and The Diamond</v>
      </c>
      <c r="B360" s="63" t="s">
        <v>132</v>
      </c>
      <c r="C360" s="63" t="s">
        <v>132</v>
      </c>
      <c r="D360" s="63" t="s">
        <v>132</v>
      </c>
      <c r="E360" s="503"/>
      <c r="F360" s="503"/>
      <c r="G360" s="503"/>
      <c r="H360" s="503"/>
      <c r="I360" s="503"/>
      <c r="J360" s="503"/>
      <c r="K360" s="503"/>
      <c r="L360" s="503"/>
      <c r="M360" s="503"/>
      <c r="N360" s="504">
        <v>2.0</v>
      </c>
      <c r="O360" s="345" t="s">
        <v>3053</v>
      </c>
      <c r="P360" s="506" t="s">
        <v>3054</v>
      </c>
      <c r="Q360" s="340">
        <v>5.0</v>
      </c>
      <c r="R360" s="345" t="s">
        <v>2440</v>
      </c>
    </row>
    <row r="361">
      <c r="A361" s="502" t="str">
        <f>HYPERLINK("http://en.uesp.net/wiki/Skyrim:The_City_of_Stone","The City of Stone")</f>
        <v>The City of Stone</v>
      </c>
      <c r="B361" s="63" t="s">
        <v>132</v>
      </c>
      <c r="C361" s="63" t="s">
        <v>132</v>
      </c>
      <c r="D361" s="63" t="s">
        <v>132</v>
      </c>
      <c r="E361" s="503"/>
      <c r="F361" s="503"/>
      <c r="G361" s="503"/>
      <c r="H361" s="503"/>
      <c r="I361" s="503"/>
      <c r="J361" s="503"/>
      <c r="K361" s="503"/>
      <c r="L361" s="503"/>
      <c r="M361" s="503"/>
      <c r="N361" s="504">
        <v>1.0</v>
      </c>
      <c r="O361" s="505" t="s">
        <v>3055</v>
      </c>
      <c r="P361" s="506" t="s">
        <v>3056</v>
      </c>
      <c r="Q361" s="340">
        <v>4.0</v>
      </c>
      <c r="R361" s="503" t="s">
        <v>2440</v>
      </c>
    </row>
    <row r="362">
      <c r="A362" s="502" t="str">
        <f>HYPERLINK("http://en.uesp.net/wiki/Skyrim:The_Code_of_Malacath","The Code of Malacath")</f>
        <v>The Code of Malacath</v>
      </c>
      <c r="B362" s="63" t="s">
        <v>132</v>
      </c>
      <c r="C362" s="63" t="s">
        <v>132</v>
      </c>
      <c r="D362" s="63" t="s">
        <v>132</v>
      </c>
      <c r="E362" s="503"/>
      <c r="F362" s="503"/>
      <c r="G362" s="503"/>
      <c r="H362" s="503"/>
      <c r="I362" s="503"/>
      <c r="J362" s="503"/>
      <c r="K362" s="503"/>
      <c r="L362" s="503"/>
      <c r="M362" s="503"/>
      <c r="N362" s="504">
        <v>1.0</v>
      </c>
      <c r="O362" s="505" t="s">
        <v>3055</v>
      </c>
      <c r="P362" s="505" t="s">
        <v>3057</v>
      </c>
      <c r="Q362" s="340">
        <v>2.0</v>
      </c>
      <c r="R362" s="453" t="s">
        <v>2440</v>
      </c>
    </row>
    <row r="363">
      <c r="A363" s="502" t="str">
        <f>HYPERLINK("http://en.uesp.net/wiki/Skyrim:The_Doors_of_Oblivion","The Doors of Oblivion")</f>
        <v>The Doors of Oblivion</v>
      </c>
      <c r="B363" s="63" t="s">
        <v>132</v>
      </c>
      <c r="C363" s="63" t="s">
        <v>132</v>
      </c>
      <c r="D363" s="63" t="s">
        <v>132</v>
      </c>
      <c r="E363" s="503"/>
      <c r="F363" s="503"/>
      <c r="G363" s="503"/>
      <c r="H363" s="503"/>
      <c r="I363" s="503"/>
      <c r="J363" s="503"/>
      <c r="K363" s="503"/>
      <c r="L363" s="503"/>
      <c r="M363" s="503"/>
      <c r="N363" s="320" t="s">
        <v>1524</v>
      </c>
      <c r="O363" s="508" t="s">
        <v>3058</v>
      </c>
      <c r="P363" s="506" t="s">
        <v>3059</v>
      </c>
      <c r="Q363" s="340">
        <v>50.0</v>
      </c>
      <c r="R363" s="472" t="s">
        <v>2489</v>
      </c>
    </row>
    <row r="364">
      <c r="A364" s="502" t="str">
        <f>HYPERLINK("https://en.uesp.net/wiki/Skyrim:The_Doors_of_the_Spirit", "The Doors of the Spirit (DB)")</f>
        <v>The Doors of the Spirit (DB)</v>
      </c>
      <c r="B364" s="63" t="s">
        <v>132</v>
      </c>
      <c r="C364" s="63" t="s">
        <v>132</v>
      </c>
      <c r="D364" s="63" t="s">
        <v>132</v>
      </c>
      <c r="E364" s="503"/>
      <c r="F364" s="503"/>
      <c r="G364" s="503"/>
      <c r="H364" s="503"/>
      <c r="I364" s="503"/>
      <c r="J364" s="503"/>
      <c r="K364" s="503"/>
      <c r="L364" s="503"/>
      <c r="M364" s="503"/>
      <c r="N364" s="42">
        <v>2.0</v>
      </c>
      <c r="O364" s="506" t="s">
        <v>2481</v>
      </c>
      <c r="P364" s="506" t="s">
        <v>3060</v>
      </c>
      <c r="Q364" s="340">
        <v>5.0</v>
      </c>
      <c r="R364" s="508" t="s">
        <v>2440</v>
      </c>
    </row>
    <row r="365">
      <c r="A365" s="502" t="str">
        <f>HYPERLINK("http://en.uesp.net/wiki/Skyrim:The_Dowry","The Dowry")</f>
        <v>The Dowry</v>
      </c>
      <c r="B365" s="63" t="s">
        <v>132</v>
      </c>
      <c r="C365" s="63" t="s">
        <v>132</v>
      </c>
      <c r="D365" s="63" t="s">
        <v>132</v>
      </c>
      <c r="E365" s="503"/>
      <c r="F365" s="503"/>
      <c r="G365" s="503"/>
      <c r="H365" s="503"/>
      <c r="I365" s="503"/>
      <c r="J365" s="503"/>
      <c r="K365" s="503"/>
      <c r="L365" s="503"/>
      <c r="M365" s="503"/>
      <c r="N365" s="320">
        <v>3.0</v>
      </c>
      <c r="O365" s="508" t="s">
        <v>2574</v>
      </c>
      <c r="P365" s="506" t="s">
        <v>3061</v>
      </c>
      <c r="Q365" s="340">
        <v>11.0</v>
      </c>
      <c r="R365" s="453" t="s">
        <v>2440</v>
      </c>
    </row>
    <row r="366">
      <c r="A366" s="502" t="str">
        <f>HYPERLINK("http://en.uesp.net/wiki/Skyrim:The_Dragon_Break","The Dragon Break")</f>
        <v>The Dragon Break</v>
      </c>
      <c r="B366" s="63" t="s">
        <v>132</v>
      </c>
      <c r="C366" s="63" t="s">
        <v>132</v>
      </c>
      <c r="D366" s="63" t="s">
        <v>132</v>
      </c>
      <c r="E366" s="503"/>
      <c r="F366" s="503"/>
      <c r="G366" s="503"/>
      <c r="H366" s="503"/>
      <c r="I366" s="503"/>
      <c r="J366" s="503"/>
      <c r="K366" s="503"/>
      <c r="L366" s="503"/>
      <c r="M366" s="503"/>
      <c r="N366" s="320">
        <v>3.0</v>
      </c>
      <c r="O366" s="506" t="s">
        <v>3062</v>
      </c>
      <c r="P366" s="506" t="s">
        <v>3063</v>
      </c>
      <c r="Q366" s="340">
        <v>14.0</v>
      </c>
      <c r="R366" s="503" t="s">
        <v>2440</v>
      </c>
    </row>
    <row r="367">
      <c r="A367" s="502" t="str">
        <f>HYPERLINK("http://en.uesp.net/wiki/Skyrim:The_Dragon_War","The Dragon War")</f>
        <v>The Dragon War</v>
      </c>
      <c r="B367" s="63" t="s">
        <v>132</v>
      </c>
      <c r="C367" s="63" t="s">
        <v>132</v>
      </c>
      <c r="D367" s="63" t="s">
        <v>132</v>
      </c>
      <c r="E367" s="503"/>
      <c r="F367" s="503"/>
      <c r="G367" s="503"/>
      <c r="H367" s="503"/>
      <c r="I367" s="503"/>
      <c r="J367" s="503"/>
      <c r="K367" s="503"/>
      <c r="L367" s="503"/>
      <c r="M367" s="503"/>
      <c r="N367" s="320">
        <v>3.0</v>
      </c>
      <c r="O367" s="508" t="s">
        <v>3064</v>
      </c>
      <c r="P367" s="506" t="s">
        <v>3065</v>
      </c>
      <c r="Q367" s="340">
        <v>12.0</v>
      </c>
      <c r="R367" s="453" t="s">
        <v>2440</v>
      </c>
    </row>
    <row r="368">
      <c r="A368" s="502" t="str">
        <f>HYPERLINK("http://en.uesp.net/wiki/Skyrim:The_Dreamstride","The Dreamstride")</f>
        <v>The Dreamstride</v>
      </c>
      <c r="B368" s="63" t="s">
        <v>132</v>
      </c>
      <c r="C368" s="63" t="s">
        <v>132</v>
      </c>
      <c r="D368" s="63" t="s">
        <v>132</v>
      </c>
      <c r="E368" s="503"/>
      <c r="F368" s="503"/>
      <c r="G368" s="503"/>
      <c r="H368" s="503"/>
      <c r="I368" s="503"/>
      <c r="J368" s="503"/>
      <c r="K368" s="503"/>
      <c r="L368" s="503"/>
      <c r="M368" s="503"/>
      <c r="N368" s="320" t="s">
        <v>1524</v>
      </c>
      <c r="O368" s="508" t="s">
        <v>3066</v>
      </c>
      <c r="P368" s="506" t="s">
        <v>3067</v>
      </c>
      <c r="Q368" s="340">
        <v>5.0</v>
      </c>
      <c r="R368" s="345" t="s">
        <v>2440</v>
      </c>
    </row>
    <row r="369">
      <c r="A369" s="502" t="str">
        <f>HYPERLINK("http://en.uesp.net/wiki/Skyrim:The_Exodus","The Exodus")</f>
        <v>The Exodus</v>
      </c>
      <c r="B369" s="63" t="s">
        <v>132</v>
      </c>
      <c r="C369" s="63" t="s">
        <v>132</v>
      </c>
      <c r="D369" s="63" t="s">
        <v>132</v>
      </c>
      <c r="E369" s="503"/>
      <c r="F369" s="503"/>
      <c r="G369" s="503"/>
      <c r="H369" s="503"/>
      <c r="I369" s="503"/>
      <c r="J369" s="503"/>
      <c r="K369" s="503"/>
      <c r="L369" s="503"/>
      <c r="M369" s="503"/>
      <c r="N369" s="320" t="s">
        <v>1524</v>
      </c>
      <c r="O369" s="508" t="s">
        <v>2506</v>
      </c>
      <c r="P369" s="506" t="s">
        <v>3068</v>
      </c>
      <c r="Q369" s="340">
        <v>55.0</v>
      </c>
      <c r="R369" s="509" t="s">
        <v>2498</v>
      </c>
    </row>
    <row r="370">
      <c r="A370" s="502" t="str">
        <f>HYPERLINK("http://en.uesp.net/wiki/Skyrim:The_Falmer:_A_Study","The Falmer: A Study")</f>
        <v>The Falmer: A Study</v>
      </c>
      <c r="B370" s="63" t="s">
        <v>132</v>
      </c>
      <c r="C370" s="63" t="s">
        <v>132</v>
      </c>
      <c r="D370" s="63" t="s">
        <v>132</v>
      </c>
      <c r="E370" s="503"/>
      <c r="F370" s="503"/>
      <c r="G370" s="503"/>
      <c r="H370" s="503"/>
      <c r="I370" s="503"/>
      <c r="J370" s="503"/>
      <c r="K370" s="503"/>
      <c r="L370" s="503"/>
      <c r="M370" s="503"/>
      <c r="N370" s="320">
        <v>3.0</v>
      </c>
      <c r="O370" s="508" t="s">
        <v>3069</v>
      </c>
      <c r="P370" s="506" t="s">
        <v>3070</v>
      </c>
      <c r="Q370" s="340">
        <v>11.0</v>
      </c>
      <c r="R370" s="503" t="s">
        <v>2440</v>
      </c>
    </row>
    <row r="371">
      <c r="A371" s="502" t="str">
        <f>HYPERLINK("http://en.uesp.net/wiki/Skyrim:The_Firmament","The Firmament")</f>
        <v>The Firmament</v>
      </c>
      <c r="B371" s="63" t="s">
        <v>132</v>
      </c>
      <c r="C371" s="63" t="s">
        <v>132</v>
      </c>
      <c r="D371" s="63" t="s">
        <v>132</v>
      </c>
      <c r="E371" s="503"/>
      <c r="F371" s="503"/>
      <c r="G371" s="503"/>
      <c r="H371" s="503"/>
      <c r="I371" s="503"/>
      <c r="J371" s="503"/>
      <c r="K371" s="503"/>
      <c r="L371" s="503"/>
      <c r="M371" s="503"/>
      <c r="N371" s="320">
        <v>2.0</v>
      </c>
      <c r="O371" s="508" t="s">
        <v>3071</v>
      </c>
      <c r="P371" s="506" t="s">
        <v>3072</v>
      </c>
      <c r="Q371" s="340">
        <v>5.0</v>
      </c>
      <c r="R371" s="503" t="s">
        <v>2440</v>
      </c>
    </row>
    <row r="372">
      <c r="A372" s="502" t="str">
        <f>HYPERLINK("http://en.uesp.net/wiki/Skyrim:The_Firsthold_Revolt","The Firsthold Revolt")</f>
        <v>The Firsthold Revolt</v>
      </c>
      <c r="B372" s="63" t="s">
        <v>132</v>
      </c>
      <c r="C372" s="63" t="s">
        <v>132</v>
      </c>
      <c r="D372" s="63" t="s">
        <v>132</v>
      </c>
      <c r="E372" s="503"/>
      <c r="F372" s="503"/>
      <c r="G372" s="503"/>
      <c r="H372" s="503"/>
      <c r="I372" s="503"/>
      <c r="J372" s="503"/>
      <c r="K372" s="503"/>
      <c r="L372" s="503"/>
      <c r="M372" s="503"/>
      <c r="N372" s="320">
        <v>2.0</v>
      </c>
      <c r="O372" s="508" t="s">
        <v>3073</v>
      </c>
      <c r="P372" s="506" t="s">
        <v>3074</v>
      </c>
      <c r="Q372" s="340">
        <v>7.0</v>
      </c>
      <c r="R372" s="453" t="s">
        <v>2440</v>
      </c>
    </row>
    <row r="373">
      <c r="A373" s="502" t="str">
        <f>HYPERLINK("https://en.uesp.net/wiki/Skyrim:The_Five_Far_Stars", "The Five Far Stars (DB)")</f>
        <v>The Five Far Stars (DB)</v>
      </c>
      <c r="B373" s="63" t="s">
        <v>132</v>
      </c>
      <c r="C373" s="63" t="s">
        <v>132</v>
      </c>
      <c r="D373" s="63" t="s">
        <v>132</v>
      </c>
      <c r="E373" s="503"/>
      <c r="F373" s="503"/>
      <c r="G373" s="503"/>
      <c r="H373" s="503"/>
      <c r="I373" s="503"/>
      <c r="J373" s="503"/>
      <c r="K373" s="503"/>
      <c r="L373" s="503"/>
      <c r="M373" s="503"/>
      <c r="N373" s="42">
        <v>2.0</v>
      </c>
      <c r="O373" s="506" t="s">
        <v>3075</v>
      </c>
      <c r="P373" s="453" t="s">
        <v>3076</v>
      </c>
      <c r="Q373" s="340">
        <v>7.0</v>
      </c>
      <c r="R373" s="345" t="s">
        <v>2440</v>
      </c>
    </row>
    <row r="374">
      <c r="A374" s="502" t="str">
        <f>HYPERLINK("http://en.uesp.net/wiki/Skyrim:The_Four_Totems_of_Volskygge","The Four Totems of Volskygge")</f>
        <v>The Four Totems of Volskygge</v>
      </c>
      <c r="B374" s="63" t="s">
        <v>132</v>
      </c>
      <c r="C374" s="63" t="s">
        <v>132</v>
      </c>
      <c r="D374" s="63" t="s">
        <v>132</v>
      </c>
      <c r="E374" s="503"/>
      <c r="F374" s="503"/>
      <c r="G374" s="503"/>
      <c r="H374" s="503"/>
      <c r="I374" s="503"/>
      <c r="J374" s="503"/>
      <c r="K374" s="503"/>
      <c r="L374" s="503"/>
      <c r="M374" s="503"/>
      <c r="N374" s="320" t="s">
        <v>1524</v>
      </c>
      <c r="O374" s="508" t="s">
        <v>2481</v>
      </c>
      <c r="P374" s="506" t="s">
        <v>3077</v>
      </c>
      <c r="Q374" s="340">
        <v>5.0</v>
      </c>
      <c r="R374" s="345" t="s">
        <v>2440</v>
      </c>
    </row>
    <row r="375">
      <c r="A375" s="502" t="str">
        <f>HYPERLINK("http://en.uesp.net/wiki/Skyrim:The_Gold_Ribbon_of_Merit","The Gold Ribbon of Merit")</f>
        <v>The Gold Ribbon of Merit</v>
      </c>
      <c r="B375" s="63" t="s">
        <v>132</v>
      </c>
      <c r="C375" s="63" t="s">
        <v>132</v>
      </c>
      <c r="D375" s="63" t="s">
        <v>132</v>
      </c>
      <c r="E375" s="503"/>
      <c r="F375" s="503"/>
      <c r="G375" s="503"/>
      <c r="H375" s="503"/>
      <c r="I375" s="503"/>
      <c r="J375" s="503"/>
      <c r="K375" s="503"/>
      <c r="L375" s="503"/>
      <c r="M375" s="503"/>
      <c r="N375" s="504" t="s">
        <v>1524</v>
      </c>
      <c r="O375" s="345" t="s">
        <v>3078</v>
      </c>
      <c r="P375" s="506" t="s">
        <v>3079</v>
      </c>
      <c r="Q375" s="340">
        <v>65.0</v>
      </c>
      <c r="R375" s="472" t="s">
        <v>2704</v>
      </c>
    </row>
    <row r="376">
      <c r="A376" s="502" t="str">
        <f>HYPERLINK("http://en.uesp.net/wiki/Skyrim:The_Great_War","The Great War")</f>
        <v>The Great War</v>
      </c>
      <c r="B376" s="63" t="s">
        <v>132</v>
      </c>
      <c r="C376" s="63" t="s">
        <v>132</v>
      </c>
      <c r="D376" s="63" t="s">
        <v>132</v>
      </c>
      <c r="E376" s="503"/>
      <c r="F376" s="503"/>
      <c r="G376" s="503"/>
      <c r="H376" s="503"/>
      <c r="I376" s="503"/>
      <c r="J376" s="503"/>
      <c r="K376" s="503"/>
      <c r="L376" s="503"/>
      <c r="M376" s="503"/>
      <c r="N376" s="320">
        <v>2.0</v>
      </c>
      <c r="O376" s="508" t="s">
        <v>3080</v>
      </c>
      <c r="P376" s="506" t="s">
        <v>3081</v>
      </c>
      <c r="Q376" s="340">
        <v>6.0</v>
      </c>
      <c r="R376" s="453" t="s">
        <v>2440</v>
      </c>
    </row>
    <row r="377">
      <c r="A377" s="502" t="str">
        <f>HYPERLINK("https://en.uesp.net/wiki/Skyrim:The_Guardian_and_the_Traitor", "The Guardian and the Traitor (DB)")</f>
        <v>The Guardian and the Traitor (DB)</v>
      </c>
      <c r="B377" s="63" t="s">
        <v>132</v>
      </c>
      <c r="C377" s="63" t="s">
        <v>132</v>
      </c>
      <c r="D377" s="63" t="s">
        <v>132</v>
      </c>
      <c r="E377" s="503"/>
      <c r="F377" s="503"/>
      <c r="G377" s="503"/>
      <c r="H377" s="503"/>
      <c r="I377" s="503"/>
      <c r="J377" s="503"/>
      <c r="K377" s="503"/>
      <c r="L377" s="503"/>
      <c r="M377" s="503"/>
      <c r="N377" s="42">
        <v>4.0</v>
      </c>
      <c r="O377" s="505" t="s">
        <v>3082</v>
      </c>
      <c r="P377" s="506" t="s">
        <v>3083</v>
      </c>
      <c r="Q377" s="340">
        <v>20.0</v>
      </c>
      <c r="R377" s="345" t="s">
        <v>2440</v>
      </c>
    </row>
    <row r="378">
      <c r="A378" s="502" t="str">
        <f>HYPERLINK("http://en.uesp.net/wiki/Skyrim:The_Holds_of_Skyrim","The Holds of Skyrim")</f>
        <v>The Holds of Skyrim</v>
      </c>
      <c r="B378" s="63" t="s">
        <v>132</v>
      </c>
      <c r="C378" s="63" t="s">
        <v>132</v>
      </c>
      <c r="D378" s="63" t="s">
        <v>132</v>
      </c>
      <c r="E378" s="503"/>
      <c r="F378" s="503"/>
      <c r="G378" s="503"/>
      <c r="H378" s="503"/>
      <c r="I378" s="503"/>
      <c r="J378" s="503"/>
      <c r="K378" s="503"/>
      <c r="L378" s="503"/>
      <c r="M378" s="503"/>
      <c r="N378" s="504">
        <v>1.0</v>
      </c>
      <c r="O378" s="345" t="s">
        <v>3084</v>
      </c>
      <c r="P378" s="506" t="s">
        <v>3085</v>
      </c>
      <c r="Q378" s="340">
        <v>3.0</v>
      </c>
      <c r="R378" s="503" t="s">
        <v>2440</v>
      </c>
    </row>
    <row r="379">
      <c r="A379" s="502" t="str">
        <f>HYPERLINK("http://en.uesp.net/wiki/Skyrim:The_Hope_of_the_Redoran","The Hope of the Redoran")</f>
        <v>The Hope of the Redoran</v>
      </c>
      <c r="B379" s="63" t="s">
        <v>132</v>
      </c>
      <c r="C379" s="63" t="s">
        <v>132</v>
      </c>
      <c r="D379" s="63" t="s">
        <v>132</v>
      </c>
      <c r="E379" s="503"/>
      <c r="F379" s="503"/>
      <c r="G379" s="503"/>
      <c r="H379" s="503"/>
      <c r="I379" s="503"/>
      <c r="J379" s="503"/>
      <c r="K379" s="503"/>
      <c r="L379" s="503"/>
      <c r="M379" s="503"/>
      <c r="N379" s="320">
        <v>2.0</v>
      </c>
      <c r="O379" s="508" t="s">
        <v>3086</v>
      </c>
      <c r="P379" s="506" t="s">
        <v>3087</v>
      </c>
      <c r="Q379" s="340">
        <v>5.0</v>
      </c>
      <c r="R379" s="453" t="s">
        <v>2440</v>
      </c>
    </row>
    <row r="380">
      <c r="A380" s="502" t="str">
        <f>HYPERLINK("https://en.uesp.net/wiki/Skyrim:The_House_of_Troubles", "The House of Troubles (DB)")</f>
        <v>The House of Troubles (DB)</v>
      </c>
      <c r="B380" s="63" t="s">
        <v>132</v>
      </c>
      <c r="C380" s="63" t="s">
        <v>132</v>
      </c>
      <c r="D380" s="63" t="s">
        <v>132</v>
      </c>
      <c r="E380" s="503"/>
      <c r="F380" s="503"/>
      <c r="G380" s="503"/>
      <c r="H380" s="503"/>
      <c r="I380" s="503"/>
      <c r="J380" s="503"/>
      <c r="K380" s="503"/>
      <c r="L380" s="503"/>
      <c r="M380" s="503"/>
      <c r="N380" s="42">
        <v>2.0</v>
      </c>
      <c r="O380" s="506" t="s">
        <v>2481</v>
      </c>
      <c r="P380" s="506" t="s">
        <v>3088</v>
      </c>
      <c r="Q380" s="340">
        <v>7.0</v>
      </c>
      <c r="R380" s="508" t="s">
        <v>2440</v>
      </c>
    </row>
    <row r="381">
      <c r="A381" s="502" t="str">
        <f>HYPERLINK("http://en.uesp.net/wiki/Skyrim:The_Importance_of_Where","The Importance of Where")</f>
        <v>The Importance of Where</v>
      </c>
      <c r="B381" s="63" t="s">
        <v>132</v>
      </c>
      <c r="C381" s="63" t="s">
        <v>132</v>
      </c>
      <c r="D381" s="63" t="s">
        <v>132</v>
      </c>
      <c r="E381" s="503"/>
      <c r="F381" s="503"/>
      <c r="G381" s="503"/>
      <c r="H381" s="503"/>
      <c r="I381" s="503"/>
      <c r="J381" s="503"/>
      <c r="K381" s="503"/>
      <c r="L381" s="503"/>
      <c r="M381" s="503"/>
      <c r="N381" s="504" t="s">
        <v>1524</v>
      </c>
      <c r="O381" s="345" t="s">
        <v>2574</v>
      </c>
      <c r="P381" s="506" t="s">
        <v>3089</v>
      </c>
      <c r="Q381" s="340">
        <v>50.0</v>
      </c>
      <c r="R381" s="472" t="s">
        <v>2496</v>
      </c>
    </row>
    <row r="382">
      <c r="A382" s="502" t="str">
        <f>HYPERLINK("https://en.uesp.net/wiki/Skyrim:The_Journal_of_Ralis_Sedarys_-_Volume_19", "The Journal of Ralis Sedarys - Volume 19 (DB)")</f>
        <v>The Journal of Ralis Sedarys - Volume 19 (DB)</v>
      </c>
      <c r="B382" s="63" t="s">
        <v>132</v>
      </c>
      <c r="C382" s="63" t="s">
        <v>132</v>
      </c>
      <c r="D382" s="63" t="s">
        <v>132</v>
      </c>
      <c r="E382" s="503"/>
      <c r="F382" s="503"/>
      <c r="G382" s="503"/>
      <c r="H382" s="503"/>
      <c r="I382" s="503"/>
      <c r="J382" s="503"/>
      <c r="K382" s="503"/>
      <c r="L382" s="503"/>
      <c r="M382" s="503"/>
      <c r="N382" s="320" t="s">
        <v>1524</v>
      </c>
      <c r="O382" s="506" t="s">
        <v>1121</v>
      </c>
      <c r="P382" s="514" t="s">
        <v>3090</v>
      </c>
      <c r="Q382" s="340">
        <v>5.0</v>
      </c>
      <c r="R382" s="503" t="s">
        <v>2536</v>
      </c>
    </row>
    <row r="383">
      <c r="A383" s="502" t="str">
        <f>HYPERLINK("https://en.uesp.net/wiki/Skyrim:The_Journal_of_Ralis_Sedarys_-_Volume_20", "The Journal of Ralis Sedarys - Volume 20 (DB)")</f>
        <v>The Journal of Ralis Sedarys - Volume 20 (DB)</v>
      </c>
      <c r="B383" s="63" t="s">
        <v>132</v>
      </c>
      <c r="C383" s="63" t="s">
        <v>132</v>
      </c>
      <c r="D383" s="63" t="s">
        <v>132</v>
      </c>
      <c r="E383" s="503"/>
      <c r="F383" s="503"/>
      <c r="G383" s="503"/>
      <c r="H383" s="503"/>
      <c r="I383" s="503"/>
      <c r="J383" s="503"/>
      <c r="K383" s="503"/>
      <c r="L383" s="503"/>
      <c r="M383" s="503"/>
      <c r="N383" s="320" t="s">
        <v>1524</v>
      </c>
      <c r="O383" s="506" t="s">
        <v>1121</v>
      </c>
      <c r="P383" s="514" t="s">
        <v>3091</v>
      </c>
      <c r="Q383" s="340">
        <v>5.0</v>
      </c>
      <c r="R383" s="503" t="s">
        <v>2536</v>
      </c>
    </row>
    <row r="384">
      <c r="A384" s="502" t="str">
        <f>HYPERLINK("https://en.uesp.net/wiki/Skyrim:The_Journal_of_Ralis_Sedarys_-_Volume_21", "The Journal of Ralis Sedarys - Volume 21 (DB)")</f>
        <v>The Journal of Ralis Sedarys - Volume 21 (DB)</v>
      </c>
      <c r="B384" s="63" t="s">
        <v>132</v>
      </c>
      <c r="C384" s="63" t="s">
        <v>132</v>
      </c>
      <c r="D384" s="63" t="s">
        <v>132</v>
      </c>
      <c r="E384" s="503"/>
      <c r="F384" s="503"/>
      <c r="G384" s="503"/>
      <c r="H384" s="503"/>
      <c r="I384" s="503"/>
      <c r="J384" s="503"/>
      <c r="K384" s="503"/>
      <c r="L384" s="503"/>
      <c r="M384" s="503"/>
      <c r="N384" s="320" t="s">
        <v>1524</v>
      </c>
      <c r="O384" s="506" t="s">
        <v>1121</v>
      </c>
      <c r="P384" s="514" t="s">
        <v>3092</v>
      </c>
      <c r="Q384" s="340">
        <v>5.0</v>
      </c>
      <c r="R384" s="503" t="s">
        <v>2536</v>
      </c>
    </row>
    <row r="385">
      <c r="A385" s="502" t="str">
        <f>HYPERLINK("https://en.uesp.net/wiki/Skyrim:The_Journal_of_Ralis_Sedarys_-_Volume_22", "The Journal of Ralis Sedarys - Volume 22 (DB)")</f>
        <v>The Journal of Ralis Sedarys - Volume 22 (DB)</v>
      </c>
      <c r="B385" s="63" t="s">
        <v>132</v>
      </c>
      <c r="C385" s="63" t="s">
        <v>132</v>
      </c>
      <c r="D385" s="63" t="s">
        <v>132</v>
      </c>
      <c r="E385" s="503"/>
      <c r="F385" s="503"/>
      <c r="G385" s="503"/>
      <c r="H385" s="503"/>
      <c r="I385" s="503"/>
      <c r="J385" s="503"/>
      <c r="K385" s="503"/>
      <c r="L385" s="503"/>
      <c r="M385" s="503"/>
      <c r="N385" s="320" t="s">
        <v>1524</v>
      </c>
      <c r="O385" s="506" t="s">
        <v>1121</v>
      </c>
      <c r="P385" s="514" t="s">
        <v>3093</v>
      </c>
      <c r="Q385" s="340">
        <v>5.0</v>
      </c>
      <c r="R385" s="453" t="s">
        <v>2536</v>
      </c>
    </row>
    <row r="386">
      <c r="A386" s="502" t="str">
        <f>HYPERLINK("https://en.uesp.net/wiki/Skyrim:The_Journal_of_Ralis_Sedarys_-_Volume_23", "The Journal of Ralis Sedarys - Volume 23 (DB)")</f>
        <v>The Journal of Ralis Sedarys - Volume 23 (DB)</v>
      </c>
      <c r="B386" s="63" t="s">
        <v>132</v>
      </c>
      <c r="C386" s="63" t="s">
        <v>132</v>
      </c>
      <c r="D386" s="63" t="s">
        <v>132</v>
      </c>
      <c r="E386" s="503"/>
      <c r="F386" s="503"/>
      <c r="G386" s="503"/>
      <c r="H386" s="503"/>
      <c r="I386" s="503"/>
      <c r="J386" s="503"/>
      <c r="K386" s="503"/>
      <c r="L386" s="503"/>
      <c r="M386" s="503"/>
      <c r="N386" s="504" t="s">
        <v>1524</v>
      </c>
      <c r="O386" s="505" t="s">
        <v>1121</v>
      </c>
      <c r="P386" s="514" t="s">
        <v>3094</v>
      </c>
      <c r="Q386" s="340">
        <v>5.0</v>
      </c>
      <c r="R386" s="503" t="s">
        <v>2536</v>
      </c>
    </row>
    <row r="387">
      <c r="A387" s="502" t="str">
        <f>HYPERLINK("http://en.uesp.net/wiki/Skyrim:The_Keepers_of_the_Razor","The Keepers of the Razor")</f>
        <v>The Keepers of the Razor</v>
      </c>
      <c r="B387" s="63" t="s">
        <v>132</v>
      </c>
      <c r="C387" s="63" t="s">
        <v>132</v>
      </c>
      <c r="D387" s="63" t="s">
        <v>132</v>
      </c>
      <c r="E387" s="503"/>
      <c r="F387" s="503"/>
      <c r="G387" s="503"/>
      <c r="H387" s="503"/>
      <c r="I387" s="503"/>
      <c r="J387" s="503"/>
      <c r="K387" s="503"/>
      <c r="L387" s="503"/>
      <c r="M387" s="503"/>
      <c r="N387" s="320" t="s">
        <v>1524</v>
      </c>
      <c r="O387" s="508" t="s">
        <v>454</v>
      </c>
      <c r="P387" s="506" t="s">
        <v>3095</v>
      </c>
      <c r="Q387" s="340">
        <v>5.0</v>
      </c>
      <c r="R387" s="503" t="s">
        <v>2440</v>
      </c>
    </row>
    <row r="388">
      <c r="A388" s="502" t="str">
        <f>HYPERLINK("http://en.uesp.net/wiki/Skyrim:The_Knights_of_the_Nine","The Knights of the Nine")</f>
        <v>The Knights of the Nine</v>
      </c>
      <c r="B388" s="63" t="s">
        <v>132</v>
      </c>
      <c r="C388" s="63" t="s">
        <v>132</v>
      </c>
      <c r="D388" s="63" t="s">
        <v>132</v>
      </c>
      <c r="E388" s="503"/>
      <c r="F388" s="503"/>
      <c r="G388" s="503"/>
      <c r="H388" s="503"/>
      <c r="I388" s="503"/>
      <c r="J388" s="503"/>
      <c r="K388" s="503"/>
      <c r="L388" s="503"/>
      <c r="M388" s="503"/>
      <c r="N388" s="320" t="s">
        <v>1524</v>
      </c>
      <c r="O388" s="508" t="s">
        <v>3096</v>
      </c>
      <c r="P388" s="506" t="s">
        <v>3097</v>
      </c>
      <c r="Q388" s="340">
        <v>70.0</v>
      </c>
      <c r="R388" s="509" t="s">
        <v>2494</v>
      </c>
    </row>
    <row r="389">
      <c r="A389" s="515" t="str">
        <f>HYPERLINK("http://en.uesp.net/wiki/Skyrim:The_Last_King_of_the_Ayleids","The Last King of the Ayleids")</f>
        <v>The Last King of the Ayleids</v>
      </c>
      <c r="B389" s="63" t="s">
        <v>132</v>
      </c>
      <c r="C389" s="63" t="s">
        <v>132</v>
      </c>
      <c r="D389" s="63" t="s">
        <v>132</v>
      </c>
      <c r="E389" s="453"/>
      <c r="F389" s="453"/>
      <c r="G389" s="453"/>
      <c r="H389" s="453"/>
      <c r="I389" s="453"/>
      <c r="J389" s="453"/>
      <c r="K389" s="453"/>
      <c r="L389" s="453"/>
      <c r="M389" s="453"/>
      <c r="N389" s="504" t="s">
        <v>1524</v>
      </c>
      <c r="O389" s="345" t="s">
        <v>2813</v>
      </c>
      <c r="P389" s="506" t="s">
        <v>3098</v>
      </c>
      <c r="Q389" s="340">
        <v>5.0</v>
      </c>
      <c r="R389" s="453" t="s">
        <v>2440</v>
      </c>
    </row>
    <row r="390">
      <c r="A390" s="502" t="str">
        <f>HYPERLINK("http://en.uesp.net/wiki/Skyrim:The_Legend_of_Red_Eagle","The Legend of Red Eagle")</f>
        <v>The Legend of Red Eagle</v>
      </c>
      <c r="B390" s="63" t="s">
        <v>132</v>
      </c>
      <c r="C390" s="63" t="s">
        <v>132</v>
      </c>
      <c r="D390" s="63" t="s">
        <v>132</v>
      </c>
      <c r="E390" s="503"/>
      <c r="F390" s="503"/>
      <c r="G390" s="503"/>
      <c r="H390" s="503"/>
      <c r="I390" s="503"/>
      <c r="J390" s="503"/>
      <c r="K390" s="503"/>
      <c r="L390" s="503"/>
      <c r="M390" s="503"/>
      <c r="N390" s="320">
        <v>2.0</v>
      </c>
      <c r="O390" s="508" t="s">
        <v>3099</v>
      </c>
      <c r="P390" s="506" t="s">
        <v>3100</v>
      </c>
      <c r="Q390" s="340">
        <v>5.0</v>
      </c>
      <c r="R390" s="453" t="s">
        <v>2526</v>
      </c>
    </row>
    <row r="391">
      <c r="A391" s="502" t="str">
        <f>HYPERLINK("http://en.uesp.net/wiki/Skyrim:The_Legendary_Sancre_Tor","The Legendary Sancre Tor")</f>
        <v>The Legendary Sancre Tor</v>
      </c>
      <c r="B391" s="63" t="s">
        <v>132</v>
      </c>
      <c r="C391" s="63" t="s">
        <v>132</v>
      </c>
      <c r="D391" s="63" t="s">
        <v>132</v>
      </c>
      <c r="E391" s="503"/>
      <c r="F391" s="503"/>
      <c r="G391" s="503"/>
      <c r="H391" s="503"/>
      <c r="I391" s="503"/>
      <c r="J391" s="503"/>
      <c r="K391" s="503"/>
      <c r="L391" s="503"/>
      <c r="M391" s="503"/>
      <c r="N391" s="320" t="s">
        <v>1524</v>
      </c>
      <c r="O391" s="508" t="s">
        <v>3101</v>
      </c>
      <c r="P391" s="506" t="s">
        <v>3102</v>
      </c>
      <c r="Q391" s="340">
        <v>50.0</v>
      </c>
      <c r="R391" s="472" t="s">
        <v>2583</v>
      </c>
    </row>
    <row r="392">
      <c r="A392" s="502" t="str">
        <f>HYPERLINK("http://en.uesp.net/wiki/Skyrim:The_Legendary_Scourge","The Legendary Scourge")</f>
        <v>The Legendary Scourge</v>
      </c>
      <c r="B392" s="63" t="s">
        <v>132</v>
      </c>
      <c r="C392" s="63" t="s">
        <v>132</v>
      </c>
      <c r="D392" s="63" t="s">
        <v>132</v>
      </c>
      <c r="E392" s="503"/>
      <c r="F392" s="503"/>
      <c r="G392" s="503"/>
      <c r="H392" s="503"/>
      <c r="I392" s="503"/>
      <c r="J392" s="503"/>
      <c r="K392" s="503"/>
      <c r="L392" s="503"/>
      <c r="M392" s="503"/>
      <c r="N392" s="320">
        <v>4.0</v>
      </c>
      <c r="O392" s="508" t="s">
        <v>2481</v>
      </c>
      <c r="P392" s="506" t="s">
        <v>3103</v>
      </c>
      <c r="Q392" s="340">
        <v>30.0</v>
      </c>
      <c r="R392" s="345" t="s">
        <v>2440</v>
      </c>
    </row>
    <row r="393">
      <c r="A393" s="502" t="str">
        <f>HYPERLINK("http://en.uesp.net/wiki/Skyrim:The_Locked_Room","The Locked Room")</f>
        <v>The Locked Room</v>
      </c>
      <c r="B393" s="63" t="s">
        <v>132</v>
      </c>
      <c r="C393" s="63" t="s">
        <v>132</v>
      </c>
      <c r="D393" s="63" t="s">
        <v>132</v>
      </c>
      <c r="E393" s="503"/>
      <c r="F393" s="503"/>
      <c r="G393" s="503"/>
      <c r="H393" s="503"/>
      <c r="I393" s="503"/>
      <c r="J393" s="503"/>
      <c r="K393" s="503"/>
      <c r="L393" s="503"/>
      <c r="M393" s="503"/>
      <c r="N393" s="320" t="s">
        <v>1524</v>
      </c>
      <c r="O393" s="508" t="s">
        <v>3104</v>
      </c>
      <c r="P393" s="506" t="s">
        <v>3105</v>
      </c>
      <c r="Q393" s="340">
        <v>75.0</v>
      </c>
      <c r="R393" s="472" t="s">
        <v>2533</v>
      </c>
    </row>
    <row r="394">
      <c r="A394" s="502" t="str">
        <f>HYPERLINK("http://en.uesp.net/wiki/Skyrim:The_Lunar_Lorkhan","The Lunar Lorkhan")</f>
        <v>The Lunar Lorkhan</v>
      </c>
      <c r="B394" s="63" t="s">
        <v>132</v>
      </c>
      <c r="C394" s="63" t="s">
        <v>132</v>
      </c>
      <c r="D394" s="63" t="s">
        <v>132</v>
      </c>
      <c r="E394" s="503"/>
      <c r="F394" s="503"/>
      <c r="G394" s="503"/>
      <c r="H394" s="503"/>
      <c r="I394" s="503"/>
      <c r="J394" s="503"/>
      <c r="K394" s="503"/>
      <c r="L394" s="503"/>
      <c r="M394" s="503"/>
      <c r="N394" s="320" t="s">
        <v>1524</v>
      </c>
      <c r="O394" s="506" t="s">
        <v>3062</v>
      </c>
      <c r="P394" s="506" t="s">
        <v>3106</v>
      </c>
      <c r="Q394" s="340">
        <v>60.0</v>
      </c>
      <c r="R394" s="472" t="s">
        <v>2602</v>
      </c>
    </row>
    <row r="395">
      <c r="A395" s="502" t="str">
        <f>HYPERLINK("http://en.uesp.net/wiki/Skyrim:The_Lusty_Argonian_Maid,_v1","The Lusty Argonian Maid, v1")</f>
        <v>The Lusty Argonian Maid, v1</v>
      </c>
      <c r="B395" s="63" t="s">
        <v>132</v>
      </c>
      <c r="C395" s="63" t="s">
        <v>132</v>
      </c>
      <c r="D395" s="63" t="s">
        <v>132</v>
      </c>
      <c r="E395" s="503"/>
      <c r="F395" s="503"/>
      <c r="G395" s="503"/>
      <c r="H395" s="503"/>
      <c r="I395" s="503"/>
      <c r="J395" s="503"/>
      <c r="K395" s="503"/>
      <c r="L395" s="503"/>
      <c r="M395" s="503"/>
      <c r="N395" s="504">
        <v>3.0</v>
      </c>
      <c r="O395" s="505" t="s">
        <v>3107</v>
      </c>
      <c r="P395" s="506" t="s">
        <v>3108</v>
      </c>
      <c r="Q395" s="340">
        <v>14.0</v>
      </c>
      <c r="R395" s="503" t="s">
        <v>2440</v>
      </c>
    </row>
    <row r="396">
      <c r="A396" s="502" t="str">
        <f>HYPERLINK("http://en.uesp.net/wiki/Skyrim:The_Lusty_Argonian_Maid,_v2","The Lusty Argonian Maid, v2")</f>
        <v>The Lusty Argonian Maid, v2</v>
      </c>
      <c r="B396" s="63" t="s">
        <v>132</v>
      </c>
      <c r="C396" s="63" t="s">
        <v>132</v>
      </c>
      <c r="D396" s="63" t="s">
        <v>132</v>
      </c>
      <c r="E396" s="503"/>
      <c r="F396" s="503"/>
      <c r="G396" s="503"/>
      <c r="H396" s="503"/>
      <c r="I396" s="503"/>
      <c r="J396" s="503"/>
      <c r="K396" s="503"/>
      <c r="L396" s="503"/>
      <c r="M396" s="503"/>
      <c r="N396" s="320">
        <v>3.0</v>
      </c>
      <c r="O396" s="506" t="s">
        <v>3107</v>
      </c>
      <c r="P396" s="506" t="s">
        <v>3109</v>
      </c>
      <c r="Q396" s="340">
        <v>14.0</v>
      </c>
      <c r="R396" s="503" t="s">
        <v>2440</v>
      </c>
    </row>
    <row r="397">
      <c r="A397" s="502" t="str">
        <f>HYPERLINK("http://en.uesp.net/wiki/Skyrim:The_Madness_of_Pelagius","The Madness of Pelagius")</f>
        <v>The Madness of Pelagius</v>
      </c>
      <c r="B397" s="63" t="s">
        <v>132</v>
      </c>
      <c r="C397" s="63" t="s">
        <v>132</v>
      </c>
      <c r="D397" s="63" t="s">
        <v>132</v>
      </c>
      <c r="E397" s="503"/>
      <c r="F397" s="503"/>
      <c r="G397" s="503"/>
      <c r="H397" s="503"/>
      <c r="I397" s="503"/>
      <c r="J397" s="503"/>
      <c r="K397" s="503"/>
      <c r="L397" s="503"/>
      <c r="M397" s="503"/>
      <c r="N397" s="320">
        <v>3.0</v>
      </c>
      <c r="O397" s="508" t="s">
        <v>3110</v>
      </c>
      <c r="P397" s="506" t="s">
        <v>3111</v>
      </c>
      <c r="Q397" s="340">
        <v>12.0</v>
      </c>
      <c r="R397" s="345" t="s">
        <v>2440</v>
      </c>
    </row>
    <row r="398">
      <c r="A398" s="502" t="str">
        <f>HYPERLINK("http://en.uesp.net/wiki/Skyrim:The_Marksmanship_Lesson","The Marksmanship Lesson")</f>
        <v>The Marksmanship Lesson</v>
      </c>
      <c r="B398" s="63" t="s">
        <v>132</v>
      </c>
      <c r="C398" s="63" t="s">
        <v>132</v>
      </c>
      <c r="D398" s="63" t="s">
        <v>132</v>
      </c>
      <c r="E398" s="503"/>
      <c r="F398" s="503"/>
      <c r="G398" s="503"/>
      <c r="H398" s="503"/>
      <c r="I398" s="503"/>
      <c r="J398" s="503"/>
      <c r="K398" s="503"/>
      <c r="L398" s="503"/>
      <c r="M398" s="503"/>
      <c r="N398" s="320" t="s">
        <v>1524</v>
      </c>
      <c r="O398" s="508" t="s">
        <v>3112</v>
      </c>
      <c r="P398" s="506" t="s">
        <v>3113</v>
      </c>
      <c r="Q398" s="340">
        <v>65.0</v>
      </c>
      <c r="R398" s="472" t="s">
        <v>2704</v>
      </c>
    </row>
    <row r="399">
      <c r="A399" s="502" t="str">
        <f>HYPERLINK("http://en.uesp.net/wiki/Skyrim:The_Mirror","The Mirror")</f>
        <v>The Mirror</v>
      </c>
      <c r="B399" s="63" t="s">
        <v>132</v>
      </c>
      <c r="C399" s="63" t="s">
        <v>132</v>
      </c>
      <c r="D399" s="63" t="s">
        <v>132</v>
      </c>
      <c r="E399" s="503"/>
      <c r="F399" s="503"/>
      <c r="G399" s="503"/>
      <c r="H399" s="503"/>
      <c r="I399" s="503"/>
      <c r="J399" s="503"/>
      <c r="K399" s="503"/>
      <c r="L399" s="503"/>
      <c r="M399" s="503"/>
      <c r="N399" s="320" t="s">
        <v>1524</v>
      </c>
      <c r="O399" s="508" t="s">
        <v>3114</v>
      </c>
      <c r="P399" s="506" t="s">
        <v>3115</v>
      </c>
      <c r="Q399" s="340">
        <v>50.0</v>
      </c>
      <c r="R399" s="472" t="s">
        <v>2509</v>
      </c>
    </row>
    <row r="400">
      <c r="A400" s="502" t="str">
        <f>HYPERLINK("http://en.uesp.net/wiki/Skyrim:The_Monomyth","The Monomyth")</f>
        <v>The Monomyth</v>
      </c>
      <c r="B400" s="63" t="s">
        <v>132</v>
      </c>
      <c r="C400" s="63" t="s">
        <v>132</v>
      </c>
      <c r="D400" s="63" t="s">
        <v>132</v>
      </c>
      <c r="E400" s="503"/>
      <c r="F400" s="503"/>
      <c r="G400" s="503"/>
      <c r="H400" s="503"/>
      <c r="I400" s="503"/>
      <c r="J400" s="503"/>
      <c r="K400" s="503"/>
      <c r="L400" s="503"/>
      <c r="M400" s="503"/>
      <c r="N400" s="320">
        <v>2.0</v>
      </c>
      <c r="O400" s="508" t="s">
        <v>2481</v>
      </c>
      <c r="P400" s="506" t="s">
        <v>3116</v>
      </c>
      <c r="Q400" s="340">
        <v>8.0</v>
      </c>
      <c r="R400" s="503" t="s">
        <v>2440</v>
      </c>
    </row>
    <row r="401">
      <c r="A401" s="502" t="str">
        <f>HYPERLINK("http://en.uesp.net/wiki/Skyrim:The_Night_Mother%27s_Truth","The Night Mother's Truth")</f>
        <v>The Night Mother's Truth</v>
      </c>
      <c r="B401" s="63" t="s">
        <v>132</v>
      </c>
      <c r="C401" s="63" t="s">
        <v>132</v>
      </c>
      <c r="D401" s="63" t="s">
        <v>132</v>
      </c>
      <c r="E401" s="503"/>
      <c r="F401" s="503"/>
      <c r="G401" s="503"/>
      <c r="H401" s="503"/>
      <c r="I401" s="503"/>
      <c r="J401" s="503"/>
      <c r="K401" s="503"/>
      <c r="L401" s="503"/>
      <c r="M401" s="503"/>
      <c r="N401" s="320">
        <v>4.0</v>
      </c>
      <c r="O401" s="508" t="s">
        <v>3117</v>
      </c>
      <c r="P401" s="506" t="s">
        <v>3118</v>
      </c>
      <c r="Q401" s="340">
        <v>25.0</v>
      </c>
      <c r="R401" s="503" t="s">
        <v>2440</v>
      </c>
    </row>
    <row r="402">
      <c r="A402" s="502" t="str">
        <f>HYPERLINK("http://en.uesp.net/wiki/Skyrim:The_Nightingales_Vol._1","The Nightingales Vol. 1")</f>
        <v>The Nightingales Vol. 1</v>
      </c>
      <c r="B402" s="63" t="s">
        <v>132</v>
      </c>
      <c r="C402" s="63" t="s">
        <v>132</v>
      </c>
      <c r="D402" s="63" t="s">
        <v>132</v>
      </c>
      <c r="E402" s="503"/>
      <c r="F402" s="503"/>
      <c r="G402" s="503"/>
      <c r="H402" s="503"/>
      <c r="I402" s="503"/>
      <c r="J402" s="503"/>
      <c r="K402" s="503"/>
      <c r="L402" s="503"/>
      <c r="M402" s="503"/>
      <c r="N402" s="320" t="s">
        <v>1524</v>
      </c>
      <c r="O402" s="506" t="s">
        <v>2727</v>
      </c>
      <c r="P402" s="506" t="s">
        <v>3119</v>
      </c>
      <c r="Q402" s="340">
        <v>500.0</v>
      </c>
      <c r="R402" s="453" t="s">
        <v>2440</v>
      </c>
    </row>
    <row r="403">
      <c r="A403" s="502" t="str">
        <f>HYPERLINK("http://en.uesp.net/wiki/Skyrim:The_Nightingales_Vol._2","The Nightingales Vol. 2")</f>
        <v>The Nightingales Vol. 2</v>
      </c>
      <c r="B403" s="63" t="s">
        <v>132</v>
      </c>
      <c r="C403" s="63" t="s">
        <v>132</v>
      </c>
      <c r="D403" s="63" t="s">
        <v>132</v>
      </c>
      <c r="E403" s="503"/>
      <c r="F403" s="503"/>
      <c r="G403" s="503"/>
      <c r="H403" s="503"/>
      <c r="I403" s="503"/>
      <c r="J403" s="503"/>
      <c r="K403" s="503"/>
      <c r="L403" s="503"/>
      <c r="M403" s="503"/>
      <c r="N403" s="504" t="s">
        <v>1524</v>
      </c>
      <c r="O403" s="505" t="s">
        <v>2727</v>
      </c>
      <c r="P403" s="506" t="s">
        <v>3120</v>
      </c>
      <c r="Q403" s="340">
        <v>500.0</v>
      </c>
      <c r="R403" s="503" t="s">
        <v>2440</v>
      </c>
    </row>
    <row r="404">
      <c r="A404" s="502" t="str">
        <f>HYPERLINK("http://en.uesp.net/wiki/Skyrim:The_Nirnoot_Missive","The Nirnoot Missive")</f>
        <v>The Nirnoot Missive</v>
      </c>
      <c r="B404" s="63" t="s">
        <v>132</v>
      </c>
      <c r="C404" s="63" t="s">
        <v>132</v>
      </c>
      <c r="D404" s="63" t="s">
        <v>132</v>
      </c>
      <c r="E404" s="503"/>
      <c r="F404" s="503"/>
      <c r="G404" s="503"/>
      <c r="H404" s="503"/>
      <c r="I404" s="503"/>
      <c r="J404" s="503"/>
      <c r="K404" s="503"/>
      <c r="L404" s="503"/>
      <c r="M404" s="503"/>
      <c r="N404" s="320" t="s">
        <v>1524</v>
      </c>
      <c r="O404" s="508" t="s">
        <v>2971</v>
      </c>
      <c r="P404" s="506" t="s">
        <v>3121</v>
      </c>
      <c r="Q404" s="340">
        <v>250.0</v>
      </c>
      <c r="R404" s="503" t="s">
        <v>2440</v>
      </c>
    </row>
    <row r="405">
      <c r="A405" s="502" t="str">
        <f>HYPERLINK("http://en.uesp.net/wiki/Skyrim:The_Oblivion_Crisis","The Oblivion Crisis")</f>
        <v>The Oblivion Crisis</v>
      </c>
      <c r="B405" s="63" t="s">
        <v>132</v>
      </c>
      <c r="C405" s="63" t="s">
        <v>132</v>
      </c>
      <c r="D405" s="63" t="s">
        <v>132</v>
      </c>
      <c r="E405" s="503"/>
      <c r="F405" s="503"/>
      <c r="G405" s="503"/>
      <c r="H405" s="503"/>
      <c r="I405" s="503"/>
      <c r="J405" s="503"/>
      <c r="K405" s="503"/>
      <c r="L405" s="503"/>
      <c r="M405" s="503"/>
      <c r="N405" s="320">
        <v>2.0</v>
      </c>
      <c r="O405" s="508" t="s">
        <v>3122</v>
      </c>
      <c r="P405" s="506" t="s">
        <v>3123</v>
      </c>
      <c r="Q405" s="340">
        <v>6.0</v>
      </c>
      <c r="R405" s="453" t="s">
        <v>2440</v>
      </c>
    </row>
    <row r="406">
      <c r="A406" s="502" t="str">
        <f>HYPERLINK("http://en.uesp.net/wiki/Skyrim:The_Old_Ways","The Old Ways")</f>
        <v>The Old Ways</v>
      </c>
      <c r="B406" s="63" t="s">
        <v>132</v>
      </c>
      <c r="C406" s="63" t="s">
        <v>132</v>
      </c>
      <c r="D406" s="63" t="s">
        <v>132</v>
      </c>
      <c r="E406" s="503"/>
      <c r="F406" s="503"/>
      <c r="G406" s="503"/>
      <c r="H406" s="503"/>
      <c r="I406" s="503"/>
      <c r="J406" s="503"/>
      <c r="K406" s="503"/>
      <c r="L406" s="503"/>
      <c r="M406" s="503"/>
      <c r="N406" s="320">
        <v>4.0</v>
      </c>
      <c r="O406" s="508" t="s">
        <v>3124</v>
      </c>
      <c r="P406" s="506" t="s">
        <v>3125</v>
      </c>
      <c r="Q406" s="340">
        <v>30.0</v>
      </c>
      <c r="R406" s="503" t="s">
        <v>2440</v>
      </c>
    </row>
    <row r="407">
      <c r="A407" s="502" t="str">
        <f>HYPERLINK("http://en.uesp.net/wiki/Skyrim:The_Pig_Children","The Pig Children")</f>
        <v>The Pig Children</v>
      </c>
      <c r="B407" s="63" t="s">
        <v>132</v>
      </c>
      <c r="C407" s="63" t="s">
        <v>132</v>
      </c>
      <c r="D407" s="63" t="s">
        <v>132</v>
      </c>
      <c r="E407" s="503"/>
      <c r="F407" s="503"/>
      <c r="G407" s="503"/>
      <c r="H407" s="503"/>
      <c r="I407" s="503"/>
      <c r="J407" s="503"/>
      <c r="K407" s="503"/>
      <c r="L407" s="503"/>
      <c r="M407" s="503"/>
      <c r="N407" s="320">
        <v>4.0</v>
      </c>
      <c r="O407" s="508" t="s">
        <v>3126</v>
      </c>
      <c r="P407" s="506" t="s">
        <v>3127</v>
      </c>
      <c r="Q407" s="340">
        <v>20.0</v>
      </c>
      <c r="R407" s="453" t="s">
        <v>2440</v>
      </c>
    </row>
    <row r="408">
      <c r="A408" s="512" t="str">
        <f>HYPERLINK("https://en.uesp.net/wiki/Skyrim:The_Poison_Song,_Book_I", "The Poison Song, Book I (DB)")</f>
        <v>The Poison Song, Book I (DB)</v>
      </c>
      <c r="B408" s="63" t="s">
        <v>132</v>
      </c>
      <c r="C408" s="63" t="s">
        <v>132</v>
      </c>
      <c r="D408" s="63" t="s">
        <v>132</v>
      </c>
      <c r="E408" s="503"/>
      <c r="F408" s="503"/>
      <c r="G408" s="503"/>
      <c r="H408" s="503"/>
      <c r="I408" s="503"/>
      <c r="J408" s="503"/>
      <c r="K408" s="503"/>
      <c r="L408" s="503"/>
      <c r="M408" s="503"/>
      <c r="N408" s="42">
        <v>1.0</v>
      </c>
      <c r="O408" s="508" t="s">
        <v>3128</v>
      </c>
      <c r="P408" s="506" t="s">
        <v>3129</v>
      </c>
      <c r="Q408" s="340">
        <v>3.0</v>
      </c>
      <c r="R408" s="453" t="s">
        <v>2440</v>
      </c>
    </row>
    <row r="409">
      <c r="A409" s="502" t="str">
        <f>HYPERLINK("https://en.uesp.net/wiki/Skyrim:The_Poison_Song,_Book_II", "The Poison Song, Book II (DB)")</f>
        <v>The Poison Song, Book II (DB)</v>
      </c>
      <c r="B409" s="63" t="s">
        <v>132</v>
      </c>
      <c r="C409" s="63" t="s">
        <v>132</v>
      </c>
      <c r="D409" s="63" t="s">
        <v>132</v>
      </c>
      <c r="E409" s="503"/>
      <c r="F409" s="503"/>
      <c r="G409" s="503"/>
      <c r="H409" s="503"/>
      <c r="I409" s="503"/>
      <c r="J409" s="503"/>
      <c r="K409" s="503"/>
      <c r="L409" s="503"/>
      <c r="M409" s="503"/>
      <c r="N409" s="42">
        <v>1.0</v>
      </c>
      <c r="O409" s="508" t="s">
        <v>3128</v>
      </c>
      <c r="P409" s="506" t="s">
        <v>3130</v>
      </c>
      <c r="Q409" s="340">
        <v>3.0</v>
      </c>
      <c r="R409" s="453" t="s">
        <v>2440</v>
      </c>
    </row>
    <row r="410">
      <c r="A410" s="502" t="str">
        <f>HYPERLINK("https://en.uesp.net/wiki/Skyrim:The_Poison_Song,_Book_III", "The Poison Song, Book III (DB)")</f>
        <v>The Poison Song, Book III (DB)</v>
      </c>
      <c r="B410" s="63" t="s">
        <v>132</v>
      </c>
      <c r="C410" s="63" t="s">
        <v>132</v>
      </c>
      <c r="D410" s="63" t="s">
        <v>132</v>
      </c>
      <c r="E410" s="503"/>
      <c r="F410" s="503"/>
      <c r="G410" s="503"/>
      <c r="H410" s="503"/>
      <c r="I410" s="503"/>
      <c r="J410" s="503"/>
      <c r="K410" s="503"/>
      <c r="L410" s="503"/>
      <c r="M410" s="503"/>
      <c r="N410" s="42">
        <v>1.0</v>
      </c>
      <c r="O410" s="508" t="s">
        <v>3128</v>
      </c>
      <c r="P410" s="506" t="s">
        <v>3131</v>
      </c>
      <c r="Q410" s="340">
        <v>3.0</v>
      </c>
      <c r="R410" s="453" t="s">
        <v>2440</v>
      </c>
    </row>
    <row r="411">
      <c r="A411" s="502" t="str">
        <f>HYPERLINK("https://en.uesp.net/wiki/Skyrim:The_Poison_Song,_Book_IV", "The Poison Song, Book IV (DB)")</f>
        <v>The Poison Song, Book IV (DB)</v>
      </c>
      <c r="B411" s="63" t="s">
        <v>132</v>
      </c>
      <c r="C411" s="63" t="s">
        <v>132</v>
      </c>
      <c r="D411" s="63" t="s">
        <v>132</v>
      </c>
      <c r="E411" s="503"/>
      <c r="F411" s="503"/>
      <c r="G411" s="503"/>
      <c r="H411" s="503"/>
      <c r="I411" s="503"/>
      <c r="J411" s="503"/>
      <c r="K411" s="503"/>
      <c r="L411" s="503"/>
      <c r="M411" s="503"/>
      <c r="N411" s="42">
        <v>1.0</v>
      </c>
      <c r="O411" s="508" t="s">
        <v>3128</v>
      </c>
      <c r="P411" s="506" t="s">
        <v>3132</v>
      </c>
      <c r="Q411" s="340">
        <v>3.0</v>
      </c>
      <c r="R411" s="453" t="s">
        <v>2440</v>
      </c>
    </row>
    <row r="412">
      <c r="A412" s="502" t="str">
        <f>HYPERLINK("https://en.uesp.net/wiki/Skyrim:The_Poison_Song,_Book_V", "The Poison Song, Book V (DB)")</f>
        <v>The Poison Song, Book V (DB)</v>
      </c>
      <c r="B412" s="63" t="s">
        <v>132</v>
      </c>
      <c r="C412" s="63" t="s">
        <v>132</v>
      </c>
      <c r="D412" s="63" t="s">
        <v>132</v>
      </c>
      <c r="E412" s="503"/>
      <c r="F412" s="503"/>
      <c r="G412" s="503"/>
      <c r="H412" s="503"/>
      <c r="I412" s="503"/>
      <c r="J412" s="503"/>
      <c r="K412" s="503"/>
      <c r="L412" s="503"/>
      <c r="M412" s="503"/>
      <c r="N412" s="42">
        <v>1.0</v>
      </c>
      <c r="O412" s="508" t="s">
        <v>3128</v>
      </c>
      <c r="P412" s="506" t="s">
        <v>3133</v>
      </c>
      <c r="Q412" s="340">
        <v>3.0</v>
      </c>
      <c r="R412" s="503" t="s">
        <v>2440</v>
      </c>
    </row>
    <row r="413">
      <c r="A413" s="502" t="str">
        <f>HYPERLINK("https://en.uesp.net/wiki/Skyrim:The_Poison_Song,_Book_VI", "The Poison Song, Book VI (DB)")</f>
        <v>The Poison Song, Book VI (DB)</v>
      </c>
      <c r="B413" s="63" t="s">
        <v>132</v>
      </c>
      <c r="C413" s="63" t="s">
        <v>132</v>
      </c>
      <c r="D413" s="63" t="s">
        <v>132</v>
      </c>
      <c r="E413" s="503"/>
      <c r="F413" s="503"/>
      <c r="G413" s="503"/>
      <c r="H413" s="503"/>
      <c r="I413" s="503"/>
      <c r="J413" s="503"/>
      <c r="K413" s="503"/>
      <c r="L413" s="503"/>
      <c r="M413" s="503"/>
      <c r="N413" s="42">
        <v>1.0</v>
      </c>
      <c r="O413" s="508" t="s">
        <v>3128</v>
      </c>
      <c r="P413" s="506" t="s">
        <v>3134</v>
      </c>
      <c r="Q413" s="340">
        <v>3.0</v>
      </c>
      <c r="R413" s="503" t="s">
        <v>2440</v>
      </c>
    </row>
    <row r="414">
      <c r="A414" s="502" t="str">
        <f>HYPERLINK("https://en.uesp.net/wiki/Skyrim:The_Poison_Song,_Book_VII", "The Poison Song, Book VII (DB)")</f>
        <v>The Poison Song, Book VII (DB)</v>
      </c>
      <c r="B414" s="63" t="s">
        <v>132</v>
      </c>
      <c r="C414" s="63" t="s">
        <v>132</v>
      </c>
      <c r="D414" s="63" t="s">
        <v>132</v>
      </c>
      <c r="E414" s="503"/>
      <c r="F414" s="503"/>
      <c r="G414" s="503"/>
      <c r="H414" s="503"/>
      <c r="I414" s="503"/>
      <c r="J414" s="503"/>
      <c r="K414" s="503"/>
      <c r="L414" s="503"/>
      <c r="M414" s="503"/>
      <c r="N414" s="42">
        <v>1.0</v>
      </c>
      <c r="O414" s="508" t="s">
        <v>3128</v>
      </c>
      <c r="P414" s="506" t="s">
        <v>3135</v>
      </c>
      <c r="Q414" s="340">
        <v>3.0</v>
      </c>
      <c r="R414" s="503" t="s">
        <v>2440</v>
      </c>
    </row>
    <row r="415">
      <c r="A415" s="502" t="str">
        <f>HYPERLINK("http://en.uesp.net/wiki/Skyrim:The_Posting_of_the_Hunt","The Posting of the Hunt")</f>
        <v>The Posting of the Hunt</v>
      </c>
      <c r="B415" s="63" t="s">
        <v>132</v>
      </c>
      <c r="C415" s="63" t="s">
        <v>132</v>
      </c>
      <c r="D415" s="63" t="s">
        <v>132</v>
      </c>
      <c r="E415" s="503"/>
      <c r="F415" s="503"/>
      <c r="G415" s="503"/>
      <c r="H415" s="503"/>
      <c r="I415" s="503"/>
      <c r="J415" s="503"/>
      <c r="K415" s="503"/>
      <c r="L415" s="503"/>
      <c r="M415" s="503"/>
      <c r="N415" s="320">
        <v>4.0</v>
      </c>
      <c r="O415" s="508" t="s">
        <v>2481</v>
      </c>
      <c r="P415" s="506" t="s">
        <v>3136</v>
      </c>
      <c r="Q415" s="340">
        <v>25.0</v>
      </c>
      <c r="R415" s="503" t="s">
        <v>2440</v>
      </c>
    </row>
    <row r="416">
      <c r="A416" s="502" t="str">
        <f>HYPERLINK("http://en.uesp.net/wiki/Skyrim:The_Ransom_of_Zarek","The Ransom of Zarek")</f>
        <v>The Ransom of Zarek</v>
      </c>
      <c r="B416" s="63" t="s">
        <v>132</v>
      </c>
      <c r="C416" s="63" t="s">
        <v>132</v>
      </c>
      <c r="D416" s="63" t="s">
        <v>132</v>
      </c>
      <c r="E416" s="503"/>
      <c r="F416" s="503"/>
      <c r="G416" s="503"/>
      <c r="H416" s="503"/>
      <c r="I416" s="503"/>
      <c r="J416" s="503"/>
      <c r="K416" s="503"/>
      <c r="L416" s="503"/>
      <c r="M416" s="503"/>
      <c r="N416" s="320">
        <v>0.0</v>
      </c>
      <c r="O416" s="508" t="s">
        <v>2574</v>
      </c>
      <c r="P416" s="506" t="s">
        <v>3137</v>
      </c>
      <c r="Q416" s="340">
        <v>2.0</v>
      </c>
      <c r="R416" s="503" t="s">
        <v>2440</v>
      </c>
    </row>
    <row r="417">
      <c r="A417" s="502" t="str">
        <f>HYPERLINK("http://en.uesp.net/wiki/Skyrim:The_Real_Barenziah,_v1","The Real Barenziah, v1")</f>
        <v>The Real Barenziah, v1</v>
      </c>
      <c r="B417" s="63" t="s">
        <v>132</v>
      </c>
      <c r="C417" s="63" t="s">
        <v>132</v>
      </c>
      <c r="D417" s="63" t="s">
        <v>132</v>
      </c>
      <c r="E417" s="503"/>
      <c r="F417" s="503"/>
      <c r="G417" s="503"/>
      <c r="H417" s="503"/>
      <c r="I417" s="503"/>
      <c r="J417" s="503"/>
      <c r="K417" s="503"/>
      <c r="L417" s="503"/>
      <c r="M417" s="503"/>
      <c r="N417" s="504">
        <v>2.0</v>
      </c>
      <c r="O417" s="505" t="s">
        <v>2481</v>
      </c>
      <c r="P417" s="506" t="s">
        <v>3138</v>
      </c>
      <c r="Q417" s="340">
        <v>5.0</v>
      </c>
      <c r="R417" s="453" t="s">
        <v>2440</v>
      </c>
    </row>
    <row r="418">
      <c r="A418" s="502" t="str">
        <f>HYPERLINK("http://en.uesp.net/wiki/Skyrim:The_Real_Barenziah,_v2","The Real Barenziah, v2")</f>
        <v>The Real Barenziah, v2</v>
      </c>
      <c r="B418" s="63" t="s">
        <v>132</v>
      </c>
      <c r="C418" s="63" t="s">
        <v>132</v>
      </c>
      <c r="D418" s="63" t="s">
        <v>132</v>
      </c>
      <c r="E418" s="503"/>
      <c r="F418" s="503"/>
      <c r="G418" s="503"/>
      <c r="H418" s="503"/>
      <c r="I418" s="503"/>
      <c r="J418" s="503"/>
      <c r="K418" s="503"/>
      <c r="L418" s="503"/>
      <c r="M418" s="503"/>
      <c r="N418" s="320">
        <v>2.0</v>
      </c>
      <c r="O418" s="506" t="s">
        <v>2481</v>
      </c>
      <c r="P418" s="506" t="s">
        <v>3139</v>
      </c>
      <c r="Q418" s="340">
        <v>5.0</v>
      </c>
      <c r="R418" s="503" t="s">
        <v>2440</v>
      </c>
    </row>
    <row r="419">
      <c r="A419" s="502" t="str">
        <f>HYPERLINK("http://en.uesp.net/wiki/Skyrim:The_Real_Barenziah,_v3","The Real Barenziah, v3")</f>
        <v>The Real Barenziah, v3</v>
      </c>
      <c r="B419" s="63" t="s">
        <v>132</v>
      </c>
      <c r="C419" s="63" t="s">
        <v>132</v>
      </c>
      <c r="D419" s="63" t="s">
        <v>132</v>
      </c>
      <c r="E419" s="503"/>
      <c r="F419" s="503"/>
      <c r="G419" s="503"/>
      <c r="H419" s="503"/>
      <c r="I419" s="503"/>
      <c r="J419" s="503"/>
      <c r="K419" s="503"/>
      <c r="L419" s="503"/>
      <c r="M419" s="503"/>
      <c r="N419" s="320">
        <v>2.0</v>
      </c>
      <c r="O419" s="506" t="s">
        <v>2481</v>
      </c>
      <c r="P419" s="506" t="s">
        <v>3140</v>
      </c>
      <c r="Q419" s="340">
        <v>5.0</v>
      </c>
      <c r="R419" s="503" t="s">
        <v>2440</v>
      </c>
    </row>
    <row r="420">
      <c r="A420" s="502" t="str">
        <f>HYPERLINK("http://en.uesp.net/wiki/Skyrim:The_Real_Barenziah,_v4","The Real Barenziah, v4")</f>
        <v>The Real Barenziah, v4</v>
      </c>
      <c r="B420" s="63" t="s">
        <v>132</v>
      </c>
      <c r="C420" s="63" t="s">
        <v>132</v>
      </c>
      <c r="D420" s="63" t="s">
        <v>132</v>
      </c>
      <c r="E420" s="503"/>
      <c r="F420" s="503"/>
      <c r="G420" s="503"/>
      <c r="H420" s="503"/>
      <c r="I420" s="503"/>
      <c r="J420" s="503"/>
      <c r="K420" s="503"/>
      <c r="L420" s="503"/>
      <c r="M420" s="503"/>
      <c r="N420" s="504">
        <v>2.0</v>
      </c>
      <c r="O420" s="505" t="s">
        <v>2481</v>
      </c>
      <c r="P420" s="505" t="s">
        <v>3141</v>
      </c>
      <c r="Q420" s="340">
        <v>5.0</v>
      </c>
      <c r="R420" s="503" t="s">
        <v>2440</v>
      </c>
    </row>
    <row r="421">
      <c r="A421" s="502" t="str">
        <f>HYPERLINK("http://en.uesp.net/wiki/Skyrim:The_Real_Barenziah,_v5","The Real Barenziah, v5")</f>
        <v>The Real Barenziah, v5</v>
      </c>
      <c r="B421" s="63" t="s">
        <v>132</v>
      </c>
      <c r="C421" s="63" t="s">
        <v>132</v>
      </c>
      <c r="D421" s="63" t="s">
        <v>132</v>
      </c>
      <c r="E421" s="503"/>
      <c r="F421" s="503"/>
      <c r="G421" s="503"/>
      <c r="H421" s="503"/>
      <c r="I421" s="503"/>
      <c r="J421" s="503"/>
      <c r="K421" s="503"/>
      <c r="L421" s="503"/>
      <c r="M421" s="503"/>
      <c r="N421" s="504">
        <v>2.0</v>
      </c>
      <c r="O421" s="505" t="s">
        <v>2481</v>
      </c>
      <c r="P421" s="506" t="s">
        <v>3142</v>
      </c>
      <c r="Q421" s="340">
        <v>5.0</v>
      </c>
      <c r="R421" s="503" t="s">
        <v>2440</v>
      </c>
    </row>
    <row r="422">
      <c r="A422" s="502" t="str">
        <f>HYPERLINK("http://en.uesp.net/wiki/Skyrim:The_Rear_Guard","The Rear Guard")</f>
        <v>The Rear Guard</v>
      </c>
      <c r="B422" s="63" t="s">
        <v>132</v>
      </c>
      <c r="C422" s="63" t="s">
        <v>132</v>
      </c>
      <c r="D422" s="63" t="s">
        <v>132</v>
      </c>
      <c r="E422" s="503"/>
      <c r="F422" s="503"/>
      <c r="G422" s="503"/>
      <c r="H422" s="503"/>
      <c r="I422" s="503"/>
      <c r="J422" s="503"/>
      <c r="K422" s="503"/>
      <c r="L422" s="503"/>
      <c r="M422" s="503"/>
      <c r="N422" s="504" t="s">
        <v>1524</v>
      </c>
      <c r="O422" s="345" t="s">
        <v>3143</v>
      </c>
      <c r="P422" s="506" t="s">
        <v>3144</v>
      </c>
      <c r="Q422" s="340">
        <v>50.0</v>
      </c>
      <c r="R422" s="472" t="s">
        <v>2776</v>
      </c>
    </row>
    <row r="423">
      <c r="A423" s="502" t="str">
        <f>HYPERLINK("https://en.uesp.net/wiki/Skyrim:The_Reclamations", "The Reclamations (DB)")</f>
        <v>The Reclamations (DB)</v>
      </c>
      <c r="B423" s="63" t="s">
        <v>132</v>
      </c>
      <c r="C423" s="63" t="s">
        <v>132</v>
      </c>
      <c r="D423" s="63" t="s">
        <v>132</v>
      </c>
      <c r="E423" s="503"/>
      <c r="F423" s="503"/>
      <c r="G423" s="503"/>
      <c r="H423" s="503"/>
      <c r="I423" s="503"/>
      <c r="J423" s="503"/>
      <c r="K423" s="503"/>
      <c r="L423" s="503"/>
      <c r="M423" s="503"/>
      <c r="N423" s="42">
        <v>2.0</v>
      </c>
      <c r="O423" s="505" t="s">
        <v>3145</v>
      </c>
      <c r="P423" s="505" t="s">
        <v>3146</v>
      </c>
      <c r="Q423" s="340">
        <v>6.0</v>
      </c>
      <c r="R423" s="508" t="s">
        <v>2440</v>
      </c>
    </row>
    <row r="424">
      <c r="A424" s="502" t="str">
        <f>HYPERLINK("http://en.uesp.net/wiki/Skyrim:The_Red_Book_of_Riddles","The Red Book of Riddles")</f>
        <v>The Red Book of Riddles</v>
      </c>
      <c r="B424" s="63" t="s">
        <v>132</v>
      </c>
      <c r="C424" s="63" t="s">
        <v>132</v>
      </c>
      <c r="D424" s="63" t="s">
        <v>132</v>
      </c>
      <c r="E424" s="503"/>
      <c r="F424" s="503"/>
      <c r="G424" s="503"/>
      <c r="H424" s="503"/>
      <c r="I424" s="503"/>
      <c r="J424" s="503"/>
      <c r="K424" s="503"/>
      <c r="L424" s="503"/>
      <c r="M424" s="503"/>
      <c r="N424" s="320">
        <v>4.0</v>
      </c>
      <c r="O424" s="508" t="s">
        <v>2481</v>
      </c>
      <c r="P424" s="506" t="s">
        <v>3147</v>
      </c>
      <c r="Q424" s="340">
        <v>30.0</v>
      </c>
      <c r="R424" s="472" t="s">
        <v>2440</v>
      </c>
    </row>
    <row r="425">
      <c r="A425" s="502" t="str">
        <f>HYPERLINK("http://en.uesp.net/wiki/Skyrim:The_Red_Kitchen_Reader","The Red Kitchen Reader")</f>
        <v>The Red Kitchen Reader</v>
      </c>
      <c r="B425" s="63" t="s">
        <v>132</v>
      </c>
      <c r="C425" s="63" t="s">
        <v>132</v>
      </c>
      <c r="D425" s="63" t="s">
        <v>132</v>
      </c>
      <c r="E425" s="503"/>
      <c r="F425" s="503"/>
      <c r="G425" s="503"/>
      <c r="H425" s="503"/>
      <c r="I425" s="503"/>
      <c r="J425" s="503"/>
      <c r="K425" s="503"/>
      <c r="L425" s="503"/>
      <c r="M425" s="503"/>
      <c r="N425" s="504" t="s">
        <v>1524</v>
      </c>
      <c r="O425" s="345" t="s">
        <v>3148</v>
      </c>
      <c r="P425" s="506" t="s">
        <v>3149</v>
      </c>
      <c r="Q425" s="340">
        <v>75.0</v>
      </c>
      <c r="R425" s="509" t="s">
        <v>2492</v>
      </c>
    </row>
    <row r="426">
      <c r="A426" s="510" t="str">
        <f>HYPERLINK("http://en.uesp.net/wiki/Skyrim:The_Red_Year,_Vol._I","The Red Year, Vol I (DB)")</f>
        <v>The Red Year, Vol I (DB)</v>
      </c>
      <c r="B426" s="63" t="s">
        <v>132</v>
      </c>
      <c r="C426" s="63" t="s">
        <v>132</v>
      </c>
      <c r="D426" s="63" t="s">
        <v>132</v>
      </c>
      <c r="E426" s="503"/>
      <c r="F426" s="503"/>
      <c r="G426" s="503"/>
      <c r="H426" s="503"/>
      <c r="I426" s="503"/>
      <c r="J426" s="503"/>
      <c r="K426" s="503"/>
      <c r="L426" s="503"/>
      <c r="M426" s="503"/>
      <c r="N426" s="42">
        <v>2.0</v>
      </c>
      <c r="O426" s="345" t="s">
        <v>3150</v>
      </c>
      <c r="P426" s="506" t="s">
        <v>3151</v>
      </c>
      <c r="Q426" s="340">
        <v>6.0</v>
      </c>
      <c r="R426" s="503" t="s">
        <v>2440</v>
      </c>
    </row>
    <row r="427">
      <c r="A427" s="510" t="str">
        <f>HYPERLINK("http://en.uesp.net/wiki/Skyrim:The_Red_Year,_Vol._II","The Red Year, Vol II (DB)")</f>
        <v>The Red Year, Vol II (DB)</v>
      </c>
      <c r="B427" s="63" t="s">
        <v>132</v>
      </c>
      <c r="C427" s="63" t="s">
        <v>132</v>
      </c>
      <c r="D427" s="63" t="s">
        <v>132</v>
      </c>
      <c r="E427" s="503"/>
      <c r="F427" s="503"/>
      <c r="G427" s="503"/>
      <c r="H427" s="503"/>
      <c r="I427" s="503"/>
      <c r="J427" s="503"/>
      <c r="K427" s="503"/>
      <c r="L427" s="503"/>
      <c r="M427" s="503"/>
      <c r="N427" s="42">
        <v>2.0</v>
      </c>
      <c r="O427" s="345" t="s">
        <v>3150</v>
      </c>
      <c r="P427" s="505" t="s">
        <v>3152</v>
      </c>
      <c r="Q427" s="340">
        <v>6.0</v>
      </c>
      <c r="R427" s="345" t="s">
        <v>2440</v>
      </c>
    </row>
    <row r="428">
      <c r="A428" s="502" t="str">
        <f>HYPERLINK("http://en.uesp.net/wiki/Skyrim:The_Refugees","The Refugees")</f>
        <v>The Refugees</v>
      </c>
      <c r="B428" s="63" t="s">
        <v>132</v>
      </c>
      <c r="C428" s="63" t="s">
        <v>132</v>
      </c>
      <c r="D428" s="63" t="s">
        <v>132</v>
      </c>
      <c r="E428" s="503"/>
      <c r="F428" s="503"/>
      <c r="G428" s="503"/>
      <c r="H428" s="503"/>
      <c r="I428" s="503"/>
      <c r="J428" s="503"/>
      <c r="K428" s="503"/>
      <c r="L428" s="503"/>
      <c r="M428" s="503"/>
      <c r="N428" s="504" t="s">
        <v>1524</v>
      </c>
      <c r="O428" s="345" t="s">
        <v>3153</v>
      </c>
      <c r="P428" s="506" t="s">
        <v>3154</v>
      </c>
      <c r="Q428" s="340">
        <v>50.0</v>
      </c>
      <c r="R428" s="472" t="s">
        <v>2776</v>
      </c>
    </row>
    <row r="429">
      <c r="A429" s="502" t="str">
        <f>HYPERLINK("http://en.uesp.net/wiki/Skyrim:The_Rise_and_Fall_of_the_Blades","The Rise and Fall of the Blades")</f>
        <v>The Rise and Fall of the Blades</v>
      </c>
      <c r="B429" s="63" t="s">
        <v>132</v>
      </c>
      <c r="C429" s="63" t="s">
        <v>132</v>
      </c>
      <c r="D429" s="63" t="s">
        <v>132</v>
      </c>
      <c r="E429" s="503"/>
      <c r="F429" s="503"/>
      <c r="G429" s="503"/>
      <c r="H429" s="503"/>
      <c r="I429" s="503"/>
      <c r="J429" s="503"/>
      <c r="K429" s="503"/>
      <c r="L429" s="503"/>
      <c r="M429" s="503"/>
      <c r="N429" s="504">
        <v>3.0</v>
      </c>
      <c r="O429" s="345" t="s">
        <v>2481</v>
      </c>
      <c r="P429" s="506" t="s">
        <v>3155</v>
      </c>
      <c r="Q429" s="340">
        <v>11.0</v>
      </c>
      <c r="R429" s="503" t="s">
        <v>2440</v>
      </c>
    </row>
    <row r="430">
      <c r="A430" s="502" t="str">
        <f>HYPERLINK("http://en.uesp.net/wiki/Skyrim:The_Seed","The Seed")</f>
        <v>The Seed</v>
      </c>
      <c r="B430" s="63" t="s">
        <v>132</v>
      </c>
      <c r="C430" s="63" t="s">
        <v>132</v>
      </c>
      <c r="D430" s="63" t="s">
        <v>132</v>
      </c>
      <c r="E430" s="503"/>
      <c r="F430" s="503"/>
      <c r="G430" s="503"/>
      <c r="H430" s="503"/>
      <c r="I430" s="503"/>
      <c r="J430" s="503"/>
      <c r="K430" s="503"/>
      <c r="L430" s="503"/>
      <c r="M430" s="503"/>
      <c r="N430" s="504">
        <v>3.0</v>
      </c>
      <c r="O430" s="345" t="s">
        <v>2574</v>
      </c>
      <c r="P430" s="506" t="s">
        <v>3156</v>
      </c>
      <c r="Q430" s="340">
        <v>10.0</v>
      </c>
      <c r="R430" s="503" t="s">
        <v>2440</v>
      </c>
    </row>
    <row r="431">
      <c r="A431" s="502" t="str">
        <f>HYPERLINK("http://en.uesp.net/wiki/Skyrim:The_Song_of_Pelinal,_v1","The Song of Pelinal, v1")</f>
        <v>The Song of Pelinal, v1</v>
      </c>
      <c r="B431" s="63" t="s">
        <v>132</v>
      </c>
      <c r="C431" s="63" t="s">
        <v>132</v>
      </c>
      <c r="D431" s="63" t="s">
        <v>132</v>
      </c>
      <c r="E431" s="503"/>
      <c r="F431" s="503"/>
      <c r="G431" s="503"/>
      <c r="H431" s="503"/>
      <c r="I431" s="503"/>
      <c r="J431" s="503"/>
      <c r="K431" s="503"/>
      <c r="L431" s="503"/>
      <c r="M431" s="503"/>
      <c r="N431" s="504">
        <v>2.0</v>
      </c>
      <c r="O431" s="345" t="s">
        <v>3157</v>
      </c>
      <c r="P431" s="506" t="s">
        <v>3158</v>
      </c>
      <c r="Q431" s="340">
        <v>5.0</v>
      </c>
      <c r="R431" s="503" t="s">
        <v>2440</v>
      </c>
    </row>
    <row r="432">
      <c r="A432" s="502" t="str">
        <f>HYPERLINK("http://en.uesp.net/wiki/Skyrim:The_Song_of_Pelinal,_v2","The Song of Pelinal, v2")</f>
        <v>The Song of Pelinal, v2</v>
      </c>
      <c r="B432" s="63" t="s">
        <v>132</v>
      </c>
      <c r="C432" s="63" t="s">
        <v>132</v>
      </c>
      <c r="D432" s="63" t="s">
        <v>132</v>
      </c>
      <c r="E432" s="503"/>
      <c r="F432" s="503"/>
      <c r="G432" s="503"/>
      <c r="H432" s="503"/>
      <c r="I432" s="503"/>
      <c r="J432" s="503"/>
      <c r="K432" s="503"/>
      <c r="L432" s="503"/>
      <c r="M432" s="503"/>
      <c r="N432" s="504">
        <v>2.0</v>
      </c>
      <c r="O432" s="345" t="s">
        <v>3157</v>
      </c>
      <c r="P432" s="506" t="s">
        <v>3159</v>
      </c>
      <c r="Q432" s="340">
        <v>5.0</v>
      </c>
      <c r="R432" s="503" t="s">
        <v>2440</v>
      </c>
    </row>
    <row r="433">
      <c r="A433" s="502" t="str">
        <f>HYPERLINK("http://en.uesp.net/wiki/Skyrim:The_Song_of_Pelinal,_v3","The Song of Pelinal, v3")</f>
        <v>The Song of Pelinal, v3</v>
      </c>
      <c r="B433" s="63" t="s">
        <v>132</v>
      </c>
      <c r="C433" s="63" t="s">
        <v>132</v>
      </c>
      <c r="D433" s="63" t="s">
        <v>132</v>
      </c>
      <c r="E433" s="503"/>
      <c r="F433" s="503"/>
      <c r="G433" s="503"/>
      <c r="H433" s="503"/>
      <c r="I433" s="503"/>
      <c r="J433" s="503"/>
      <c r="K433" s="503"/>
      <c r="L433" s="503"/>
      <c r="M433" s="503"/>
      <c r="N433" s="504">
        <v>2.0</v>
      </c>
      <c r="O433" s="345" t="s">
        <v>3157</v>
      </c>
      <c r="P433" s="506" t="s">
        <v>3160</v>
      </c>
      <c r="Q433" s="340">
        <v>5.0</v>
      </c>
      <c r="R433" s="503" t="s">
        <v>2440</v>
      </c>
    </row>
    <row r="434">
      <c r="A434" s="512" t="str">
        <f>HYPERLINK("http://en.uesp.net/wiki/Skyrim:The_Song_of_Pelinal,_v4","The Song of Pelinal, v4")</f>
        <v>The Song of Pelinal, v4</v>
      </c>
      <c r="B434" s="63" t="s">
        <v>132</v>
      </c>
      <c r="C434" s="63" t="s">
        <v>132</v>
      </c>
      <c r="D434" s="63" t="s">
        <v>132</v>
      </c>
      <c r="E434" s="503"/>
      <c r="F434" s="503"/>
      <c r="G434" s="503"/>
      <c r="H434" s="503"/>
      <c r="I434" s="503"/>
      <c r="J434" s="503"/>
      <c r="K434" s="503"/>
      <c r="L434" s="503"/>
      <c r="M434" s="503"/>
      <c r="N434" s="320">
        <v>2.0</v>
      </c>
      <c r="O434" s="508" t="s">
        <v>3157</v>
      </c>
      <c r="P434" s="506" t="s">
        <v>3161</v>
      </c>
      <c r="Q434" s="340">
        <v>5.0</v>
      </c>
      <c r="R434" s="503" t="s">
        <v>2440</v>
      </c>
    </row>
    <row r="435">
      <c r="A435" s="502" t="str">
        <f>HYPERLINK("http://en.uesp.net/wiki/Skyrim:The_Song_of_Pelinal,_v5","The Song of Pelinal, v5")</f>
        <v>The Song of Pelinal, v5</v>
      </c>
      <c r="B435" s="63" t="s">
        <v>132</v>
      </c>
      <c r="C435" s="63" t="s">
        <v>132</v>
      </c>
      <c r="D435" s="63" t="s">
        <v>132</v>
      </c>
      <c r="E435" s="503"/>
      <c r="F435" s="503"/>
      <c r="G435" s="503"/>
      <c r="H435" s="503"/>
      <c r="I435" s="503"/>
      <c r="J435" s="503"/>
      <c r="K435" s="503"/>
      <c r="L435" s="503"/>
      <c r="M435" s="503"/>
      <c r="N435" s="320">
        <v>2.0</v>
      </c>
      <c r="O435" s="508" t="s">
        <v>3157</v>
      </c>
      <c r="P435" s="506" t="s">
        <v>3162</v>
      </c>
      <c r="Q435" s="340">
        <v>5.0</v>
      </c>
      <c r="R435" s="503" t="s">
        <v>2440</v>
      </c>
    </row>
    <row r="436">
      <c r="A436" s="502" t="str">
        <f>HYPERLINK("http://en.uesp.net/wiki/Skyrim:The_Song_of_Pelinal,_v6","The Song of Pelinal, v6")</f>
        <v>The Song of Pelinal, v6</v>
      </c>
      <c r="B436" s="63" t="s">
        <v>132</v>
      </c>
      <c r="C436" s="63" t="s">
        <v>132</v>
      </c>
      <c r="D436" s="63" t="s">
        <v>132</v>
      </c>
      <c r="E436" s="503"/>
      <c r="F436" s="503"/>
      <c r="G436" s="503"/>
      <c r="H436" s="503"/>
      <c r="I436" s="503"/>
      <c r="J436" s="503"/>
      <c r="K436" s="503"/>
      <c r="L436" s="503"/>
      <c r="M436" s="503"/>
      <c r="N436" s="504">
        <v>2.0</v>
      </c>
      <c r="O436" s="345" t="s">
        <v>3157</v>
      </c>
      <c r="P436" s="506" t="s">
        <v>3163</v>
      </c>
      <c r="Q436" s="340">
        <v>5.0</v>
      </c>
      <c r="R436" s="345" t="s">
        <v>2440</v>
      </c>
    </row>
    <row r="437">
      <c r="A437" s="502" t="str">
        <f>HYPERLINK("http://en.uesp.net/wiki/Skyrim:The_Song_of_Pelinal,_v7","The Song of Pelinal, v7")</f>
        <v>The Song of Pelinal, v7</v>
      </c>
      <c r="B437" s="63" t="s">
        <v>132</v>
      </c>
      <c r="C437" s="63" t="s">
        <v>132</v>
      </c>
      <c r="D437" s="63" t="s">
        <v>132</v>
      </c>
      <c r="E437" s="503"/>
      <c r="F437" s="503"/>
      <c r="G437" s="503"/>
      <c r="H437" s="503"/>
      <c r="I437" s="503"/>
      <c r="J437" s="503"/>
      <c r="K437" s="503"/>
      <c r="L437" s="503"/>
      <c r="M437" s="503"/>
      <c r="N437" s="504">
        <v>2.0</v>
      </c>
      <c r="O437" s="345" t="s">
        <v>3157</v>
      </c>
      <c r="P437" s="506" t="s">
        <v>3164</v>
      </c>
      <c r="Q437" s="340">
        <v>5.0</v>
      </c>
      <c r="R437" s="503" t="s">
        <v>2440</v>
      </c>
    </row>
    <row r="438">
      <c r="A438" s="502" t="str">
        <f>HYPERLINK("http://en.uesp.net/wiki/Skyrim:The_Song_of_Pelinal,_v8","The Song of Pelinal, v8")</f>
        <v>The Song of Pelinal, v8</v>
      </c>
      <c r="B438" s="63" t="s">
        <v>132</v>
      </c>
      <c r="C438" s="63" t="s">
        <v>132</v>
      </c>
      <c r="D438" s="63" t="s">
        <v>132</v>
      </c>
      <c r="E438" s="503"/>
      <c r="F438" s="503"/>
      <c r="G438" s="503"/>
      <c r="H438" s="503"/>
      <c r="I438" s="503"/>
      <c r="J438" s="503"/>
      <c r="K438" s="503"/>
      <c r="L438" s="503"/>
      <c r="M438" s="503"/>
      <c r="N438" s="504">
        <v>2.0</v>
      </c>
      <c r="O438" s="345" t="s">
        <v>3157</v>
      </c>
      <c r="P438" s="506" t="s">
        <v>3165</v>
      </c>
      <c r="Q438" s="340">
        <v>5.0</v>
      </c>
      <c r="R438" s="503" t="s">
        <v>2440</v>
      </c>
    </row>
    <row r="439">
      <c r="A439" s="502" t="str">
        <f>HYPERLINK("http://en.uesp.net/wiki/Skyrim:The_Sultry_Argonian_Bard,_v1","The Sultry Argonian Bard, v1 (DG)")</f>
        <v>The Sultry Argonian Bard, v1 (DG)</v>
      </c>
      <c r="B439" s="63" t="s">
        <v>132</v>
      </c>
      <c r="C439" s="63" t="s">
        <v>132</v>
      </c>
      <c r="D439" s="63" t="s">
        <v>132</v>
      </c>
      <c r="E439" s="503"/>
      <c r="F439" s="503"/>
      <c r="G439" s="503"/>
      <c r="H439" s="503"/>
      <c r="I439" s="503"/>
      <c r="J439" s="503"/>
      <c r="K439" s="503"/>
      <c r="L439" s="503"/>
      <c r="M439" s="503"/>
      <c r="N439" s="504" t="s">
        <v>1524</v>
      </c>
      <c r="O439" s="345" t="s">
        <v>3166</v>
      </c>
      <c r="P439" s="506" t="s">
        <v>3167</v>
      </c>
      <c r="Q439" s="340">
        <v>14.0</v>
      </c>
      <c r="R439" s="503" t="s">
        <v>2440</v>
      </c>
    </row>
    <row r="440">
      <c r="A440" s="502" t="str">
        <f>HYPERLINK("http://en.uesp.net/wiki/Skyrim:The_Tale_of_Dro%27Zira","The Tale of Dro'Zira")</f>
        <v>The Tale of Dro'Zira</v>
      </c>
      <c r="B440" s="63" t="s">
        <v>132</v>
      </c>
      <c r="C440" s="63" t="s">
        <v>132</v>
      </c>
      <c r="D440" s="63" t="s">
        <v>132</v>
      </c>
      <c r="E440" s="503"/>
      <c r="F440" s="503"/>
      <c r="G440" s="503"/>
      <c r="H440" s="503"/>
      <c r="I440" s="503"/>
      <c r="J440" s="503"/>
      <c r="K440" s="503"/>
      <c r="L440" s="503"/>
      <c r="M440" s="503"/>
      <c r="N440" s="504">
        <v>3.0</v>
      </c>
      <c r="O440" s="345" t="s">
        <v>3168</v>
      </c>
      <c r="P440" s="506" t="s">
        <v>3169</v>
      </c>
      <c r="Q440" s="340">
        <v>11.0</v>
      </c>
      <c r="R440" s="503" t="s">
        <v>2440</v>
      </c>
    </row>
    <row r="441">
      <c r="A441" s="502" t="str">
        <f>HYPERLINK("http://en.uesp.net/wiki/Skyrim:The_Talos_Mistake","The Talos Mistake")</f>
        <v>The Talos Mistake</v>
      </c>
      <c r="B441" s="63" t="s">
        <v>132</v>
      </c>
      <c r="C441" s="63" t="s">
        <v>132</v>
      </c>
      <c r="D441" s="63" t="s">
        <v>132</v>
      </c>
      <c r="E441" s="503"/>
      <c r="F441" s="503"/>
      <c r="G441" s="503"/>
      <c r="H441" s="503"/>
      <c r="I441" s="503"/>
      <c r="J441" s="503"/>
      <c r="K441" s="503"/>
      <c r="L441" s="503"/>
      <c r="M441" s="503"/>
      <c r="N441" s="504">
        <v>2.0</v>
      </c>
      <c r="O441" s="505" t="s">
        <v>3170</v>
      </c>
      <c r="P441" s="506" t="s">
        <v>3171</v>
      </c>
      <c r="Q441" s="340">
        <v>7.0</v>
      </c>
      <c r="R441" s="345" t="s">
        <v>2440</v>
      </c>
    </row>
    <row r="442">
      <c r="A442" s="502" t="str">
        <f>HYPERLINK("http://en.uesp.net/wiki/Skyrim:The_Third_Door","The Third Door")</f>
        <v>The Third Door</v>
      </c>
      <c r="B442" s="63" t="s">
        <v>132</v>
      </c>
      <c r="C442" s="63" t="s">
        <v>132</v>
      </c>
      <c r="D442" s="63" t="s">
        <v>132</v>
      </c>
      <c r="E442" s="503"/>
      <c r="F442" s="503"/>
      <c r="G442" s="503"/>
      <c r="H442" s="503"/>
      <c r="I442" s="503"/>
      <c r="J442" s="503"/>
      <c r="K442" s="503"/>
      <c r="L442" s="503"/>
      <c r="M442" s="503"/>
      <c r="N442" s="320">
        <v>3.0</v>
      </c>
      <c r="O442" s="506" t="s">
        <v>3172</v>
      </c>
      <c r="P442" s="506" t="s">
        <v>3173</v>
      </c>
      <c r="Q442" s="340">
        <v>11.0</v>
      </c>
      <c r="R442" s="503" t="s">
        <v>2440</v>
      </c>
    </row>
    <row r="443">
      <c r="A443" s="502" t="str">
        <f>HYPERLINK("http://en.uesp.net/wiki/Skyrim:The_Third_Era_Timeline","The Third Era Timeline")</f>
        <v>The Third Era Timeline</v>
      </c>
      <c r="B443" s="63" t="s">
        <v>132</v>
      </c>
      <c r="C443" s="63" t="s">
        <v>132</v>
      </c>
      <c r="D443" s="63" t="s">
        <v>132</v>
      </c>
      <c r="E443" s="503"/>
      <c r="F443" s="503"/>
      <c r="G443" s="503"/>
      <c r="H443" s="503"/>
      <c r="I443" s="503"/>
      <c r="J443" s="503"/>
      <c r="K443" s="503"/>
      <c r="L443" s="503"/>
      <c r="M443" s="503"/>
      <c r="N443" s="504">
        <v>2.0</v>
      </c>
      <c r="O443" s="505" t="s">
        <v>3174</v>
      </c>
      <c r="P443" s="506" t="s">
        <v>3175</v>
      </c>
      <c r="Q443" s="340">
        <v>8.0</v>
      </c>
      <c r="R443" s="503" t="s">
        <v>2440</v>
      </c>
    </row>
    <row r="444">
      <c r="A444" s="502" t="str">
        <f>HYPERLINK("http://en.uesp.net/wiki/Skyrim:The_Totems_of_Hircine","The Totems of Hircine")</f>
        <v>The Totems of Hircine</v>
      </c>
      <c r="B444" s="63" t="s">
        <v>132</v>
      </c>
      <c r="C444" s="63" t="s">
        <v>132</v>
      </c>
      <c r="D444" s="63" t="s">
        <v>132</v>
      </c>
      <c r="E444" s="503"/>
      <c r="F444" s="503"/>
      <c r="G444" s="503"/>
      <c r="H444" s="503"/>
      <c r="I444" s="503"/>
      <c r="J444" s="503"/>
      <c r="K444" s="503"/>
      <c r="L444" s="503"/>
      <c r="M444" s="503"/>
      <c r="N444" s="504" t="s">
        <v>1524</v>
      </c>
      <c r="O444" s="345" t="s">
        <v>3176</v>
      </c>
      <c r="P444" s="506" t="s">
        <v>3177</v>
      </c>
      <c r="Q444" s="340">
        <v>30.0</v>
      </c>
      <c r="R444" s="503" t="s">
        <v>2440</v>
      </c>
    </row>
    <row r="445">
      <c r="A445" s="502" t="str">
        <f>HYPERLINK("http://en.uesp.net/wiki/Skyrim:The_True_Nature_of_Orcs","The True Nature of Orcs")</f>
        <v>The True Nature of Orcs</v>
      </c>
      <c r="B445" s="63" t="s">
        <v>132</v>
      </c>
      <c r="C445" s="63" t="s">
        <v>132</v>
      </c>
      <c r="D445" s="63" t="s">
        <v>132</v>
      </c>
      <c r="E445" s="503"/>
      <c r="F445" s="503"/>
      <c r="G445" s="503"/>
      <c r="H445" s="503"/>
      <c r="I445" s="503"/>
      <c r="J445" s="503"/>
      <c r="K445" s="503"/>
      <c r="L445" s="503"/>
      <c r="M445" s="503"/>
      <c r="N445" s="504">
        <v>4.0</v>
      </c>
      <c r="O445" s="345" t="s">
        <v>2481</v>
      </c>
      <c r="P445" s="506" t="s">
        <v>3178</v>
      </c>
      <c r="Q445" s="340">
        <v>20.0</v>
      </c>
      <c r="R445" s="345" t="s">
        <v>2440</v>
      </c>
    </row>
    <row r="446">
      <c r="A446" s="502" t="str">
        <f>HYPERLINK("https://en.uesp.net/wiki/Skyrim:The_True_Noble's_Code", "The True Noble's Code (DB)")</f>
        <v>The True Noble's Code (DB)</v>
      </c>
      <c r="B446" s="63" t="s">
        <v>132</v>
      </c>
      <c r="C446" s="63" t="s">
        <v>132</v>
      </c>
      <c r="D446" s="63" t="s">
        <v>132</v>
      </c>
      <c r="E446" s="503"/>
      <c r="F446" s="503"/>
      <c r="G446" s="503"/>
      <c r="H446" s="503"/>
      <c r="I446" s="503"/>
      <c r="J446" s="503"/>
      <c r="K446" s="503"/>
      <c r="L446" s="503"/>
      <c r="M446" s="503"/>
      <c r="N446" s="42">
        <v>2.0</v>
      </c>
      <c r="O446" s="505" t="s">
        <v>3179</v>
      </c>
      <c r="P446" s="506" t="s">
        <v>3179</v>
      </c>
      <c r="Q446" s="340">
        <v>7.0</v>
      </c>
      <c r="R446" s="345" t="s">
        <v>2440</v>
      </c>
    </row>
    <row r="447">
      <c r="A447" s="502" t="str">
        <f>HYPERLINK("http://en.uesp.net/wiki/Skyrim:The_Warrior%27s_Charge","The Warrior's Charge")</f>
        <v>The Warrior's Charge</v>
      </c>
      <c r="B447" s="63" t="s">
        <v>132</v>
      </c>
      <c r="C447" s="63" t="s">
        <v>132</v>
      </c>
      <c r="D447" s="63" t="s">
        <v>132</v>
      </c>
      <c r="E447" s="503"/>
      <c r="F447" s="503"/>
      <c r="G447" s="503"/>
      <c r="H447" s="503"/>
      <c r="I447" s="503"/>
      <c r="J447" s="503"/>
      <c r="K447" s="503"/>
      <c r="L447" s="503"/>
      <c r="M447" s="503"/>
      <c r="N447" s="320" t="s">
        <v>1524</v>
      </c>
      <c r="O447" s="508" t="s">
        <v>2481</v>
      </c>
      <c r="P447" s="506" t="s">
        <v>3180</v>
      </c>
      <c r="Q447" s="340">
        <v>50.0</v>
      </c>
      <c r="R447" s="472" t="s">
        <v>2489</v>
      </c>
    </row>
    <row r="448">
      <c r="A448" s="502" t="str">
        <f>HYPERLINK("http://en.uesp.net/wiki/Skyrim:The_Waters_of_Oblivion","The Waters of Oblivion")</f>
        <v>The Waters of Oblivion</v>
      </c>
      <c r="B448" s="63" t="s">
        <v>132</v>
      </c>
      <c r="C448" s="63" t="s">
        <v>132</v>
      </c>
      <c r="D448" s="63" t="s">
        <v>132</v>
      </c>
      <c r="E448" s="503"/>
      <c r="F448" s="503"/>
      <c r="G448" s="503"/>
      <c r="H448" s="503"/>
      <c r="I448" s="503"/>
      <c r="J448" s="503"/>
      <c r="K448" s="503"/>
      <c r="L448" s="503"/>
      <c r="M448" s="503"/>
      <c r="N448" s="320">
        <v>4.0</v>
      </c>
      <c r="O448" s="508" t="s">
        <v>2481</v>
      </c>
      <c r="P448" s="506" t="s">
        <v>3181</v>
      </c>
      <c r="Q448" s="340">
        <v>30.0</v>
      </c>
      <c r="R448" s="503" t="s">
        <v>2440</v>
      </c>
    </row>
    <row r="449">
      <c r="A449" s="502" t="str">
        <f>HYPERLINK("http://en.uesp.net/wiki/Skyrim:The_Wild_Elves","The Wild Elves")</f>
        <v>The Wild Elves</v>
      </c>
      <c r="B449" s="63" t="s">
        <v>132</v>
      </c>
      <c r="C449" s="63" t="s">
        <v>132</v>
      </c>
      <c r="D449" s="63" t="s">
        <v>132</v>
      </c>
      <c r="E449" s="503"/>
      <c r="F449" s="503"/>
      <c r="G449" s="503"/>
      <c r="H449" s="503"/>
      <c r="I449" s="503"/>
      <c r="J449" s="503"/>
      <c r="K449" s="503"/>
      <c r="L449" s="503"/>
      <c r="M449" s="503"/>
      <c r="N449" s="320">
        <v>4.0</v>
      </c>
      <c r="O449" s="506" t="s">
        <v>3182</v>
      </c>
      <c r="P449" s="506" t="s">
        <v>3183</v>
      </c>
      <c r="Q449" s="340">
        <v>25.0</v>
      </c>
      <c r="R449" s="453" t="s">
        <v>2440</v>
      </c>
    </row>
    <row r="450">
      <c r="A450" s="502" t="str">
        <f>HYPERLINK("http://en.uesp.net/wiki/Skyrim:The_Windhelm_Letters","The Windhelm Letters")</f>
        <v>The Windhelm Letters</v>
      </c>
      <c r="B450" s="63" t="s">
        <v>132</v>
      </c>
      <c r="C450" s="63" t="s">
        <v>132</v>
      </c>
      <c r="D450" s="63" t="s">
        <v>132</v>
      </c>
      <c r="E450" s="503"/>
      <c r="F450" s="503"/>
      <c r="G450" s="503"/>
      <c r="H450" s="503"/>
      <c r="I450" s="503"/>
      <c r="J450" s="503"/>
      <c r="K450" s="503"/>
      <c r="L450" s="503"/>
      <c r="M450" s="503"/>
      <c r="N450" s="320">
        <v>2.0</v>
      </c>
      <c r="O450" s="506" t="s">
        <v>3184</v>
      </c>
      <c r="P450" s="506" t="s">
        <v>3185</v>
      </c>
      <c r="Q450" s="340">
        <v>7.0</v>
      </c>
      <c r="R450" s="503" t="s">
        <v>2440</v>
      </c>
    </row>
    <row r="451">
      <c r="A451" s="502" t="str">
        <f>HYPERLINK("http://en.uesp.net/wiki/Skyrim:The_Wispmother","The Wispmother")</f>
        <v>The Wispmother</v>
      </c>
      <c r="B451" s="63" t="s">
        <v>132</v>
      </c>
      <c r="C451" s="63" t="s">
        <v>132</v>
      </c>
      <c r="D451" s="63" t="s">
        <v>132</v>
      </c>
      <c r="E451" s="503"/>
      <c r="F451" s="503"/>
      <c r="G451" s="503"/>
      <c r="H451" s="503"/>
      <c r="I451" s="503"/>
      <c r="J451" s="503"/>
      <c r="K451" s="503"/>
      <c r="L451" s="503"/>
      <c r="M451" s="503"/>
      <c r="N451" s="320">
        <v>2.0</v>
      </c>
      <c r="O451" s="506" t="s">
        <v>3186</v>
      </c>
      <c r="P451" s="506" t="s">
        <v>3187</v>
      </c>
      <c r="Q451" s="340">
        <v>8.0</v>
      </c>
      <c r="R451" s="345" t="s">
        <v>2440</v>
      </c>
    </row>
    <row r="452">
      <c r="A452" s="502" t="str">
        <f>HYPERLINK("http://en.uesp.net/wiki/Skyrim:The_Wolf_Queen,_v1","The Wolf Queen, v1")</f>
        <v>The Wolf Queen, v1</v>
      </c>
      <c r="B452" s="63" t="s">
        <v>132</v>
      </c>
      <c r="C452" s="63" t="s">
        <v>132</v>
      </c>
      <c r="D452" s="63" t="s">
        <v>132</v>
      </c>
      <c r="E452" s="503"/>
      <c r="F452" s="503"/>
      <c r="G452" s="503"/>
      <c r="H452" s="503"/>
      <c r="I452" s="503"/>
      <c r="J452" s="503"/>
      <c r="K452" s="503"/>
      <c r="L452" s="503"/>
      <c r="M452" s="503"/>
      <c r="N452" s="320" t="s">
        <v>1524</v>
      </c>
      <c r="O452" s="506" t="s">
        <v>2506</v>
      </c>
      <c r="P452" s="506" t="s">
        <v>3188</v>
      </c>
      <c r="Q452" s="340">
        <v>75.0</v>
      </c>
      <c r="R452" s="472" t="s">
        <v>2533</v>
      </c>
    </row>
    <row r="453">
      <c r="A453" s="502" t="str">
        <f>HYPERLINK("http://en.uesp.net/wiki/Skyrim:The_Wolf_Queen,_v2","The Wolf Queen, v2")</f>
        <v>The Wolf Queen, v2</v>
      </c>
      <c r="B453" s="63" t="s">
        <v>132</v>
      </c>
      <c r="C453" s="63" t="s">
        <v>132</v>
      </c>
      <c r="D453" s="63" t="s">
        <v>132</v>
      </c>
      <c r="E453" s="503"/>
      <c r="F453" s="503"/>
      <c r="G453" s="503"/>
      <c r="H453" s="503"/>
      <c r="I453" s="503"/>
      <c r="J453" s="503"/>
      <c r="K453" s="503"/>
      <c r="L453" s="503"/>
      <c r="M453" s="503"/>
      <c r="N453" s="320">
        <v>0.0</v>
      </c>
      <c r="O453" s="506" t="s">
        <v>2506</v>
      </c>
      <c r="P453" s="506" t="s">
        <v>3189</v>
      </c>
      <c r="Q453" s="340">
        <v>4.0</v>
      </c>
      <c r="R453" s="453" t="s">
        <v>2440</v>
      </c>
    </row>
    <row r="454">
      <c r="A454" s="502" t="str">
        <f>HYPERLINK("http://en.uesp.net/wiki/Skyrim:The_Wolf_Queen,_v3","The Wolf Queen, v3")</f>
        <v>The Wolf Queen, v3</v>
      </c>
      <c r="B454" s="63" t="s">
        <v>132</v>
      </c>
      <c r="C454" s="63" t="s">
        <v>132</v>
      </c>
      <c r="D454" s="63" t="s">
        <v>132</v>
      </c>
      <c r="E454" s="503"/>
      <c r="F454" s="503"/>
      <c r="G454" s="503"/>
      <c r="H454" s="503"/>
      <c r="I454" s="503"/>
      <c r="J454" s="503"/>
      <c r="K454" s="503"/>
      <c r="L454" s="503"/>
      <c r="M454" s="503"/>
      <c r="N454" s="320">
        <v>0.0</v>
      </c>
      <c r="O454" s="506" t="s">
        <v>2506</v>
      </c>
      <c r="P454" s="505" t="s">
        <v>3189</v>
      </c>
      <c r="Q454" s="340">
        <v>4.0</v>
      </c>
      <c r="R454" s="503" t="s">
        <v>2440</v>
      </c>
    </row>
    <row r="455">
      <c r="A455" s="502" t="str">
        <f>HYPERLINK("http://en.uesp.net/wiki/Skyrim:The_Wolf_Queen,_v4","The Wolf Queen, v4")</f>
        <v>The Wolf Queen, v4</v>
      </c>
      <c r="B455" s="63" t="s">
        <v>132</v>
      </c>
      <c r="C455" s="63" t="s">
        <v>132</v>
      </c>
      <c r="D455" s="63" t="s">
        <v>132</v>
      </c>
      <c r="E455" s="503"/>
      <c r="F455" s="503"/>
      <c r="G455" s="503"/>
      <c r="H455" s="503"/>
      <c r="I455" s="503"/>
      <c r="J455" s="503"/>
      <c r="K455" s="503"/>
      <c r="L455" s="503"/>
      <c r="M455" s="503"/>
      <c r="N455" s="320">
        <v>0.0</v>
      </c>
      <c r="O455" s="506" t="s">
        <v>2506</v>
      </c>
      <c r="P455" s="506" t="s">
        <v>3189</v>
      </c>
      <c r="Q455" s="340">
        <v>4.0</v>
      </c>
      <c r="R455" s="503" t="s">
        <v>2440</v>
      </c>
    </row>
    <row r="456">
      <c r="A456" s="502" t="str">
        <f>HYPERLINK("http://en.uesp.net/wiki/Skyrim:The_Wolf_Queen,_v5","The Wolf Queen, v5")</f>
        <v>The Wolf Queen, v5</v>
      </c>
      <c r="B456" s="63" t="s">
        <v>132</v>
      </c>
      <c r="C456" s="63" t="s">
        <v>132</v>
      </c>
      <c r="D456" s="63" t="s">
        <v>132</v>
      </c>
      <c r="E456" s="503"/>
      <c r="F456" s="503"/>
      <c r="G456" s="503"/>
      <c r="H456" s="503"/>
      <c r="I456" s="503"/>
      <c r="J456" s="503"/>
      <c r="K456" s="503"/>
      <c r="L456" s="503"/>
      <c r="M456" s="503"/>
      <c r="N456" s="320">
        <v>0.0</v>
      </c>
      <c r="O456" s="506" t="s">
        <v>2506</v>
      </c>
      <c r="P456" s="506" t="s">
        <v>3189</v>
      </c>
      <c r="Q456" s="340">
        <v>4.0</v>
      </c>
      <c r="R456" s="503" t="s">
        <v>2440</v>
      </c>
    </row>
    <row r="457">
      <c r="A457" s="502" t="str">
        <f>HYPERLINK("http://en.uesp.net/wiki/Skyrim:The_Wolf_Queen,_v6","The Wolf Queen, v6")</f>
        <v>The Wolf Queen, v6</v>
      </c>
      <c r="B457" s="63" t="s">
        <v>132</v>
      </c>
      <c r="C457" s="63" t="s">
        <v>132</v>
      </c>
      <c r="D457" s="63" t="s">
        <v>132</v>
      </c>
      <c r="E457" s="503"/>
      <c r="F457" s="503"/>
      <c r="G457" s="503"/>
      <c r="H457" s="503"/>
      <c r="I457" s="503"/>
      <c r="J457" s="503"/>
      <c r="K457" s="503"/>
      <c r="L457" s="503"/>
      <c r="M457" s="503"/>
      <c r="N457" s="504">
        <v>4.0</v>
      </c>
      <c r="O457" s="505" t="s">
        <v>2506</v>
      </c>
      <c r="P457" s="505" t="s">
        <v>3189</v>
      </c>
      <c r="Q457" s="340">
        <v>30.0</v>
      </c>
      <c r="R457" s="503" t="s">
        <v>2440</v>
      </c>
    </row>
    <row r="458">
      <c r="A458" s="502" t="str">
        <f>HYPERLINK("http://en.uesp.net/wiki/Skyrim:The_Wolf_Queen,_v7","The Wolf Queen, v7")</f>
        <v>The Wolf Queen, v7</v>
      </c>
      <c r="B458" s="63" t="s">
        <v>132</v>
      </c>
      <c r="C458" s="63" t="s">
        <v>132</v>
      </c>
      <c r="D458" s="63" t="s">
        <v>132</v>
      </c>
      <c r="E458" s="503"/>
      <c r="F458" s="503"/>
      <c r="G458" s="503"/>
      <c r="H458" s="503"/>
      <c r="I458" s="503"/>
      <c r="J458" s="503"/>
      <c r="K458" s="503"/>
      <c r="L458" s="503"/>
      <c r="M458" s="503"/>
      <c r="N458" s="504">
        <v>0.0</v>
      </c>
      <c r="O458" s="505" t="s">
        <v>2506</v>
      </c>
      <c r="P458" s="506" t="s">
        <v>3189</v>
      </c>
      <c r="Q458" s="340">
        <v>4.0</v>
      </c>
      <c r="R458" s="503" t="s">
        <v>2440</v>
      </c>
    </row>
    <row r="459">
      <c r="A459" s="502" t="str">
        <f>HYPERLINK("http://en.uesp.net/wiki/Skyrim:The_Wolf_Queen,_v8","The Wolf Queen, v8")</f>
        <v>The Wolf Queen, v8</v>
      </c>
      <c r="B459" s="63" t="s">
        <v>132</v>
      </c>
      <c r="C459" s="63" t="s">
        <v>132</v>
      </c>
      <c r="D459" s="63" t="s">
        <v>132</v>
      </c>
      <c r="E459" s="503"/>
      <c r="F459" s="503"/>
      <c r="G459" s="503"/>
      <c r="H459" s="503"/>
      <c r="I459" s="503"/>
      <c r="J459" s="503"/>
      <c r="K459" s="503"/>
      <c r="L459" s="503"/>
      <c r="M459" s="503"/>
      <c r="N459" s="504">
        <v>3.0</v>
      </c>
      <c r="O459" s="505" t="s">
        <v>2506</v>
      </c>
      <c r="P459" s="506" t="s">
        <v>3189</v>
      </c>
      <c r="Q459" s="340">
        <v>12.0</v>
      </c>
      <c r="R459" s="503" t="s">
        <v>2440</v>
      </c>
    </row>
    <row r="460">
      <c r="A460" s="502" t="str">
        <f>HYPERLINK("http://en.uesp.net/wiki/Skyrim:The_Woodcutter%27s_Wife","The Woodcutter's Wife")</f>
        <v>The Woodcutter's Wife</v>
      </c>
      <c r="B460" s="63" t="s">
        <v>132</v>
      </c>
      <c r="C460" s="63" t="s">
        <v>132</v>
      </c>
      <c r="D460" s="63" t="s">
        <v>132</v>
      </c>
      <c r="E460" s="503"/>
      <c r="F460" s="503"/>
      <c r="G460" s="503"/>
      <c r="H460" s="503"/>
      <c r="I460" s="503"/>
      <c r="J460" s="503"/>
      <c r="K460" s="503"/>
      <c r="L460" s="503"/>
      <c r="M460" s="503"/>
      <c r="N460" s="504">
        <v>2.0</v>
      </c>
      <c r="O460" s="505" t="s">
        <v>3190</v>
      </c>
      <c r="P460" s="506" t="s">
        <v>3191</v>
      </c>
      <c r="Q460" s="340">
        <v>8.0</v>
      </c>
      <c r="R460" s="503" t="s">
        <v>2440</v>
      </c>
    </row>
    <row r="461">
      <c r="A461" s="502" t="str">
        <f>HYPERLINK("http://en.uesp.net/wiki/Skyrim:There_Be_Dragons","There Be Dragons")</f>
        <v>There Be Dragons</v>
      </c>
      <c r="B461" s="63" t="s">
        <v>132</v>
      </c>
      <c r="C461" s="63" t="s">
        <v>132</v>
      </c>
      <c r="D461" s="63" t="s">
        <v>132</v>
      </c>
      <c r="E461" s="503"/>
      <c r="F461" s="503"/>
      <c r="G461" s="503"/>
      <c r="H461" s="503"/>
      <c r="I461" s="503"/>
      <c r="J461" s="503"/>
      <c r="K461" s="503"/>
      <c r="L461" s="503"/>
      <c r="M461" s="503"/>
      <c r="N461" s="504">
        <v>3.0</v>
      </c>
      <c r="O461" s="345" t="s">
        <v>3064</v>
      </c>
      <c r="P461" s="506" t="s">
        <v>3192</v>
      </c>
      <c r="Q461" s="340">
        <v>11.0</v>
      </c>
      <c r="R461" s="503" t="s">
        <v>2440</v>
      </c>
    </row>
    <row r="462">
      <c r="A462" s="502" t="str">
        <f>HYPERLINK("http://en.uesp.net/wiki/Skyrim:Thief_(book)","Thief")</f>
        <v>Thief</v>
      </c>
      <c r="B462" s="63" t="s">
        <v>132</v>
      </c>
      <c r="C462" s="63" t="s">
        <v>132</v>
      </c>
      <c r="D462" s="63" t="s">
        <v>132</v>
      </c>
      <c r="E462" s="503"/>
      <c r="F462" s="503"/>
      <c r="G462" s="503"/>
      <c r="H462" s="503"/>
      <c r="I462" s="503"/>
      <c r="J462" s="503"/>
      <c r="K462" s="503"/>
      <c r="L462" s="503"/>
      <c r="M462" s="503"/>
      <c r="N462" s="320" t="s">
        <v>1524</v>
      </c>
      <c r="O462" s="506" t="s">
        <v>2586</v>
      </c>
      <c r="P462" s="506" t="s">
        <v>3193</v>
      </c>
      <c r="Q462" s="340">
        <v>60.0</v>
      </c>
      <c r="R462" s="472" t="s">
        <v>2539</v>
      </c>
    </row>
    <row r="463">
      <c r="A463" s="502" t="str">
        <f>HYPERLINK("http://en.uesp.net/wiki/Skyrim:Thief_of_Virtue","Thief of Virtue")</f>
        <v>Thief of Virtue</v>
      </c>
      <c r="B463" s="63" t="s">
        <v>132</v>
      </c>
      <c r="C463" s="63" t="s">
        <v>132</v>
      </c>
      <c r="D463" s="63" t="s">
        <v>132</v>
      </c>
      <c r="E463" s="503"/>
      <c r="F463" s="503"/>
      <c r="G463" s="503"/>
      <c r="H463" s="503"/>
      <c r="I463" s="503"/>
      <c r="J463" s="503"/>
      <c r="K463" s="503"/>
      <c r="L463" s="503"/>
      <c r="M463" s="503"/>
      <c r="N463" s="320">
        <v>2.0</v>
      </c>
      <c r="O463" s="508" t="s">
        <v>2481</v>
      </c>
      <c r="P463" s="506" t="s">
        <v>3194</v>
      </c>
      <c r="Q463" s="340">
        <v>5.0</v>
      </c>
      <c r="R463" s="453" t="s">
        <v>2440</v>
      </c>
    </row>
    <row r="464">
      <c r="A464" s="502" t="str">
        <f>HYPERLINK("https://en.uesp.net/wiki/Skyrim:Thirsk,_A_Revised_History", "Thirsk, A Revised History (DB)")</f>
        <v>Thirsk, A Revised History (DB)</v>
      </c>
      <c r="B464" s="63" t="s">
        <v>132</v>
      </c>
      <c r="C464" s="63" t="s">
        <v>132</v>
      </c>
      <c r="D464" s="63" t="s">
        <v>132</v>
      </c>
      <c r="E464" s="503"/>
      <c r="F464" s="503"/>
      <c r="G464" s="503"/>
      <c r="H464" s="503"/>
      <c r="I464" s="503"/>
      <c r="J464" s="503"/>
      <c r="K464" s="503"/>
      <c r="L464" s="503"/>
      <c r="M464" s="503"/>
      <c r="N464" s="504" t="s">
        <v>1524</v>
      </c>
      <c r="O464" s="505" t="s">
        <v>2481</v>
      </c>
      <c r="P464" s="506" t="s">
        <v>3195</v>
      </c>
      <c r="Q464" s="340">
        <v>3.0</v>
      </c>
      <c r="R464" s="345" t="s">
        <v>2440</v>
      </c>
    </row>
    <row r="465">
      <c r="A465" s="502" t="str">
        <f>HYPERLINK("http://en.uesp.net/wiki/Skyrim:Thonar%27s_Journal","Thonar's Journal")</f>
        <v>Thonar's Journal</v>
      </c>
      <c r="B465" s="63" t="s">
        <v>132</v>
      </c>
      <c r="C465" s="63" t="s">
        <v>132</v>
      </c>
      <c r="D465" s="63" t="s">
        <v>132</v>
      </c>
      <c r="E465" s="503"/>
      <c r="F465" s="503"/>
      <c r="G465" s="503"/>
      <c r="H465" s="503"/>
      <c r="I465" s="503"/>
      <c r="J465" s="503"/>
      <c r="K465" s="503"/>
      <c r="L465" s="503"/>
      <c r="M465" s="503"/>
      <c r="N465" s="320" t="s">
        <v>1524</v>
      </c>
      <c r="O465" s="506" t="s">
        <v>3196</v>
      </c>
      <c r="P465" s="506" t="s">
        <v>3197</v>
      </c>
      <c r="Q465" s="340">
        <v>5.0</v>
      </c>
      <c r="R465" s="503" t="s">
        <v>2536</v>
      </c>
    </row>
    <row r="466">
      <c r="A466" s="502" t="str">
        <f>HYPERLINK("http://en.uesp.net/wiki/Skyrim:Three_Thieves","Three Thieves")</f>
        <v>Three Thieves</v>
      </c>
      <c r="B466" s="63" t="s">
        <v>132</v>
      </c>
      <c r="C466" s="63" t="s">
        <v>132</v>
      </c>
      <c r="D466" s="63" t="s">
        <v>132</v>
      </c>
      <c r="E466" s="503"/>
      <c r="F466" s="503"/>
      <c r="G466" s="503"/>
      <c r="H466" s="503"/>
      <c r="I466" s="503"/>
      <c r="J466" s="503"/>
      <c r="K466" s="503"/>
      <c r="L466" s="503"/>
      <c r="M466" s="503"/>
      <c r="N466" s="320" t="s">
        <v>1524</v>
      </c>
      <c r="O466" s="508" t="s">
        <v>2481</v>
      </c>
      <c r="P466" s="506" t="s">
        <v>3198</v>
      </c>
      <c r="Q466" s="340">
        <v>75.0</v>
      </c>
      <c r="R466" s="509" t="s">
        <v>2492</v>
      </c>
    </row>
    <row r="467">
      <c r="A467" s="502" t="str">
        <f>HYPERLINK("http://en.uesp.net/wiki/Skyrim:Touching_the_Sky_(book)","Touching the Sky (DG)")</f>
        <v>Touching the Sky (DG)</v>
      </c>
      <c r="B467" s="63" t="s">
        <v>132</v>
      </c>
      <c r="C467" s="63" t="s">
        <v>132</v>
      </c>
      <c r="D467" s="63" t="s">
        <v>132</v>
      </c>
      <c r="E467" s="503"/>
      <c r="F467" s="503"/>
      <c r="G467" s="503"/>
      <c r="H467" s="503"/>
      <c r="I467" s="503"/>
      <c r="J467" s="503"/>
      <c r="K467" s="503"/>
      <c r="L467" s="503"/>
      <c r="M467" s="503"/>
      <c r="N467" s="320" t="s">
        <v>1524</v>
      </c>
      <c r="O467" s="508" t="s">
        <v>3199</v>
      </c>
      <c r="P467" s="506" t="s">
        <v>2664</v>
      </c>
      <c r="Q467" s="340">
        <v>20.0</v>
      </c>
      <c r="R467" s="503" t="s">
        <v>2440</v>
      </c>
    </row>
    <row r="468">
      <c r="A468" s="502" t="str">
        <f>HYPERLINK("https://en.uesp.net/wiki/Skyrim:Trap", "Trap (DB)")</f>
        <v>Trap (DB)</v>
      </c>
      <c r="B468" s="63" t="s">
        <v>132</v>
      </c>
      <c r="C468" s="63" t="s">
        <v>132</v>
      </c>
      <c r="D468" s="63" t="s">
        <v>132</v>
      </c>
      <c r="E468" s="503"/>
      <c r="F468" s="503"/>
      <c r="G468" s="503"/>
      <c r="H468" s="503"/>
      <c r="I468" s="503"/>
      <c r="J468" s="503"/>
      <c r="K468" s="503"/>
      <c r="L468" s="503"/>
      <c r="M468" s="503"/>
      <c r="N468" s="42">
        <v>3.0</v>
      </c>
      <c r="O468" s="506" t="s">
        <v>2481</v>
      </c>
      <c r="P468" s="506" t="s">
        <v>3200</v>
      </c>
      <c r="Q468" s="340">
        <v>13.0</v>
      </c>
      <c r="R468" s="508" t="s">
        <v>2440</v>
      </c>
    </row>
    <row r="469">
      <c r="A469" s="502" t="str">
        <f>HYPERLINK("http://en.uesp.net/wiki/Skyrim:Treatise_on_Ayleidic_Cities","Treatise on Ayleidic Cities")</f>
        <v>Treatise on Ayleidic Cities</v>
      </c>
      <c r="B469" s="63" t="s">
        <v>132</v>
      </c>
      <c r="C469" s="63" t="s">
        <v>132</v>
      </c>
      <c r="D469" s="63" t="s">
        <v>132</v>
      </c>
      <c r="E469" s="503"/>
      <c r="F469" s="503"/>
      <c r="G469" s="503"/>
      <c r="H469" s="503"/>
      <c r="I469" s="503"/>
      <c r="J469" s="503"/>
      <c r="K469" s="503"/>
      <c r="L469" s="503"/>
      <c r="M469" s="503"/>
      <c r="N469" s="320">
        <v>4.0</v>
      </c>
      <c r="O469" s="508" t="s">
        <v>3201</v>
      </c>
      <c r="P469" s="506" t="s">
        <v>3202</v>
      </c>
      <c r="Q469" s="340">
        <v>25.0</v>
      </c>
      <c r="R469" s="503" t="s">
        <v>2440</v>
      </c>
    </row>
    <row r="470">
      <c r="A470" s="502" t="str">
        <f>HYPERLINK("http://en.uesp.net/wiki/Skyrim:Trials_of_St._Alessia","Trials of St. Alessia")</f>
        <v>Trials of St. Alessia</v>
      </c>
      <c r="B470" s="63" t="s">
        <v>132</v>
      </c>
      <c r="C470" s="63" t="s">
        <v>132</v>
      </c>
      <c r="D470" s="63" t="s">
        <v>132</v>
      </c>
      <c r="E470" s="503"/>
      <c r="F470" s="503"/>
      <c r="G470" s="503"/>
      <c r="H470" s="503"/>
      <c r="I470" s="503"/>
      <c r="J470" s="503"/>
      <c r="K470" s="503"/>
      <c r="L470" s="503"/>
      <c r="M470" s="503"/>
      <c r="N470" s="504">
        <v>2.0</v>
      </c>
      <c r="O470" s="345" t="s">
        <v>2481</v>
      </c>
      <c r="P470" s="506" t="s">
        <v>3203</v>
      </c>
      <c r="Q470" s="340">
        <v>5.0</v>
      </c>
      <c r="R470" s="503" t="s">
        <v>2440</v>
      </c>
    </row>
    <row r="471">
      <c r="A471" s="502" t="str">
        <f>HYPERLINK("http://en.uesp.net/wiki/Skyrim:Troll_Slaying","Troll Slaying")</f>
        <v>Troll Slaying</v>
      </c>
      <c r="B471" s="63" t="s">
        <v>132</v>
      </c>
      <c r="C471" s="63" t="s">
        <v>132</v>
      </c>
      <c r="D471" s="63" t="s">
        <v>132</v>
      </c>
      <c r="E471" s="503"/>
      <c r="F471" s="503"/>
      <c r="G471" s="503"/>
      <c r="H471" s="503"/>
      <c r="I471" s="503"/>
      <c r="J471" s="503"/>
      <c r="K471" s="503"/>
      <c r="L471" s="503"/>
      <c r="M471" s="503"/>
      <c r="N471" s="320">
        <v>2.0</v>
      </c>
      <c r="O471" s="508" t="s">
        <v>3204</v>
      </c>
      <c r="P471" s="506" t="s">
        <v>3205</v>
      </c>
      <c r="Q471" s="340">
        <v>8.0</v>
      </c>
      <c r="R471" s="345" t="s">
        <v>2440</v>
      </c>
    </row>
    <row r="472">
      <c r="A472" s="502" t="str">
        <f>HYPERLINK("http://en.uesp.net/wiki/Skyrim:Twin_Secrets","Twin Secrets")</f>
        <v>Twin Secrets</v>
      </c>
      <c r="B472" s="63" t="s">
        <v>132</v>
      </c>
      <c r="C472" s="63" t="s">
        <v>132</v>
      </c>
      <c r="D472" s="63" t="s">
        <v>132</v>
      </c>
      <c r="E472" s="503"/>
      <c r="F472" s="503"/>
      <c r="G472" s="503"/>
      <c r="H472" s="503"/>
      <c r="I472" s="503"/>
      <c r="J472" s="503"/>
      <c r="K472" s="503"/>
      <c r="L472" s="503"/>
      <c r="M472" s="503"/>
      <c r="N472" s="504" t="s">
        <v>1524</v>
      </c>
      <c r="O472" s="345" t="s">
        <v>3206</v>
      </c>
      <c r="P472" s="506" t="s">
        <v>3207</v>
      </c>
      <c r="Q472" s="340">
        <v>50.0</v>
      </c>
      <c r="R472" s="472" t="s">
        <v>2529</v>
      </c>
    </row>
    <row r="473">
      <c r="A473" s="502" t="str">
        <f>HYPERLINK("http://en.uesp.net/wiki/Skyrim:Ulfr%27s_Book","Ulfr's Book")</f>
        <v>Ulfr's Book</v>
      </c>
      <c r="B473" s="63" t="s">
        <v>132</v>
      </c>
      <c r="C473" s="63" t="s">
        <v>132</v>
      </c>
      <c r="D473" s="63" t="s">
        <v>132</v>
      </c>
      <c r="E473" s="503"/>
      <c r="F473" s="503"/>
      <c r="G473" s="503"/>
      <c r="H473" s="503"/>
      <c r="I473" s="503"/>
      <c r="J473" s="503"/>
      <c r="K473" s="503"/>
      <c r="L473" s="503"/>
      <c r="M473" s="503"/>
      <c r="N473" s="320" t="s">
        <v>1524</v>
      </c>
      <c r="O473" s="508" t="s">
        <v>2481</v>
      </c>
      <c r="P473" s="506" t="s">
        <v>3208</v>
      </c>
      <c r="Q473" s="340">
        <v>5.0</v>
      </c>
      <c r="R473" s="453" t="s">
        <v>2440</v>
      </c>
    </row>
    <row r="474">
      <c r="A474" s="502" t="str">
        <f>HYPERLINK("https://en.uesp.net/wiki/Skyrim:Ulyn's_Journal", "Ulyn's Journal (DB)")</f>
        <v>Ulyn's Journal (DB)</v>
      </c>
      <c r="B474" s="63" t="s">
        <v>132</v>
      </c>
      <c r="C474" s="63" t="s">
        <v>132</v>
      </c>
      <c r="D474" s="63" t="s">
        <v>132</v>
      </c>
      <c r="E474" s="503"/>
      <c r="F474" s="503"/>
      <c r="G474" s="503"/>
      <c r="H474" s="503"/>
      <c r="I474" s="503"/>
      <c r="J474" s="503"/>
      <c r="K474" s="503"/>
      <c r="L474" s="503"/>
      <c r="M474" s="503"/>
      <c r="N474" s="504" t="s">
        <v>1524</v>
      </c>
      <c r="O474" s="505" t="s">
        <v>3209</v>
      </c>
      <c r="P474" s="516" t="s">
        <v>3210</v>
      </c>
      <c r="Q474" s="340">
        <v>25.0</v>
      </c>
      <c r="R474" s="503" t="s">
        <v>2536</v>
      </c>
    </row>
    <row r="475">
      <c r="A475" s="502" t="str">
        <f>HYPERLINK("http://en.uesp.net/wiki/Skyrim:Umana%27s_Journal","Umana's Journal")</f>
        <v>Umana's Journal</v>
      </c>
      <c r="B475" s="63" t="s">
        <v>132</v>
      </c>
      <c r="C475" s="63" t="s">
        <v>132</v>
      </c>
      <c r="D475" s="63" t="s">
        <v>132</v>
      </c>
      <c r="E475" s="503"/>
      <c r="F475" s="503"/>
      <c r="G475" s="503"/>
      <c r="H475" s="503"/>
      <c r="I475" s="503"/>
      <c r="J475" s="503"/>
      <c r="K475" s="503"/>
      <c r="L475" s="503"/>
      <c r="M475" s="503"/>
      <c r="N475" s="504" t="s">
        <v>1524</v>
      </c>
      <c r="O475" s="505" t="s">
        <v>3211</v>
      </c>
      <c r="P475" s="506" t="s">
        <v>3212</v>
      </c>
      <c r="Q475" s="340">
        <v>5.0</v>
      </c>
      <c r="R475" s="503" t="s">
        <v>2536</v>
      </c>
    </row>
    <row r="476">
      <c r="A476" s="502" t="str">
        <f>HYPERLINK("http://en.uesp.net/wiki/Skyrim:Uncommon_Taste","Uncommon Taste")</f>
        <v>Uncommon Taste</v>
      </c>
      <c r="B476" s="63" t="s">
        <v>132</v>
      </c>
      <c r="C476" s="63" t="s">
        <v>132</v>
      </c>
      <c r="D476" s="63" t="s">
        <v>132</v>
      </c>
      <c r="E476" s="503"/>
      <c r="F476" s="503"/>
      <c r="G476" s="503"/>
      <c r="H476" s="503"/>
      <c r="I476" s="503"/>
      <c r="J476" s="503"/>
      <c r="K476" s="503"/>
      <c r="L476" s="503"/>
      <c r="M476" s="503"/>
      <c r="N476" s="320">
        <v>1.0</v>
      </c>
      <c r="O476" s="506" t="s">
        <v>3213</v>
      </c>
      <c r="P476" s="506" t="s">
        <v>3214</v>
      </c>
      <c r="Q476" s="340">
        <v>3.0</v>
      </c>
      <c r="R476" s="503" t="s">
        <v>2440</v>
      </c>
    </row>
    <row r="477">
      <c r="A477" s="502" t="str">
        <f>HYPERLINK("http://en.uesp.net/wiki/Skyrim:Uncommon_Taste_-_Signed","Uncommon Taste - Signed")</f>
        <v>Uncommon Taste - Signed</v>
      </c>
      <c r="B477" s="63" t="s">
        <v>132</v>
      </c>
      <c r="C477" s="63" t="s">
        <v>132</v>
      </c>
      <c r="D477" s="63" t="s">
        <v>132</v>
      </c>
      <c r="E477" s="503"/>
      <c r="F477" s="503"/>
      <c r="G477" s="503"/>
      <c r="H477" s="503"/>
      <c r="I477" s="503"/>
      <c r="J477" s="503"/>
      <c r="K477" s="503"/>
      <c r="L477" s="503"/>
      <c r="M477" s="503"/>
      <c r="N477" s="504" t="s">
        <v>1524</v>
      </c>
      <c r="O477" s="505" t="s">
        <v>3213</v>
      </c>
      <c r="P477" s="506" t="s">
        <v>3215</v>
      </c>
      <c r="Q477" s="340">
        <v>30.0</v>
      </c>
      <c r="R477" s="503" t="s">
        <v>2440</v>
      </c>
    </row>
    <row r="478">
      <c r="A478" s="502" t="str">
        <f>HYPERLINK("http://en.uesp.net/wiki/Skyrim:Valerica%27s_Journal","Valerica's Journal (DG)")</f>
        <v>Valerica's Journal (DG)</v>
      </c>
      <c r="B478" s="63" t="s">
        <v>132</v>
      </c>
      <c r="C478" s="63" t="s">
        <v>132</v>
      </c>
      <c r="D478" s="63" t="s">
        <v>132</v>
      </c>
      <c r="E478" s="503"/>
      <c r="F478" s="503"/>
      <c r="G478" s="503"/>
      <c r="H478" s="503"/>
      <c r="I478" s="503"/>
      <c r="J478" s="503"/>
      <c r="K478" s="503"/>
      <c r="L478" s="503"/>
      <c r="M478" s="503"/>
      <c r="N478" s="320" t="s">
        <v>1524</v>
      </c>
      <c r="O478" s="506" t="s">
        <v>3216</v>
      </c>
      <c r="P478" s="506" t="s">
        <v>3217</v>
      </c>
      <c r="Q478" s="340">
        <v>10.0</v>
      </c>
      <c r="R478" s="503" t="s">
        <v>2536</v>
      </c>
    </row>
    <row r="479">
      <c r="A479" s="502" t="str">
        <f>HYPERLINK("http://en.uesp.net/wiki/Skyrim:Varieties_of_Daedra","Varieties of Daedra")</f>
        <v>Varieties of Daedra</v>
      </c>
      <c r="B479" s="63" t="s">
        <v>132</v>
      </c>
      <c r="C479" s="63" t="s">
        <v>132</v>
      </c>
      <c r="D479" s="63" t="s">
        <v>132</v>
      </c>
      <c r="E479" s="503"/>
      <c r="F479" s="503"/>
      <c r="G479" s="503"/>
      <c r="H479" s="503"/>
      <c r="I479" s="503"/>
      <c r="J479" s="503"/>
      <c r="K479" s="503"/>
      <c r="L479" s="503"/>
      <c r="M479" s="503"/>
      <c r="N479" s="320">
        <v>3.0</v>
      </c>
      <c r="O479" s="506" t="s">
        <v>3218</v>
      </c>
      <c r="P479" s="505" t="s">
        <v>3219</v>
      </c>
      <c r="Q479" s="340">
        <v>11.0</v>
      </c>
      <c r="R479" s="503" t="s">
        <v>2440</v>
      </c>
    </row>
    <row r="480">
      <c r="A480" s="502" t="str">
        <f>HYPERLINK("https://en.uesp.net/wiki/Skyrim:Varieties_of_Faith_in_the_Empire", "Varieties of Faith in the Empire (DB)")</f>
        <v>Varieties of Faith in the Empire (DB)</v>
      </c>
      <c r="B480" s="63" t="s">
        <v>132</v>
      </c>
      <c r="C480" s="63" t="s">
        <v>132</v>
      </c>
      <c r="D480" s="63" t="s">
        <v>132</v>
      </c>
      <c r="E480" s="503"/>
      <c r="F480" s="503"/>
      <c r="G480" s="503"/>
      <c r="H480" s="503"/>
      <c r="I480" s="503"/>
      <c r="J480" s="503"/>
      <c r="K480" s="503"/>
      <c r="L480" s="503"/>
      <c r="M480" s="503"/>
      <c r="N480" s="42">
        <v>3.0</v>
      </c>
      <c r="O480" s="505" t="s">
        <v>3220</v>
      </c>
      <c r="P480" s="505" t="s">
        <v>3221</v>
      </c>
      <c r="Q480" s="340">
        <v>13.0</v>
      </c>
      <c r="R480" s="345" t="s">
        <v>2440</v>
      </c>
    </row>
    <row r="481">
      <c r="A481" s="502" t="str">
        <f>HYPERLINK("http://en.uesp.net/wiki/Skyrim:Venarus_Vulpin%27s_Journal","Venarus Vulpin's Journal (DG)")</f>
        <v>Venarus Vulpin's Journal (DG)</v>
      </c>
      <c r="B481" s="63" t="s">
        <v>132</v>
      </c>
      <c r="C481" s="63" t="s">
        <v>132</v>
      </c>
      <c r="D481" s="63" t="s">
        <v>132</v>
      </c>
      <c r="E481" s="503"/>
      <c r="F481" s="503"/>
      <c r="G481" s="503"/>
      <c r="H481" s="503"/>
      <c r="I481" s="503"/>
      <c r="J481" s="503"/>
      <c r="K481" s="503"/>
      <c r="L481" s="503"/>
      <c r="M481" s="503"/>
      <c r="N481" s="504" t="s">
        <v>1524</v>
      </c>
      <c r="O481" s="345" t="s">
        <v>3222</v>
      </c>
      <c r="P481" s="505" t="s">
        <v>3223</v>
      </c>
      <c r="Q481" s="340">
        <v>5.0</v>
      </c>
      <c r="R481" s="503" t="s">
        <v>2536</v>
      </c>
    </row>
    <row r="482">
      <c r="A482" s="502" t="str">
        <f>HYPERLINK("http://en.uesp.net/wiki/Skyrim:Venarus_Vulpin%27s_Research","Venarus Vulpin's Research (DG)")</f>
        <v>Venarus Vulpin's Research (DG)</v>
      </c>
      <c r="B482" s="63" t="s">
        <v>132</v>
      </c>
      <c r="C482" s="63" t="s">
        <v>132</v>
      </c>
      <c r="D482" s="63" t="s">
        <v>132</v>
      </c>
      <c r="E482" s="503"/>
      <c r="F482" s="503"/>
      <c r="G482" s="503"/>
      <c r="H482" s="503"/>
      <c r="I482" s="503"/>
      <c r="J482" s="503"/>
      <c r="K482" s="503"/>
      <c r="L482" s="503"/>
      <c r="M482" s="503"/>
      <c r="N482" s="320" t="s">
        <v>1524</v>
      </c>
      <c r="O482" s="508" t="s">
        <v>3222</v>
      </c>
      <c r="P482" s="505" t="s">
        <v>3224</v>
      </c>
      <c r="Q482" s="340">
        <v>5.0</v>
      </c>
      <c r="R482" s="503" t="s">
        <v>2536</v>
      </c>
    </row>
    <row r="483">
      <c r="A483" s="502" t="str">
        <f>HYPERLINK("http://en.uesp.net/wiki/Skyrim:Vernaccus_and_Bourlor","Vernaccus and Bourlor")</f>
        <v>Vernaccus and Bourlor</v>
      </c>
      <c r="B483" s="63" t="s">
        <v>132</v>
      </c>
      <c r="C483" s="63" t="s">
        <v>132</v>
      </c>
      <c r="D483" s="63" t="s">
        <v>132</v>
      </c>
      <c r="E483" s="503"/>
      <c r="F483" s="503"/>
      <c r="G483" s="503"/>
      <c r="H483" s="503"/>
      <c r="I483" s="503"/>
      <c r="J483" s="503"/>
      <c r="K483" s="503"/>
      <c r="L483" s="503"/>
      <c r="M483" s="503"/>
      <c r="N483" s="504">
        <v>2.0</v>
      </c>
      <c r="O483" s="345" t="s">
        <v>2597</v>
      </c>
      <c r="P483" s="505" t="s">
        <v>3225</v>
      </c>
      <c r="Q483" s="340" t="s">
        <v>3226</v>
      </c>
      <c r="R483" s="472" t="s">
        <v>2704</v>
      </c>
    </row>
    <row r="484">
      <c r="A484" s="502" t="str">
        <f>HYPERLINK("http://en.uesp.net/wiki/Skyrim:Volk%27s_Journal","Volk's Journal (DG)")</f>
        <v>Volk's Journal (DG)</v>
      </c>
      <c r="B484" s="63" t="s">
        <v>132</v>
      </c>
      <c r="C484" s="63" t="s">
        <v>132</v>
      </c>
      <c r="D484" s="63" t="s">
        <v>132</v>
      </c>
      <c r="E484" s="503"/>
      <c r="F484" s="503"/>
      <c r="G484" s="503"/>
      <c r="H484" s="503"/>
      <c r="I484" s="503"/>
      <c r="J484" s="503"/>
      <c r="K484" s="503"/>
      <c r="L484" s="503"/>
      <c r="M484" s="503"/>
      <c r="N484" s="320" t="s">
        <v>1524</v>
      </c>
      <c r="O484" s="506" t="s">
        <v>3227</v>
      </c>
      <c r="P484" s="506" t="s">
        <v>3228</v>
      </c>
      <c r="Q484" s="340">
        <v>5.0</v>
      </c>
      <c r="R484" s="503" t="s">
        <v>2536</v>
      </c>
    </row>
    <row r="485">
      <c r="A485" s="502" t="str">
        <f>HYPERLINK("http://en.uesp.net/wiki/Skyrim:Wabbajack_(book)","Wabbajack")</f>
        <v>Wabbajack</v>
      </c>
      <c r="B485" s="63" t="s">
        <v>132</v>
      </c>
      <c r="C485" s="63" t="s">
        <v>132</v>
      </c>
      <c r="D485" s="63" t="s">
        <v>132</v>
      </c>
      <c r="E485" s="503"/>
      <c r="F485" s="503"/>
      <c r="G485" s="503"/>
      <c r="H485" s="503"/>
      <c r="I485" s="503"/>
      <c r="J485" s="503"/>
      <c r="K485" s="503"/>
      <c r="L485" s="503"/>
      <c r="M485" s="503"/>
      <c r="N485" s="320">
        <v>2.0</v>
      </c>
      <c r="O485" s="508" t="s">
        <v>2481</v>
      </c>
      <c r="P485" s="506" t="s">
        <v>3229</v>
      </c>
      <c r="Q485" s="340">
        <v>7.0</v>
      </c>
      <c r="R485" s="503" t="s">
        <v>2440</v>
      </c>
    </row>
    <row r="486">
      <c r="A486" s="502" t="str">
        <f>HYPERLINK("http://en.uesp.net/wiki/Skyrim:Walking_the_World,_Vol_XI","Walking the World, Vol. XI")</f>
        <v>Walking the World, Vol. XI</v>
      </c>
      <c r="B486" s="63" t="s">
        <v>132</v>
      </c>
      <c r="C486" s="63" t="s">
        <v>132</v>
      </c>
      <c r="D486" s="63" t="s">
        <v>132</v>
      </c>
      <c r="E486" s="503"/>
      <c r="F486" s="503"/>
      <c r="G486" s="503"/>
      <c r="H486" s="503"/>
      <c r="I486" s="503"/>
      <c r="J486" s="503"/>
      <c r="K486" s="503"/>
      <c r="L486" s="503"/>
      <c r="M486" s="503"/>
      <c r="N486" s="320">
        <v>2.0</v>
      </c>
      <c r="O486" s="506" t="s">
        <v>3230</v>
      </c>
      <c r="P486" s="506" t="s">
        <v>3231</v>
      </c>
      <c r="Q486" s="340">
        <v>8.0</v>
      </c>
      <c r="R486" s="503" t="s">
        <v>2440</v>
      </c>
    </row>
    <row r="487">
      <c r="A487" s="502" t="str">
        <f>HYPERLINK("http://en.uesp.net/wiki/Skyrim:War_of_the_First_Council","War of the First Council")</f>
        <v>War of the First Council</v>
      </c>
      <c r="B487" s="63" t="s">
        <v>132</v>
      </c>
      <c r="C487" s="63" t="s">
        <v>132</v>
      </c>
      <c r="D487" s="63" t="s">
        <v>132</v>
      </c>
      <c r="E487" s="503"/>
      <c r="F487" s="503"/>
      <c r="G487" s="503"/>
      <c r="H487" s="503"/>
      <c r="I487" s="503"/>
      <c r="J487" s="503"/>
      <c r="K487" s="503"/>
      <c r="L487" s="503"/>
      <c r="M487" s="503"/>
      <c r="N487" s="320">
        <v>4.0</v>
      </c>
      <c r="O487" s="508" t="s">
        <v>3232</v>
      </c>
      <c r="P487" s="506" t="s">
        <v>3233</v>
      </c>
      <c r="Q487" s="340">
        <v>25.0</v>
      </c>
      <c r="R487" s="508" t="s">
        <v>2440</v>
      </c>
    </row>
    <row r="488">
      <c r="A488" s="502" t="str">
        <f>HYPERLINK("http://en.uesp.net/wiki/Skyrim:Warrior_(book)","Warrior")</f>
        <v>Warrior</v>
      </c>
      <c r="B488" s="63" t="s">
        <v>132</v>
      </c>
      <c r="C488" s="63" t="s">
        <v>132</v>
      </c>
      <c r="D488" s="63" t="s">
        <v>132</v>
      </c>
      <c r="E488" s="503"/>
      <c r="F488" s="503"/>
      <c r="G488" s="503"/>
      <c r="H488" s="503"/>
      <c r="I488" s="503"/>
      <c r="J488" s="503"/>
      <c r="K488" s="503"/>
      <c r="L488" s="503"/>
      <c r="M488" s="503"/>
      <c r="N488" s="320" t="s">
        <v>1524</v>
      </c>
      <c r="O488" s="506" t="s">
        <v>2586</v>
      </c>
      <c r="P488" s="506" t="s">
        <v>3234</v>
      </c>
      <c r="Q488" s="340">
        <v>50.0</v>
      </c>
      <c r="R488" s="472" t="s">
        <v>2509</v>
      </c>
    </row>
    <row r="489">
      <c r="A489" s="502" t="str">
        <f>HYPERLINK("http://en.uesp.net/wiki/Skyrim:Watcher_of_Stones","Watcher of Stones")</f>
        <v>Watcher of Stones</v>
      </c>
      <c r="B489" s="63" t="s">
        <v>132</v>
      </c>
      <c r="C489" s="63" t="s">
        <v>132</v>
      </c>
      <c r="D489" s="63" t="s">
        <v>132</v>
      </c>
      <c r="E489" s="503"/>
      <c r="F489" s="503"/>
      <c r="G489" s="503"/>
      <c r="H489" s="503"/>
      <c r="I489" s="503"/>
      <c r="J489" s="503"/>
      <c r="K489" s="503"/>
      <c r="L489" s="503"/>
      <c r="M489" s="503"/>
      <c r="N489" s="320">
        <v>2.0</v>
      </c>
      <c r="O489" s="506" t="s">
        <v>3235</v>
      </c>
      <c r="P489" s="506" t="s">
        <v>3236</v>
      </c>
      <c r="Q489" s="340">
        <v>8.0</v>
      </c>
      <c r="R489" s="453" t="s">
        <v>2440</v>
      </c>
    </row>
    <row r="490">
      <c r="A490" s="502" t="str">
        <f>HYPERLINK("https://en.uesp.net/wiki/Skyrim:Where_were_you_when_the_Dragon_Broke", "Where were you when the Dragon Broke (DB)")</f>
        <v>Where were you when the Dragon Broke (DB)</v>
      </c>
      <c r="B490" s="63" t="s">
        <v>132</v>
      </c>
      <c r="C490" s="63" t="s">
        <v>132</v>
      </c>
      <c r="D490" s="63" t="s">
        <v>132</v>
      </c>
      <c r="E490" s="503"/>
      <c r="F490" s="503"/>
      <c r="G490" s="503"/>
      <c r="H490" s="503"/>
      <c r="I490" s="503"/>
      <c r="J490" s="503"/>
      <c r="K490" s="503"/>
      <c r="L490" s="503"/>
      <c r="M490" s="503"/>
      <c r="N490" s="42">
        <v>3.0</v>
      </c>
      <c r="O490" s="506" t="s">
        <v>3237</v>
      </c>
      <c r="P490" s="505" t="s">
        <v>3238</v>
      </c>
      <c r="Q490" s="340">
        <v>13.0</v>
      </c>
      <c r="R490" s="345" t="s">
        <v>2440</v>
      </c>
    </row>
    <row r="491">
      <c r="A491" s="502" t="str">
        <f>HYPERLINK("http://en.uesp.net/wiki/Skyrim:Whiterun_Home_Decorating_Guide","Whiterun Home Decorating Guide")</f>
        <v>Whiterun Home Decorating Guide</v>
      </c>
      <c r="B491" s="63" t="s">
        <v>132</v>
      </c>
      <c r="C491" s="63" t="s">
        <v>132</v>
      </c>
      <c r="D491" s="63" t="s">
        <v>132</v>
      </c>
      <c r="E491" s="503"/>
      <c r="F491" s="503"/>
      <c r="G491" s="503"/>
      <c r="H491" s="503"/>
      <c r="I491" s="503"/>
      <c r="J491" s="503"/>
      <c r="K491" s="503"/>
      <c r="L491" s="503"/>
      <c r="M491" s="503"/>
      <c r="N491" s="504" t="s">
        <v>1524</v>
      </c>
      <c r="O491" s="345" t="s">
        <v>2481</v>
      </c>
      <c r="P491" s="506" t="s">
        <v>3239</v>
      </c>
      <c r="Q491" s="340">
        <v>5.0</v>
      </c>
      <c r="R491" s="503" t="s">
        <v>2440</v>
      </c>
    </row>
    <row r="492">
      <c r="A492" s="502" t="str">
        <f>HYPERLINK("http://en.uesp.net/wiki/Skyrim:Windhelm_Home_Decorating_Guide","Windhelm Home Decorating Guide")</f>
        <v>Windhelm Home Decorating Guide</v>
      </c>
      <c r="B492" s="63" t="s">
        <v>132</v>
      </c>
      <c r="C492" s="63" t="s">
        <v>132</v>
      </c>
      <c r="D492" s="63" t="s">
        <v>132</v>
      </c>
      <c r="E492" s="503"/>
      <c r="F492" s="503"/>
      <c r="G492" s="503"/>
      <c r="H492" s="503"/>
      <c r="I492" s="503"/>
      <c r="J492" s="503"/>
      <c r="K492" s="503"/>
      <c r="L492" s="503"/>
      <c r="M492" s="503"/>
      <c r="N492" s="320" t="s">
        <v>1524</v>
      </c>
      <c r="O492" s="508" t="s">
        <v>2481</v>
      </c>
      <c r="P492" s="506" t="s">
        <v>3240</v>
      </c>
      <c r="Q492" s="340">
        <v>5.0</v>
      </c>
      <c r="R492" s="453" t="s">
        <v>2440</v>
      </c>
    </row>
    <row r="493">
      <c r="A493" s="502" t="str">
        <f>HYPERLINK("http://en.uesp.net/wiki/Skyrim:Withershins","Withershins")</f>
        <v>Withershins</v>
      </c>
      <c r="B493" s="63" t="s">
        <v>132</v>
      </c>
      <c r="C493" s="63" t="s">
        <v>132</v>
      </c>
      <c r="D493" s="63" t="s">
        <v>132</v>
      </c>
      <c r="E493" s="503"/>
      <c r="F493" s="503"/>
      <c r="G493" s="503"/>
      <c r="H493" s="503"/>
      <c r="I493" s="503"/>
      <c r="J493" s="503"/>
      <c r="K493" s="503"/>
      <c r="L493" s="503"/>
      <c r="M493" s="503"/>
      <c r="N493" s="320" t="s">
        <v>1524</v>
      </c>
      <c r="O493" s="508" t="s">
        <v>3241</v>
      </c>
      <c r="P493" s="506" t="s">
        <v>3242</v>
      </c>
      <c r="Q493" s="340">
        <v>55.0</v>
      </c>
      <c r="R493" s="509" t="s">
        <v>2498</v>
      </c>
    </row>
    <row r="494">
      <c r="A494" s="502" t="str">
        <f>HYPERLINK("http://en.uesp.net/wiki/Skyrim:Words_and_Philosophy","Words and Philosophy")</f>
        <v>Words and Philosophy</v>
      </c>
      <c r="B494" s="63" t="s">
        <v>132</v>
      </c>
      <c r="C494" s="63" t="s">
        <v>132</v>
      </c>
      <c r="D494" s="63" t="s">
        <v>132</v>
      </c>
      <c r="E494" s="503"/>
      <c r="F494" s="503"/>
      <c r="G494" s="503"/>
      <c r="H494" s="503"/>
      <c r="I494" s="503"/>
      <c r="J494" s="503"/>
      <c r="K494" s="503"/>
      <c r="L494" s="503"/>
      <c r="M494" s="503"/>
      <c r="N494" s="320" t="s">
        <v>1524</v>
      </c>
      <c r="O494" s="508" t="s">
        <v>3243</v>
      </c>
      <c r="P494" s="506" t="s">
        <v>3244</v>
      </c>
      <c r="Q494" s="340">
        <v>50.0</v>
      </c>
      <c r="R494" s="472" t="s">
        <v>2583</v>
      </c>
    </row>
    <row r="495" ht="15.0" customHeight="1">
      <c r="A495" s="502" t="str">
        <f>HYPERLINK("http://en.uesp.net/wiki/Skyrim:Words_of_Clan_Mother_Ahnissi","Words of Clan Mother Ahnissi")</f>
        <v>Words of Clan Mother Ahnissi</v>
      </c>
      <c r="B495" s="63" t="s">
        <v>132</v>
      </c>
      <c r="C495" s="63" t="s">
        <v>132</v>
      </c>
      <c r="D495" s="63" t="s">
        <v>132</v>
      </c>
      <c r="E495" s="503"/>
      <c r="F495" s="503"/>
      <c r="G495" s="503"/>
      <c r="H495" s="503"/>
      <c r="I495" s="503"/>
      <c r="J495" s="503"/>
      <c r="K495" s="503"/>
      <c r="L495" s="503"/>
      <c r="M495" s="503"/>
      <c r="N495" s="320">
        <v>3.0</v>
      </c>
      <c r="O495" s="506" t="s">
        <v>3245</v>
      </c>
      <c r="P495" s="506" t="s">
        <v>3246</v>
      </c>
      <c r="Q495" s="340">
        <v>14.0</v>
      </c>
      <c r="R495" s="508" t="s">
        <v>2440</v>
      </c>
    </row>
    <row r="496">
      <c r="A496" s="502" t="str">
        <f>HYPERLINK("https://en.uesp.net/wiki/Skyrim:Words_of_the_Wind", "Words of the Wind (DB)")</f>
        <v>Words of the Wind (DB)</v>
      </c>
      <c r="B496" s="63" t="s">
        <v>132</v>
      </c>
      <c r="C496" s="63" t="s">
        <v>132</v>
      </c>
      <c r="D496" s="63" t="s">
        <v>132</v>
      </c>
      <c r="E496" s="503"/>
      <c r="F496" s="503"/>
      <c r="G496" s="503"/>
      <c r="H496" s="503"/>
      <c r="I496" s="503"/>
      <c r="J496" s="503"/>
      <c r="K496" s="503"/>
      <c r="L496" s="503"/>
      <c r="M496" s="503"/>
      <c r="N496" s="42">
        <v>2.0</v>
      </c>
      <c r="O496" s="505" t="s">
        <v>2481</v>
      </c>
      <c r="P496" s="506" t="s">
        <v>3247</v>
      </c>
      <c r="Q496" s="340">
        <v>5.0</v>
      </c>
      <c r="R496" s="508" t="s">
        <v>2440</v>
      </c>
    </row>
    <row r="497">
      <c r="A497" s="502" t="str">
        <f>HYPERLINK("http://en.uesp.net/wiki/Skyrim:Wraith%27s_Wedding_Dowry","Wraith's Wedding Dowry")</f>
        <v>Wraith's Wedding Dowry</v>
      </c>
      <c r="B497" s="63" t="s">
        <v>132</v>
      </c>
      <c r="C497" s="63" t="s">
        <v>132</v>
      </c>
      <c r="D497" s="63" t="s">
        <v>132</v>
      </c>
      <c r="E497" s="503"/>
      <c r="F497" s="503"/>
      <c r="G497" s="503"/>
      <c r="H497" s="503"/>
      <c r="I497" s="503"/>
      <c r="J497" s="503"/>
      <c r="K497" s="503"/>
      <c r="L497" s="503"/>
      <c r="M497" s="503"/>
      <c r="N497" s="320">
        <v>3.0</v>
      </c>
      <c r="O497" s="506" t="s">
        <v>3248</v>
      </c>
      <c r="P497" s="506" t="s">
        <v>3249</v>
      </c>
      <c r="Q497" s="340">
        <v>10.0</v>
      </c>
      <c r="R497" s="345" t="s">
        <v>2440</v>
      </c>
    </row>
    <row r="498">
      <c r="A498" s="502" t="str">
        <f>HYPERLINK("http://en.uesp.net/wiki/Skyrim:Yellow_Book_of_Riddles","Yellow Book of Riddles")</f>
        <v>Yellow Book of Riddles</v>
      </c>
      <c r="B498" s="63" t="s">
        <v>132</v>
      </c>
      <c r="C498" s="63" t="s">
        <v>132</v>
      </c>
      <c r="D498" s="63" t="s">
        <v>132</v>
      </c>
      <c r="E498" s="503"/>
      <c r="F498" s="503"/>
      <c r="G498" s="503"/>
      <c r="H498" s="503"/>
      <c r="I498" s="503"/>
      <c r="J498" s="503"/>
      <c r="K498" s="503"/>
      <c r="L498" s="503"/>
      <c r="M498" s="503"/>
      <c r="N498" s="320">
        <v>1.0</v>
      </c>
      <c r="O498" s="508" t="s">
        <v>2481</v>
      </c>
      <c r="P498" s="506" t="s">
        <v>3250</v>
      </c>
      <c r="Q498" s="340">
        <v>3.0</v>
      </c>
      <c r="R498" s="508" t="s">
        <v>2440</v>
      </c>
    </row>
    <row r="499">
      <c r="A499" s="502" t="str">
        <f>HYPERLINK("http://en.uesp.net/wiki/Skyrim:Yngol_and_the_Sea-Ghosts","Yngol and the Sea-Ghosts")</f>
        <v>Yngol and the Sea-Ghosts</v>
      </c>
      <c r="B499" s="63" t="s">
        <v>132</v>
      </c>
      <c r="C499" s="63" t="s">
        <v>132</v>
      </c>
      <c r="D499" s="63" t="s">
        <v>132</v>
      </c>
      <c r="E499" s="503"/>
      <c r="F499" s="503"/>
      <c r="G499" s="503"/>
      <c r="H499" s="503"/>
      <c r="I499" s="503"/>
      <c r="J499" s="503"/>
      <c r="K499" s="503"/>
      <c r="L499" s="503"/>
      <c r="M499" s="503"/>
      <c r="N499" s="504">
        <v>2.0</v>
      </c>
      <c r="O499" s="345" t="s">
        <v>2481</v>
      </c>
      <c r="P499" s="506" t="s">
        <v>3251</v>
      </c>
      <c r="Q499" s="340">
        <v>5.0</v>
      </c>
      <c r="R499" s="503" t="s">
        <v>2440</v>
      </c>
    </row>
    <row r="500">
      <c r="A500" s="517" t="str">
        <f>HYPERLINK("https://en.uesp.net/wiki/Skyrim:Ash_Rune", "Spell Tome: Ash Rune (DB)")</f>
        <v>Spell Tome: Ash Rune (DB)</v>
      </c>
      <c r="B500" s="63" t="s">
        <v>132</v>
      </c>
      <c r="C500" s="63" t="s">
        <v>132</v>
      </c>
      <c r="D500" s="63" t="s">
        <v>132</v>
      </c>
      <c r="E500" s="503"/>
      <c r="F500" s="503"/>
      <c r="G500" s="503"/>
      <c r="H500" s="503"/>
      <c r="I500" s="503"/>
      <c r="J500" s="503"/>
      <c r="K500" s="503"/>
      <c r="L500" s="503"/>
      <c r="M500" s="503"/>
      <c r="N500" s="408" t="s">
        <v>1524</v>
      </c>
      <c r="O500" s="509" t="s">
        <v>1524</v>
      </c>
      <c r="P500" s="506" t="s">
        <v>3252</v>
      </c>
      <c r="Q500" s="337">
        <v>425.0</v>
      </c>
      <c r="R500" s="472" t="s">
        <v>3253</v>
      </c>
    </row>
    <row r="501">
      <c r="A501" s="517" t="str">
        <f>HYPERLINK("https://en.uesp.net/wiki/Skyrim:Ash_Shell", "Spell Tome: Ash Shell (DB)")</f>
        <v>Spell Tome: Ash Shell (DB)</v>
      </c>
      <c r="B501" s="63" t="s">
        <v>132</v>
      </c>
      <c r="C501" s="63" t="s">
        <v>132</v>
      </c>
      <c r="D501" s="63" t="s">
        <v>132</v>
      </c>
      <c r="E501" s="503"/>
      <c r="F501" s="503"/>
      <c r="G501" s="503"/>
      <c r="H501" s="503"/>
      <c r="I501" s="503"/>
      <c r="J501" s="503"/>
      <c r="K501" s="503"/>
      <c r="L501" s="503"/>
      <c r="M501" s="503"/>
      <c r="N501" s="408" t="s">
        <v>1524</v>
      </c>
      <c r="O501" s="509" t="s">
        <v>1524</v>
      </c>
      <c r="P501" s="506" t="s">
        <v>3254</v>
      </c>
      <c r="Q501" s="337">
        <v>425.0</v>
      </c>
      <c r="R501" s="472" t="s">
        <v>3253</v>
      </c>
    </row>
    <row r="502">
      <c r="A502" s="517" t="str">
        <f>HYPERLINK("https://en.uesp.net/wiki/Skyrim:Banish_Daedra", "Spell Tome: Banish Daedra")</f>
        <v>Spell Tome: Banish Daedra</v>
      </c>
      <c r="B502" s="63" t="s">
        <v>132</v>
      </c>
      <c r="C502" s="63" t="s">
        <v>132</v>
      </c>
      <c r="D502" s="63" t="s">
        <v>132</v>
      </c>
      <c r="E502" s="503"/>
      <c r="F502" s="503"/>
      <c r="G502" s="503"/>
      <c r="H502" s="503"/>
      <c r="I502" s="503"/>
      <c r="J502" s="503"/>
      <c r="K502" s="503"/>
      <c r="L502" s="503"/>
      <c r="M502" s="503"/>
      <c r="N502" s="408" t="s">
        <v>1524</v>
      </c>
      <c r="O502" s="509" t="s">
        <v>1524</v>
      </c>
      <c r="P502" s="506" t="s">
        <v>1701</v>
      </c>
      <c r="Q502" s="337">
        <v>346.0</v>
      </c>
      <c r="R502" s="472" t="s">
        <v>3255</v>
      </c>
    </row>
    <row r="503">
      <c r="A503" s="517" t="str">
        <f>HYPERLINK("https://en.uesp.net/wiki/Skyrim:Blizzard", "Spell Tome: Blizzard")</f>
        <v>Spell Tome: Blizzard</v>
      </c>
      <c r="B503" s="63" t="s">
        <v>132</v>
      </c>
      <c r="C503" s="63" t="s">
        <v>132</v>
      </c>
      <c r="D503" s="63" t="s">
        <v>132</v>
      </c>
      <c r="E503" s="503"/>
      <c r="F503" s="503"/>
      <c r="G503" s="503"/>
      <c r="H503" s="503"/>
      <c r="I503" s="503"/>
      <c r="J503" s="503"/>
      <c r="K503" s="503"/>
      <c r="L503" s="503"/>
      <c r="M503" s="503"/>
      <c r="N503" s="408" t="s">
        <v>1524</v>
      </c>
      <c r="O503" s="509" t="s">
        <v>1524</v>
      </c>
      <c r="P503" s="506" t="s">
        <v>1801</v>
      </c>
      <c r="Q503" s="337">
        <v>1350.0</v>
      </c>
      <c r="R503" s="472" t="s">
        <v>3256</v>
      </c>
    </row>
    <row r="504">
      <c r="A504" s="517" t="str">
        <f>HYPERLINK("https://en.uesp.net/wiki/Skyrim:Bound_Battleaxe", "Spell Tome: Bound Battleaxe")</f>
        <v>Spell Tome: Bound Battleaxe</v>
      </c>
      <c r="B504" s="63" t="s">
        <v>132</v>
      </c>
      <c r="C504" s="63" t="s">
        <v>132</v>
      </c>
      <c r="D504" s="63" t="s">
        <v>132</v>
      </c>
      <c r="E504" s="503"/>
      <c r="F504" s="503"/>
      <c r="G504" s="503"/>
      <c r="H504" s="503"/>
      <c r="I504" s="503"/>
      <c r="J504" s="503"/>
      <c r="K504" s="503"/>
      <c r="L504" s="503"/>
      <c r="M504" s="503"/>
      <c r="N504" s="408" t="s">
        <v>1524</v>
      </c>
      <c r="O504" s="509" t="s">
        <v>1524</v>
      </c>
      <c r="P504" s="506" t="s">
        <v>1686</v>
      </c>
      <c r="Q504" s="337">
        <v>99.0</v>
      </c>
      <c r="R504" s="472" t="s">
        <v>3255</v>
      </c>
    </row>
    <row r="505">
      <c r="A505" s="517" t="str">
        <f>HYPERLINK("https://en.uesp.net/wiki/Skyrim:Bound_Bow", "Spell Tome: Bound Bow")</f>
        <v>Spell Tome: Bound Bow</v>
      </c>
      <c r="B505" s="63" t="s">
        <v>132</v>
      </c>
      <c r="C505" s="63" t="s">
        <v>132</v>
      </c>
      <c r="D505" s="63" t="s">
        <v>132</v>
      </c>
      <c r="E505" s="503"/>
      <c r="F505" s="503"/>
      <c r="G505" s="503"/>
      <c r="H505" s="503"/>
      <c r="I505" s="503"/>
      <c r="J505" s="503"/>
      <c r="K505" s="503"/>
      <c r="L505" s="503"/>
      <c r="M505" s="503"/>
      <c r="N505" s="408" t="s">
        <v>1524</v>
      </c>
      <c r="O505" s="509" t="s">
        <v>1524</v>
      </c>
      <c r="P505" s="506" t="s">
        <v>1704</v>
      </c>
      <c r="Q505" s="337">
        <v>335.0</v>
      </c>
      <c r="R505" s="472" t="s">
        <v>3255</v>
      </c>
    </row>
    <row r="506">
      <c r="A506" s="517" t="str">
        <f>HYPERLINK("https://en.uesp.net/wiki/Skyrim:Bound_Dagger", "Spell Tome: Bound Dagger (DB)")</f>
        <v>Spell Tome: Bound Dagger (DB)</v>
      </c>
      <c r="B506" s="63" t="s">
        <v>132</v>
      </c>
      <c r="C506" s="63" t="s">
        <v>132</v>
      </c>
      <c r="D506" s="63" t="s">
        <v>132</v>
      </c>
      <c r="E506" s="503"/>
      <c r="F506" s="503"/>
      <c r="G506" s="503"/>
      <c r="H506" s="503"/>
      <c r="I506" s="503"/>
      <c r="J506" s="503"/>
      <c r="K506" s="503"/>
      <c r="L506" s="503"/>
      <c r="M506" s="503"/>
      <c r="N506" s="408" t="s">
        <v>1524</v>
      </c>
      <c r="O506" s="509" t="s">
        <v>1524</v>
      </c>
      <c r="P506" s="506" t="s">
        <v>3257</v>
      </c>
      <c r="Q506" s="337">
        <v>38.0</v>
      </c>
      <c r="R506" s="472" t="s">
        <v>3255</v>
      </c>
    </row>
    <row r="507">
      <c r="A507" s="517" t="str">
        <f>HYPERLINK("https://en.uesp.net/wiki/Skyrim:Bound_Sword", "Spell Tome: Bound Sword")</f>
        <v>Spell Tome: Bound Sword</v>
      </c>
      <c r="B507" s="63" t="s">
        <v>132</v>
      </c>
      <c r="C507" s="63" t="s">
        <v>132</v>
      </c>
      <c r="D507" s="63" t="s">
        <v>132</v>
      </c>
      <c r="E507" s="503"/>
      <c r="F507" s="503"/>
      <c r="G507" s="503"/>
      <c r="H507" s="503"/>
      <c r="I507" s="503"/>
      <c r="J507" s="503"/>
      <c r="K507" s="503"/>
      <c r="L507" s="503"/>
      <c r="M507" s="503"/>
      <c r="N507" s="408" t="s">
        <v>1524</v>
      </c>
      <c r="O507" s="509" t="s">
        <v>1524</v>
      </c>
      <c r="P507" s="506" t="s">
        <v>1676</v>
      </c>
      <c r="Q507" s="337">
        <v>49.0</v>
      </c>
      <c r="R507" s="472" t="s">
        <v>3255</v>
      </c>
    </row>
    <row r="508">
      <c r="A508" s="517" t="str">
        <f>HYPERLINK("https://en.uesp.net/wiki/Skyrim:Call_to_Arms", "Spell Tome: Call to Arms")</f>
        <v>Spell Tome: Call to Arms</v>
      </c>
      <c r="B508" s="63" t="s">
        <v>132</v>
      </c>
      <c r="C508" s="63" t="s">
        <v>132</v>
      </c>
      <c r="D508" s="63" t="s">
        <v>132</v>
      </c>
      <c r="E508" s="503"/>
      <c r="F508" s="503"/>
      <c r="G508" s="503"/>
      <c r="H508" s="503"/>
      <c r="I508" s="503"/>
      <c r="J508" s="503"/>
      <c r="K508" s="503"/>
      <c r="L508" s="503"/>
      <c r="M508" s="503"/>
      <c r="N508" s="408" t="s">
        <v>1524</v>
      </c>
      <c r="O508" s="509" t="s">
        <v>1524</v>
      </c>
      <c r="P508" s="506" t="s">
        <v>3258</v>
      </c>
      <c r="Q508" s="337">
        <v>1150.0</v>
      </c>
      <c r="R508" s="472" t="s">
        <v>3259</v>
      </c>
    </row>
    <row r="509">
      <c r="A509" s="517" t="str">
        <f>HYPERLINK("https://en.uesp.net/wiki/Skyrim:Calm", "Spell Tome: Calm")</f>
        <v>Spell Tome: Calm</v>
      </c>
      <c r="B509" s="63" t="s">
        <v>132</v>
      </c>
      <c r="C509" s="63" t="s">
        <v>132</v>
      </c>
      <c r="D509" s="63" t="s">
        <v>132</v>
      </c>
      <c r="E509" s="503"/>
      <c r="F509" s="503"/>
      <c r="G509" s="503"/>
      <c r="H509" s="503"/>
      <c r="I509" s="503"/>
      <c r="J509" s="503"/>
      <c r="K509" s="503"/>
      <c r="L509" s="503"/>
      <c r="M509" s="503"/>
      <c r="N509" s="408" t="s">
        <v>1524</v>
      </c>
      <c r="O509" s="509" t="s">
        <v>1524</v>
      </c>
      <c r="P509" s="506" t="s">
        <v>1820</v>
      </c>
      <c r="Q509" s="337">
        <v>91.0</v>
      </c>
      <c r="R509" s="472" t="s">
        <v>3259</v>
      </c>
    </row>
    <row r="510">
      <c r="A510" s="517" t="str">
        <f>HYPERLINK("https://en.uesp.net/wiki/Skyrim:Candlelight", "Spell Tome: Candlelight")</f>
        <v>Spell Tome: Candlelight</v>
      </c>
      <c r="B510" s="63" t="s">
        <v>132</v>
      </c>
      <c r="C510" s="63" t="s">
        <v>132</v>
      </c>
      <c r="D510" s="63" t="s">
        <v>132</v>
      </c>
      <c r="E510" s="503"/>
      <c r="F510" s="503"/>
      <c r="G510" s="503"/>
      <c r="H510" s="503"/>
      <c r="I510" s="503"/>
      <c r="J510" s="503"/>
      <c r="K510" s="503"/>
      <c r="L510" s="503"/>
      <c r="M510" s="503"/>
      <c r="N510" s="408" t="s">
        <v>1524</v>
      </c>
      <c r="O510" s="509" t="s">
        <v>1524</v>
      </c>
      <c r="P510" s="506" t="s">
        <v>1626</v>
      </c>
      <c r="Q510" s="337">
        <v>44.0</v>
      </c>
      <c r="R510" s="472" t="s">
        <v>3253</v>
      </c>
    </row>
    <row r="511">
      <c r="A511" s="517" t="str">
        <f>HYPERLINK("https://en.uesp.net/wiki/Skyrim:Chain_Lightning", "Spell Tome: Chain Lightning")</f>
        <v>Spell Tome: Chain Lightning</v>
      </c>
      <c r="B511" s="63" t="s">
        <v>132</v>
      </c>
      <c r="C511" s="63" t="s">
        <v>132</v>
      </c>
      <c r="D511" s="63" t="s">
        <v>132</v>
      </c>
      <c r="E511" s="503"/>
      <c r="F511" s="503"/>
      <c r="G511" s="503"/>
      <c r="H511" s="503"/>
      <c r="I511" s="503"/>
      <c r="J511" s="503"/>
      <c r="K511" s="503"/>
      <c r="L511" s="503"/>
      <c r="M511" s="503"/>
      <c r="N511" s="408" t="s">
        <v>1524</v>
      </c>
      <c r="O511" s="509" t="s">
        <v>1524</v>
      </c>
      <c r="P511" s="506" t="s">
        <v>1772</v>
      </c>
      <c r="Q511" s="337">
        <v>390.0</v>
      </c>
      <c r="R511" s="472" t="s">
        <v>3256</v>
      </c>
    </row>
    <row r="512">
      <c r="A512" s="517" t="str">
        <f>HYPERLINK("https://en.uesp.net/wiki/Skyrim:Circle_of_Protection", "Spell Tome: Circle of Protection")</f>
        <v>Spell Tome: Circle of Protection</v>
      </c>
      <c r="B512" s="63" t="s">
        <v>132</v>
      </c>
      <c r="C512" s="63" t="s">
        <v>132</v>
      </c>
      <c r="D512" s="63" t="s">
        <v>132</v>
      </c>
      <c r="E512" s="503"/>
      <c r="F512" s="503"/>
      <c r="G512" s="503"/>
      <c r="H512" s="503"/>
      <c r="I512" s="503"/>
      <c r="J512" s="503"/>
      <c r="K512" s="503"/>
      <c r="L512" s="503"/>
      <c r="M512" s="503"/>
      <c r="N512" s="408" t="s">
        <v>1524</v>
      </c>
      <c r="O512" s="509" t="s">
        <v>1524</v>
      </c>
      <c r="P512" s="506" t="s">
        <v>1892</v>
      </c>
      <c r="Q512" s="337">
        <v>650.0</v>
      </c>
      <c r="R512" s="472" t="s">
        <v>3260</v>
      </c>
    </row>
    <row r="513">
      <c r="A513" s="517" t="str">
        <f>HYPERLINK("https://en.uesp.net/wiki/Skyrim:Illusion_Spells#Clairvoyance", "Spell Tome: Clairvoyance")</f>
        <v>Spell Tome: Clairvoyance</v>
      </c>
      <c r="B513" s="63" t="s">
        <v>132</v>
      </c>
      <c r="C513" s="63" t="s">
        <v>132</v>
      </c>
      <c r="D513" s="63" t="s">
        <v>132</v>
      </c>
      <c r="E513" s="503"/>
      <c r="F513" s="503"/>
      <c r="G513" s="503"/>
      <c r="H513" s="503"/>
      <c r="I513" s="503"/>
      <c r="J513" s="503"/>
      <c r="K513" s="503"/>
      <c r="L513" s="503"/>
      <c r="M513" s="503"/>
      <c r="N513" s="408" t="s">
        <v>1524</v>
      </c>
      <c r="O513" s="509" t="s">
        <v>1524</v>
      </c>
      <c r="P513" s="506" t="s">
        <v>1810</v>
      </c>
      <c r="Q513" s="337">
        <v>50.0</v>
      </c>
      <c r="R513" s="472" t="s">
        <v>3259</v>
      </c>
    </row>
    <row r="514">
      <c r="A514" s="517" t="str">
        <f>HYPERLINK("https://en.uesp.net/wiki/Skyrim:Close_Wounds", "Spell Tome: Close Wounds")</f>
        <v>Spell Tome: Close Wounds</v>
      </c>
      <c r="B514" s="63" t="s">
        <v>132</v>
      </c>
      <c r="C514" s="63" t="s">
        <v>132</v>
      </c>
      <c r="D514" s="63" t="s">
        <v>132</v>
      </c>
      <c r="E514" s="503"/>
      <c r="F514" s="503"/>
      <c r="G514" s="503"/>
      <c r="H514" s="503"/>
      <c r="I514" s="503"/>
      <c r="J514" s="503"/>
      <c r="K514" s="503"/>
      <c r="L514" s="503"/>
      <c r="M514" s="503"/>
      <c r="N514" s="408" t="s">
        <v>1524</v>
      </c>
      <c r="O514" s="509" t="s">
        <v>1524</v>
      </c>
      <c r="P514" s="506" t="s">
        <v>1871</v>
      </c>
      <c r="Q514" s="337">
        <v>360.0</v>
      </c>
      <c r="R514" s="472" t="s">
        <v>3260</v>
      </c>
    </row>
    <row r="515">
      <c r="A515" s="517" t="str">
        <f>HYPERLINK("https://en.uesp.net/wiki/Skyrim:Command_Daedra", "Spell Tome: Command Daedra")</f>
        <v>Spell Tome: Command Daedra</v>
      </c>
      <c r="B515" s="63" t="s">
        <v>132</v>
      </c>
      <c r="C515" s="63" t="s">
        <v>132</v>
      </c>
      <c r="D515" s="63" t="s">
        <v>132</v>
      </c>
      <c r="E515" s="503"/>
      <c r="F515" s="503"/>
      <c r="G515" s="503"/>
      <c r="H515" s="503"/>
      <c r="I515" s="503"/>
      <c r="J515" s="503"/>
      <c r="K515" s="503"/>
      <c r="L515" s="503"/>
      <c r="M515" s="503"/>
      <c r="N515" s="408" t="s">
        <v>1524</v>
      </c>
      <c r="O515" s="509" t="s">
        <v>1524</v>
      </c>
      <c r="P515" s="506" t="s">
        <v>1722</v>
      </c>
      <c r="Q515" s="337">
        <v>660.0</v>
      </c>
      <c r="R515" s="472" t="s">
        <v>3255</v>
      </c>
    </row>
    <row r="516">
      <c r="A516" s="517" t="str">
        <f>HYPERLINK("https://en.uesp.net/wiki/Skyrim:Conjure_Ash_Guardian", "Spell Tome: Conjure Ash Guardian (DB)")</f>
        <v>Spell Tome: Conjure Ash Guardian (DB)</v>
      </c>
      <c r="B516" s="63" t="s">
        <v>132</v>
      </c>
      <c r="C516" s="63" t="s">
        <v>132</v>
      </c>
      <c r="D516" s="63" t="s">
        <v>132</v>
      </c>
      <c r="E516" s="503"/>
      <c r="F516" s="503"/>
      <c r="G516" s="503"/>
      <c r="H516" s="503"/>
      <c r="I516" s="503"/>
      <c r="J516" s="503"/>
      <c r="K516" s="503"/>
      <c r="L516" s="503"/>
      <c r="M516" s="503"/>
      <c r="N516" s="408" t="s">
        <v>1524</v>
      </c>
      <c r="O516" s="509" t="s">
        <v>1524</v>
      </c>
      <c r="P516" s="506" t="s">
        <v>1725</v>
      </c>
      <c r="Q516" s="337">
        <v>720.0</v>
      </c>
      <c r="R516" s="472" t="s">
        <v>3255</v>
      </c>
    </row>
    <row r="517">
      <c r="A517" s="517" t="str">
        <f>HYPERLINK("https://en.uesp.net/wiki/Skyrim:Conjure_Ash_Spawn", "Spell Tome: Conjure Ash Spawn (DB)")</f>
        <v>Spell Tome: Conjure Ash Spawn (DB)</v>
      </c>
      <c r="B517" s="63" t="s">
        <v>132</v>
      </c>
      <c r="C517" s="63" t="s">
        <v>132</v>
      </c>
      <c r="D517" s="63" t="s">
        <v>132</v>
      </c>
      <c r="E517" s="503"/>
      <c r="F517" s="503"/>
      <c r="G517" s="503"/>
      <c r="H517" s="503"/>
      <c r="I517" s="503"/>
      <c r="J517" s="503"/>
      <c r="K517" s="503"/>
      <c r="L517" s="503"/>
      <c r="M517" s="503"/>
      <c r="N517" s="408" t="s">
        <v>1524</v>
      </c>
      <c r="O517" s="509" t="s">
        <v>1524</v>
      </c>
      <c r="P517" s="506" t="s">
        <v>3261</v>
      </c>
      <c r="Q517" s="337">
        <v>338.0</v>
      </c>
      <c r="R517" s="472" t="s">
        <v>3255</v>
      </c>
    </row>
    <row r="518">
      <c r="A518" s="517" t="str">
        <f>HYPERLINK("https://en.uesp.net/wiki/Skyrim:Conjure_Dremora_Lord", "Spell Tome: Conjure Dremora Lord")</f>
        <v>Spell Tome: Conjure Dremora Lord</v>
      </c>
      <c r="B518" s="63" t="s">
        <v>132</v>
      </c>
      <c r="C518" s="63" t="s">
        <v>132</v>
      </c>
      <c r="D518" s="63" t="s">
        <v>132</v>
      </c>
      <c r="E518" s="503"/>
      <c r="F518" s="503"/>
      <c r="G518" s="503"/>
      <c r="H518" s="503"/>
      <c r="I518" s="503"/>
      <c r="J518" s="503"/>
      <c r="K518" s="503"/>
      <c r="L518" s="503"/>
      <c r="M518" s="503"/>
      <c r="N518" s="408" t="s">
        <v>1524</v>
      </c>
      <c r="O518" s="509" t="s">
        <v>1524</v>
      </c>
      <c r="P518" s="506" t="s">
        <v>1727</v>
      </c>
      <c r="Q518" s="337">
        <v>730.0</v>
      </c>
      <c r="R518" s="472" t="s">
        <v>3255</v>
      </c>
    </row>
    <row r="519">
      <c r="A519" s="517" t="str">
        <f>HYPERLINK("https://en.uesp.net/wiki/Skyrim:Conjure_Familiar", "Spell Tome: Conjure Familiar")</f>
        <v>Spell Tome: Conjure Familiar</v>
      </c>
      <c r="B519" s="63" t="s">
        <v>132</v>
      </c>
      <c r="C519" s="63" t="s">
        <v>132</v>
      </c>
      <c r="D519" s="63" t="s">
        <v>132</v>
      </c>
      <c r="E519" s="503"/>
      <c r="F519" s="503"/>
      <c r="G519" s="503"/>
      <c r="H519" s="503"/>
      <c r="I519" s="503"/>
      <c r="J519" s="503"/>
      <c r="K519" s="503"/>
      <c r="L519" s="503"/>
      <c r="M519" s="503"/>
      <c r="N519" s="408" t="s">
        <v>1524</v>
      </c>
      <c r="O519" s="509" t="s">
        <v>1524</v>
      </c>
      <c r="P519" s="506" t="s">
        <v>1679</v>
      </c>
      <c r="Q519" s="337">
        <v>49.0</v>
      </c>
      <c r="R519" s="472" t="s">
        <v>3255</v>
      </c>
    </row>
    <row r="520">
      <c r="A520" s="517" t="str">
        <f>HYPERLINK("https://en.uesp.net/wiki/Skyrim:Conjure_Flame_Atronach", "Spell Tome: Conjure Flame Atronach")</f>
        <v>Spell Tome: Conjure Flame Atronach</v>
      </c>
      <c r="B520" s="63" t="s">
        <v>132</v>
      </c>
      <c r="C520" s="63" t="s">
        <v>132</v>
      </c>
      <c r="D520" s="63" t="s">
        <v>132</v>
      </c>
      <c r="E520" s="503"/>
      <c r="F520" s="503"/>
      <c r="G520" s="503"/>
      <c r="H520" s="503"/>
      <c r="I520" s="503"/>
      <c r="J520" s="503"/>
      <c r="K520" s="503"/>
      <c r="L520" s="503"/>
      <c r="M520" s="503"/>
      <c r="N520" s="408" t="s">
        <v>1524</v>
      </c>
      <c r="O520" s="509" t="s">
        <v>1524</v>
      </c>
      <c r="P520" s="506" t="s">
        <v>1691</v>
      </c>
      <c r="Q520" s="337">
        <v>99.0</v>
      </c>
      <c r="R520" s="472" t="s">
        <v>3255</v>
      </c>
    </row>
    <row r="521">
      <c r="A521" s="517" t="str">
        <f>HYPERLINK("https://en.uesp.net/wiki/Skyrim:Conjure_Frost_Atronach", "Spell Tome: Conjure Frost Atronach")</f>
        <v>Spell Tome: Conjure Frost Atronach</v>
      </c>
      <c r="B521" s="63" t="s">
        <v>132</v>
      </c>
      <c r="C521" s="63" t="s">
        <v>132</v>
      </c>
      <c r="D521" s="63" t="s">
        <v>132</v>
      </c>
      <c r="E521" s="503"/>
      <c r="F521" s="503"/>
      <c r="G521" s="503"/>
      <c r="H521" s="503"/>
      <c r="I521" s="503"/>
      <c r="J521" s="503"/>
      <c r="K521" s="503"/>
      <c r="L521" s="503"/>
      <c r="M521" s="503"/>
      <c r="N521" s="408" t="s">
        <v>1524</v>
      </c>
      <c r="O521" s="509" t="s">
        <v>1524</v>
      </c>
      <c r="P521" s="506" t="s">
        <v>1709</v>
      </c>
      <c r="Q521" s="337">
        <v>347.0</v>
      </c>
      <c r="R521" s="472" t="s">
        <v>3255</v>
      </c>
    </row>
    <row r="522">
      <c r="A522" s="517" t="str">
        <f>HYPERLINK("https://en.uesp.net/wiki/Skyrim:Conjure_Seeker", "Spell Tome: Conjure Seeker (DB)")</f>
        <v>Spell Tome: Conjure Seeker (DB)</v>
      </c>
      <c r="B522" s="63" t="s">
        <v>132</v>
      </c>
      <c r="C522" s="63" t="s">
        <v>132</v>
      </c>
      <c r="D522" s="63" t="s">
        <v>132</v>
      </c>
      <c r="E522" s="503"/>
      <c r="F522" s="503"/>
      <c r="G522" s="503"/>
      <c r="H522" s="503"/>
      <c r="I522" s="503"/>
      <c r="J522" s="503"/>
      <c r="K522" s="503"/>
      <c r="L522" s="503"/>
      <c r="M522" s="503"/>
      <c r="N522" s="408" t="s">
        <v>1524</v>
      </c>
      <c r="O522" s="509" t="s">
        <v>1524</v>
      </c>
      <c r="P522" s="506" t="s">
        <v>3262</v>
      </c>
      <c r="Q522" s="337">
        <v>307.0</v>
      </c>
      <c r="R522" s="472" t="s">
        <v>3255</v>
      </c>
    </row>
    <row r="523">
      <c r="A523" s="517" t="str">
        <f>HYPERLINK("https://en.uesp.net/wiki/Skyrim:Conjure_Storm_Atronach", "Spell Tome: Conjure Storm Atronach")</f>
        <v>Spell Tome: Conjure Storm Atronach</v>
      </c>
      <c r="B523" s="63" t="s">
        <v>132</v>
      </c>
      <c r="C523" s="63" t="s">
        <v>132</v>
      </c>
      <c r="D523" s="63" t="s">
        <v>132</v>
      </c>
      <c r="E523" s="503"/>
      <c r="F523" s="503"/>
      <c r="G523" s="503"/>
      <c r="H523" s="503"/>
      <c r="I523" s="503"/>
      <c r="J523" s="503"/>
      <c r="K523" s="503"/>
      <c r="L523" s="503"/>
      <c r="M523" s="503"/>
      <c r="N523" s="408" t="s">
        <v>1524</v>
      </c>
      <c r="O523" s="509" t="s">
        <v>1524</v>
      </c>
      <c r="P523" s="506" t="s">
        <v>1729</v>
      </c>
      <c r="Q523" s="337">
        <v>690.0</v>
      </c>
      <c r="R523" s="472" t="s">
        <v>3255</v>
      </c>
    </row>
    <row r="524" ht="15.0" customHeight="1">
      <c r="A524" s="518" t="str">
        <f>HYPERLINK("https://en.uesp.net/wiki/Skyrim:Courage", "Spell Tome: Courage")</f>
        <v>Spell Tome: Courage</v>
      </c>
      <c r="B524" s="63" t="s">
        <v>132</v>
      </c>
      <c r="C524" s="63" t="s">
        <v>132</v>
      </c>
      <c r="D524" s="63" t="s">
        <v>132</v>
      </c>
      <c r="E524" s="503"/>
      <c r="F524" s="503"/>
      <c r="G524" s="503"/>
      <c r="H524" s="503"/>
      <c r="I524" s="503"/>
      <c r="J524" s="503"/>
      <c r="K524" s="503"/>
      <c r="L524" s="503"/>
      <c r="M524" s="503"/>
      <c r="N524" s="408" t="s">
        <v>1524</v>
      </c>
      <c r="O524" s="509" t="s">
        <v>1524</v>
      </c>
      <c r="P524" s="505" t="s">
        <v>1813</v>
      </c>
      <c r="Q524" s="337">
        <v>46.0</v>
      </c>
      <c r="R524" s="472" t="s">
        <v>3259</v>
      </c>
    </row>
    <row r="525">
      <c r="A525" s="518" t="str">
        <f>HYPERLINK("https://en.uesp.net/wiki/Skyrim:Dead_Thrall", "Spell Tome: Dead Thrall")</f>
        <v>Spell Tome: Dead Thrall</v>
      </c>
      <c r="B525" s="63" t="s">
        <v>132</v>
      </c>
      <c r="C525" s="63" t="s">
        <v>132</v>
      </c>
      <c r="D525" s="63" t="s">
        <v>132</v>
      </c>
      <c r="E525" s="453"/>
      <c r="F525" s="453"/>
      <c r="G525" s="453"/>
      <c r="H525" s="453"/>
      <c r="I525" s="453"/>
      <c r="J525" s="453"/>
      <c r="K525" s="453"/>
      <c r="L525" s="453"/>
      <c r="M525" s="453"/>
      <c r="N525" s="408" t="s">
        <v>1524</v>
      </c>
      <c r="O525" s="509" t="s">
        <v>1524</v>
      </c>
      <c r="P525" s="506" t="s">
        <v>1738</v>
      </c>
      <c r="Q525" s="337">
        <v>1270.0</v>
      </c>
      <c r="R525" s="472" t="s">
        <v>3255</v>
      </c>
    </row>
    <row r="526">
      <c r="A526" s="517" t="str">
        <f>HYPERLINK("https://en.uesp.net/wiki/Skyrim:Detect_Dead", "Spell Tome: Detect Dead")</f>
        <v>Spell Tome: Detect Dead</v>
      </c>
      <c r="B526" s="63" t="s">
        <v>132</v>
      </c>
      <c r="C526" s="63" t="s">
        <v>132</v>
      </c>
      <c r="D526" s="63" t="s">
        <v>132</v>
      </c>
      <c r="E526" s="503"/>
      <c r="F526" s="503"/>
      <c r="G526" s="503"/>
      <c r="H526" s="503"/>
      <c r="I526" s="503"/>
      <c r="J526" s="503"/>
      <c r="K526" s="503"/>
      <c r="L526" s="503"/>
      <c r="M526" s="503"/>
      <c r="N526" s="408" t="s">
        <v>1524</v>
      </c>
      <c r="O526" s="509" t="s">
        <v>1524</v>
      </c>
      <c r="P526" s="506" t="s">
        <v>1660</v>
      </c>
      <c r="Q526" s="337">
        <v>600.0</v>
      </c>
      <c r="R526" s="472" t="s">
        <v>3253</v>
      </c>
    </row>
    <row r="527">
      <c r="A527" s="518" t="str">
        <f>HYPERLINK("https://en.uesp.net/wiki/Skyrim:Detect_Life", "Spell Tome: Detect Life")</f>
        <v>Spell Tome: Detect Life</v>
      </c>
      <c r="B527" s="63" t="s">
        <v>132</v>
      </c>
      <c r="C527" s="63" t="s">
        <v>132</v>
      </c>
      <c r="D527" s="63" t="s">
        <v>132</v>
      </c>
      <c r="E527" s="453"/>
      <c r="F527" s="453"/>
      <c r="G527" s="453"/>
      <c r="H527" s="453"/>
      <c r="I527" s="453"/>
      <c r="J527" s="453"/>
      <c r="K527" s="453"/>
      <c r="L527" s="453"/>
      <c r="M527" s="453"/>
      <c r="N527" s="408" t="s">
        <v>1524</v>
      </c>
      <c r="O527" s="509" t="s">
        <v>1524</v>
      </c>
      <c r="P527" s="506" t="s">
        <v>1645</v>
      </c>
      <c r="Q527" s="337">
        <v>332.0</v>
      </c>
      <c r="R527" s="472" t="s">
        <v>3253</v>
      </c>
    </row>
    <row r="528">
      <c r="A528" s="518" t="str">
        <f>HYPERLINK("https://en.uesp.net/wiki/Skyrim:Dread_Zombie", "Spell Tome: Dread Zombie")</f>
        <v>Spell Tome: Dread Zombie</v>
      </c>
      <c r="B528" s="63" t="s">
        <v>132</v>
      </c>
      <c r="C528" s="63" t="s">
        <v>132</v>
      </c>
      <c r="D528" s="63" t="s">
        <v>132</v>
      </c>
      <c r="E528" s="453"/>
      <c r="F528" s="453"/>
      <c r="G528" s="453"/>
      <c r="H528" s="453"/>
      <c r="I528" s="453"/>
      <c r="J528" s="453"/>
      <c r="K528" s="453"/>
      <c r="L528" s="453"/>
      <c r="M528" s="453"/>
      <c r="N528" s="408" t="s">
        <v>1524</v>
      </c>
      <c r="O528" s="509" t="s">
        <v>1524</v>
      </c>
      <c r="P528" s="506" t="s">
        <v>1734</v>
      </c>
      <c r="Q528" s="337">
        <v>630.0</v>
      </c>
      <c r="R528" s="472" t="s">
        <v>3255</v>
      </c>
    </row>
    <row r="529">
      <c r="A529" s="518" t="str">
        <f>HYPERLINK("https://en.uesp.net/wiki/Skyrim:Ebonyflesh", "Spell Tome: Ebonyflesh")</f>
        <v>Spell Tome: Ebonyflesh</v>
      </c>
      <c r="B529" s="63" t="s">
        <v>132</v>
      </c>
      <c r="C529" s="63" t="s">
        <v>132</v>
      </c>
      <c r="D529" s="63" t="s">
        <v>132</v>
      </c>
      <c r="E529" s="453"/>
      <c r="F529" s="453"/>
      <c r="G529" s="453"/>
      <c r="H529" s="453"/>
      <c r="I529" s="453"/>
      <c r="J529" s="453"/>
      <c r="K529" s="453"/>
      <c r="L529" s="453"/>
      <c r="M529" s="453"/>
      <c r="N529" s="408" t="s">
        <v>1524</v>
      </c>
      <c r="O529" s="509" t="s">
        <v>1524</v>
      </c>
      <c r="P529" s="506" t="s">
        <v>1663</v>
      </c>
      <c r="Q529" s="337">
        <v>650.0</v>
      </c>
      <c r="R529" s="472" t="s">
        <v>3253</v>
      </c>
    </row>
    <row r="530">
      <c r="A530" s="518" t="str">
        <f>HYPERLINK("https://en.uesp.net/wiki/Skyrim:Expel_Daedra", "Spell Tome: Expel Daedra")</f>
        <v>Spell Tome: Expel Daedra</v>
      </c>
      <c r="B530" s="63" t="s">
        <v>132</v>
      </c>
      <c r="C530" s="63" t="s">
        <v>132</v>
      </c>
      <c r="D530" s="63" t="s">
        <v>132</v>
      </c>
      <c r="E530" s="453"/>
      <c r="F530" s="453"/>
      <c r="G530" s="453"/>
      <c r="H530" s="453"/>
      <c r="I530" s="453"/>
      <c r="J530" s="453"/>
      <c r="K530" s="453"/>
      <c r="L530" s="453"/>
      <c r="M530" s="453"/>
      <c r="N530" s="408" t="s">
        <v>1524</v>
      </c>
      <c r="O530" s="509" t="s">
        <v>1524</v>
      </c>
      <c r="P530" s="506" t="s">
        <v>1736</v>
      </c>
      <c r="Q530" s="337">
        <v>620.0</v>
      </c>
      <c r="R530" s="472" t="s">
        <v>3255</v>
      </c>
    </row>
    <row r="531">
      <c r="A531" s="518" t="str">
        <f>HYPERLINK("https://en.uesp.net/wiki/Skyrim:Fast_Healing", "Spell Tome: Fast Healing")</f>
        <v>Spell Tome: Fast Healing</v>
      </c>
      <c r="B531" s="63" t="s">
        <v>132</v>
      </c>
      <c r="C531" s="63" t="s">
        <v>132</v>
      </c>
      <c r="D531" s="63" t="s">
        <v>132</v>
      </c>
      <c r="E531" s="453"/>
      <c r="F531" s="453"/>
      <c r="G531" s="453"/>
      <c r="H531" s="453"/>
      <c r="I531" s="453"/>
      <c r="J531" s="453"/>
      <c r="K531" s="453"/>
      <c r="L531" s="453"/>
      <c r="M531" s="453"/>
      <c r="N531" s="408" t="s">
        <v>1524</v>
      </c>
      <c r="O531" s="509" t="s">
        <v>1524</v>
      </c>
      <c r="P531" s="506" t="s">
        <v>1856</v>
      </c>
      <c r="Q531" s="337">
        <v>94.0</v>
      </c>
      <c r="R531" s="472" t="s">
        <v>3260</v>
      </c>
    </row>
    <row r="532">
      <c r="A532" s="518" t="str">
        <f>HYPERLINK("https://en.uesp.net/wiki/Skyrim:Fear_(spell)", "Spell Tome: Fear")</f>
        <v>Spell Tome: Fear</v>
      </c>
      <c r="B532" s="63" t="s">
        <v>132</v>
      </c>
      <c r="C532" s="63" t="s">
        <v>132</v>
      </c>
      <c r="D532" s="63" t="s">
        <v>132</v>
      </c>
      <c r="E532" s="453"/>
      <c r="F532" s="453"/>
      <c r="G532" s="453"/>
      <c r="H532" s="453"/>
      <c r="I532" s="453"/>
      <c r="J532" s="453"/>
      <c r="K532" s="453"/>
      <c r="L532" s="453"/>
      <c r="M532" s="453"/>
      <c r="N532" s="408" t="s">
        <v>1524</v>
      </c>
      <c r="O532" s="509" t="s">
        <v>1524</v>
      </c>
      <c r="P532" s="506" t="s">
        <v>1823</v>
      </c>
      <c r="Q532" s="337">
        <v>80.0</v>
      </c>
      <c r="R532" s="472" t="s">
        <v>3259</v>
      </c>
    </row>
    <row r="533">
      <c r="A533" s="518" t="str">
        <f>HYPERLINK("https://en.uesp.net/wiki/Skyrim:Fire_Rune", "Spell Tome: Fire Rune")</f>
        <v>Spell Tome: Fire Rune</v>
      </c>
      <c r="B533" s="63" t="s">
        <v>132</v>
      </c>
      <c r="C533" s="63" t="s">
        <v>132</v>
      </c>
      <c r="D533" s="63" t="s">
        <v>132</v>
      </c>
      <c r="E533" s="453"/>
      <c r="F533" s="453"/>
      <c r="G533" s="453"/>
      <c r="H533" s="453"/>
      <c r="I533" s="453"/>
      <c r="J533" s="453"/>
      <c r="K533" s="453"/>
      <c r="L533" s="453"/>
      <c r="M533" s="453"/>
      <c r="N533" s="408" t="s">
        <v>1524</v>
      </c>
      <c r="O533" s="509" t="s">
        <v>1524</v>
      </c>
      <c r="P533" s="506" t="s">
        <v>1759</v>
      </c>
      <c r="Q533" s="337">
        <v>90.0</v>
      </c>
      <c r="R533" s="472" t="s">
        <v>3256</v>
      </c>
    </row>
    <row r="534">
      <c r="A534" s="518" t="str">
        <f>HYPERLINK("https://en.uesp.net/wiki/Skyrim:Fireball", "Spell Tome: Fireball")</f>
        <v>Spell Tome: Fireball</v>
      </c>
      <c r="B534" s="63" t="s">
        <v>132</v>
      </c>
      <c r="C534" s="63" t="s">
        <v>132</v>
      </c>
      <c r="D534" s="63" t="s">
        <v>132</v>
      </c>
      <c r="E534" s="453"/>
      <c r="F534" s="453"/>
      <c r="G534" s="453"/>
      <c r="H534" s="453"/>
      <c r="I534" s="453"/>
      <c r="J534" s="453"/>
      <c r="K534" s="453"/>
      <c r="L534" s="453"/>
      <c r="M534" s="453"/>
      <c r="N534" s="408" t="s">
        <v>1524</v>
      </c>
      <c r="O534" s="509" t="s">
        <v>1524</v>
      </c>
      <c r="P534" s="506" t="s">
        <v>1775</v>
      </c>
      <c r="Q534" s="337">
        <v>345.0</v>
      </c>
      <c r="R534" s="472" t="s">
        <v>3256</v>
      </c>
    </row>
    <row r="535">
      <c r="A535" s="518" t="str">
        <f>HYPERLINK("https://en.uesp.net/wiki/Skyrim:Firebolt", "Spell Tome: Firebolt")</f>
        <v>Spell Tome: Firebolt</v>
      </c>
      <c r="B535" s="63" t="s">
        <v>132</v>
      </c>
      <c r="C535" s="63" t="s">
        <v>132</v>
      </c>
      <c r="D535" s="63" t="s">
        <v>132</v>
      </c>
      <c r="E535" s="453"/>
      <c r="F535" s="453"/>
      <c r="G535" s="453"/>
      <c r="H535" s="453"/>
      <c r="I535" s="453"/>
      <c r="J535" s="453"/>
      <c r="K535" s="453"/>
      <c r="L535" s="453"/>
      <c r="M535" s="453"/>
      <c r="N535" s="408" t="s">
        <v>1524</v>
      </c>
      <c r="O535" s="509" t="s">
        <v>1524</v>
      </c>
      <c r="P535" s="506" t="s">
        <v>1762</v>
      </c>
      <c r="Q535" s="337">
        <v>96.0</v>
      </c>
      <c r="R535" s="472" t="s">
        <v>3256</v>
      </c>
    </row>
    <row r="536">
      <c r="A536" s="518" t="str">
        <f>HYPERLINK("https://en.uesp.net/wiki/Skyrim:Flame_Cloak", "Spell Tome: Flame Cloak")</f>
        <v>Spell Tome: Flame Cloak</v>
      </c>
      <c r="B536" s="63" t="s">
        <v>132</v>
      </c>
      <c r="C536" s="63" t="s">
        <v>132</v>
      </c>
      <c r="D536" s="63" t="s">
        <v>132</v>
      </c>
      <c r="E536" s="453"/>
      <c r="F536" s="453"/>
      <c r="G536" s="453"/>
      <c r="H536" s="453"/>
      <c r="I536" s="453"/>
      <c r="J536" s="453"/>
      <c r="K536" s="453"/>
      <c r="L536" s="453"/>
      <c r="M536" s="453"/>
      <c r="N536" s="408" t="s">
        <v>1524</v>
      </c>
      <c r="O536" s="509" t="s">
        <v>1524</v>
      </c>
      <c r="P536" s="506" t="s">
        <v>1777</v>
      </c>
      <c r="Q536" s="337">
        <v>325.0</v>
      </c>
      <c r="R536" s="472" t="s">
        <v>3256</v>
      </c>
    </row>
    <row r="537">
      <c r="A537" s="518" t="str">
        <f>HYPERLINK("https://en.uesp.net/wiki/Skyrim:Flame_Thrall", "Spell Tome: Flame Thrall")</f>
        <v>Spell Tome: Flame Thrall</v>
      </c>
      <c r="B537" s="63" t="s">
        <v>132</v>
      </c>
      <c r="C537" s="63" t="s">
        <v>132</v>
      </c>
      <c r="D537" s="63" t="s">
        <v>132</v>
      </c>
      <c r="E537" s="453"/>
      <c r="F537" s="453"/>
      <c r="G537" s="453"/>
      <c r="H537" s="453"/>
      <c r="I537" s="453"/>
      <c r="J537" s="453"/>
      <c r="K537" s="453"/>
      <c r="L537" s="453"/>
      <c r="M537" s="453"/>
      <c r="N537" s="519" t="s">
        <v>1524</v>
      </c>
      <c r="O537" s="520" t="s">
        <v>1524</v>
      </c>
      <c r="P537" s="506" t="s">
        <v>1741</v>
      </c>
      <c r="Q537" s="337">
        <v>1260.0</v>
      </c>
      <c r="R537" s="472" t="s">
        <v>3255</v>
      </c>
    </row>
    <row r="538">
      <c r="A538" s="518" t="str">
        <f>HYPERLINK("https://en.uesp.net/wiki/Skyrim:Flames", "Spell Tome: Flames")</f>
        <v>Spell Tome: Flames</v>
      </c>
      <c r="B538" s="63" t="s">
        <v>132</v>
      </c>
      <c r="C538" s="63" t="s">
        <v>132</v>
      </c>
      <c r="D538" s="63" t="s">
        <v>132</v>
      </c>
      <c r="E538" s="453"/>
      <c r="F538" s="453"/>
      <c r="G538" s="453"/>
      <c r="H538" s="453"/>
      <c r="I538" s="453"/>
      <c r="J538" s="453"/>
      <c r="K538" s="453"/>
      <c r="L538" s="453"/>
      <c r="M538" s="453"/>
      <c r="N538" s="408" t="s">
        <v>1524</v>
      </c>
      <c r="O538" s="509" t="s">
        <v>1524</v>
      </c>
      <c r="P538" s="506" t="s">
        <v>1750</v>
      </c>
      <c r="Q538" s="337">
        <v>50.0</v>
      </c>
      <c r="R538" s="472" t="s">
        <v>3256</v>
      </c>
    </row>
    <row r="539">
      <c r="A539" s="518" t="str">
        <f>HYPERLINK("https://en.uesp.net/wiki/Skyrim:Frenzy_(spell)", "Spell Tome: Frenzy")</f>
        <v>Spell Tome: Frenzy</v>
      </c>
      <c r="B539" s="63" t="s">
        <v>132</v>
      </c>
      <c r="C539" s="63" t="s">
        <v>132</v>
      </c>
      <c r="D539" s="63" t="s">
        <v>132</v>
      </c>
      <c r="E539" s="453"/>
      <c r="F539" s="453"/>
      <c r="G539" s="453"/>
      <c r="H539" s="453"/>
      <c r="I539" s="453"/>
      <c r="J539" s="453"/>
      <c r="K539" s="453"/>
      <c r="L539" s="453"/>
      <c r="M539" s="453"/>
      <c r="N539" s="408" t="s">
        <v>1524</v>
      </c>
      <c r="O539" s="509" t="s">
        <v>1524</v>
      </c>
      <c r="P539" s="506" t="s">
        <v>1827</v>
      </c>
      <c r="Q539" s="337">
        <v>330.0</v>
      </c>
      <c r="R539" s="472" t="s">
        <v>3259</v>
      </c>
    </row>
    <row r="540">
      <c r="A540" s="518" t="str">
        <f>HYPERLINK("https://en.uesp.net/wiki/Skyrim:Frenzy_Rune", "Spell Tome: Frenzy Rune (DB)")</f>
        <v>Spell Tome: Frenzy Rune (DB)</v>
      </c>
      <c r="B540" s="63" t="s">
        <v>132</v>
      </c>
      <c r="C540" s="63" t="s">
        <v>132</v>
      </c>
      <c r="D540" s="63" t="s">
        <v>132</v>
      </c>
      <c r="E540" s="453"/>
      <c r="F540" s="453"/>
      <c r="G540" s="453"/>
      <c r="H540" s="453"/>
      <c r="I540" s="453"/>
      <c r="J540" s="453"/>
      <c r="K540" s="453"/>
      <c r="L540" s="453"/>
      <c r="M540" s="453"/>
      <c r="N540" s="408" t="s">
        <v>1524</v>
      </c>
      <c r="O540" s="509" t="s">
        <v>1524</v>
      </c>
      <c r="P540" s="506" t="s">
        <v>3263</v>
      </c>
      <c r="Q540" s="337">
        <v>310.0</v>
      </c>
      <c r="R540" s="472" t="s">
        <v>3259</v>
      </c>
    </row>
    <row r="541">
      <c r="A541" s="518" t="str">
        <f>HYPERLINK("https://en.uesp.net/wiki/Skyrim:Frost_Cloak", "Spell Tome: Frost Cloak")</f>
        <v>Spell Tome: Frost Cloak</v>
      </c>
      <c r="B541" s="63" t="s">
        <v>132</v>
      </c>
      <c r="C541" s="63" t="s">
        <v>132</v>
      </c>
      <c r="D541" s="63" t="s">
        <v>132</v>
      </c>
      <c r="E541" s="453"/>
      <c r="F541" s="453"/>
      <c r="G541" s="453"/>
      <c r="H541" s="453"/>
      <c r="I541" s="453"/>
      <c r="J541" s="453"/>
      <c r="K541" s="453"/>
      <c r="L541" s="453"/>
      <c r="M541" s="453"/>
      <c r="N541" s="408" t="s">
        <v>1524</v>
      </c>
      <c r="O541" s="509" t="s">
        <v>1524</v>
      </c>
      <c r="P541" s="506" t="s">
        <v>1779</v>
      </c>
      <c r="Q541" s="337">
        <v>340.0</v>
      </c>
      <c r="R541" s="472" t="s">
        <v>3256</v>
      </c>
    </row>
    <row r="542">
      <c r="A542" s="518" t="str">
        <f>HYPERLINK("https://en.uesp.net/wiki/Skyrim:Frost_Rune", "Spell Tome: Frost Rune")</f>
        <v>Spell Tome: Frost Rune</v>
      </c>
      <c r="B542" s="63" t="s">
        <v>132</v>
      </c>
      <c r="C542" s="63" t="s">
        <v>132</v>
      </c>
      <c r="D542" s="63" t="s">
        <v>132</v>
      </c>
      <c r="E542" s="453"/>
      <c r="F542" s="453"/>
      <c r="G542" s="453"/>
      <c r="H542" s="453"/>
      <c r="I542" s="453"/>
      <c r="J542" s="453"/>
      <c r="K542" s="453"/>
      <c r="L542" s="453"/>
      <c r="M542" s="453"/>
      <c r="N542" s="408" t="s">
        <v>1524</v>
      </c>
      <c r="O542" s="509" t="s">
        <v>1524</v>
      </c>
      <c r="P542" s="506" t="s">
        <v>1764</v>
      </c>
      <c r="Q542" s="337">
        <v>92.0</v>
      </c>
      <c r="R542" s="472" t="s">
        <v>3256</v>
      </c>
    </row>
    <row r="543" ht="14.25" customHeight="1">
      <c r="A543" s="518" t="str">
        <f>HYPERLINK("https://en.uesp.net/wiki/Skyrim:Frost_Thrall", "Spell Tome: Frost Thrall")</f>
        <v>Spell Tome: Frost Thrall</v>
      </c>
      <c r="B543" s="63" t="s">
        <v>132</v>
      </c>
      <c r="C543" s="63" t="s">
        <v>132</v>
      </c>
      <c r="D543" s="63" t="s">
        <v>132</v>
      </c>
      <c r="E543" s="453"/>
      <c r="F543" s="453"/>
      <c r="G543" s="453"/>
      <c r="H543" s="453"/>
      <c r="I543" s="453"/>
      <c r="J543" s="453"/>
      <c r="K543" s="453"/>
      <c r="L543" s="453"/>
      <c r="M543" s="453"/>
      <c r="N543" s="408" t="s">
        <v>1524</v>
      </c>
      <c r="O543" s="509" t="s">
        <v>1524</v>
      </c>
      <c r="P543" s="506" t="s">
        <v>1744</v>
      </c>
      <c r="Q543" s="337">
        <v>1300.0</v>
      </c>
      <c r="R543" s="472" t="s">
        <v>3255</v>
      </c>
    </row>
    <row r="544">
      <c r="A544" s="518" t="str">
        <f>HYPERLINK("https://en.uesp.net/wiki/Skyrim:Frostbite", "Spell Tome: Frostbite")</f>
        <v>Spell Tome: Frostbite</v>
      </c>
      <c r="B544" s="63" t="s">
        <v>132</v>
      </c>
      <c r="C544" s="63" t="s">
        <v>132</v>
      </c>
      <c r="D544" s="63" t="s">
        <v>132</v>
      </c>
      <c r="E544" s="453"/>
      <c r="F544" s="453"/>
      <c r="G544" s="453"/>
      <c r="H544" s="453"/>
      <c r="I544" s="453"/>
      <c r="J544" s="453"/>
      <c r="K544" s="453"/>
      <c r="L544" s="453"/>
      <c r="M544" s="453"/>
      <c r="N544" s="408" t="s">
        <v>1524</v>
      </c>
      <c r="O544" s="509" t="s">
        <v>1524</v>
      </c>
      <c r="P544" s="506" t="s">
        <v>1753</v>
      </c>
      <c r="Q544" s="337">
        <v>47.0</v>
      </c>
      <c r="R544" s="472" t="s">
        <v>3256</v>
      </c>
    </row>
    <row r="545">
      <c r="A545" s="518" t="str">
        <f>HYPERLINK("https://en.uesp.net/wiki/Skyrim:Fury", "Spell Tome: Fury")</f>
        <v>Spell Tome: Fury</v>
      </c>
      <c r="B545" s="63" t="s">
        <v>132</v>
      </c>
      <c r="C545" s="63" t="s">
        <v>132</v>
      </c>
      <c r="D545" s="63" t="s">
        <v>132</v>
      </c>
      <c r="E545" s="453"/>
      <c r="F545" s="453"/>
      <c r="G545" s="453"/>
      <c r="H545" s="453"/>
      <c r="I545" s="453"/>
      <c r="J545" s="453"/>
      <c r="K545" s="453"/>
      <c r="L545" s="453"/>
      <c r="M545" s="453"/>
      <c r="N545" s="408" t="s">
        <v>1524</v>
      </c>
      <c r="O545" s="509" t="s">
        <v>1524</v>
      </c>
      <c r="P545" s="506" t="s">
        <v>1816</v>
      </c>
      <c r="Q545" s="337">
        <v>43.0</v>
      </c>
      <c r="R545" s="472" t="s">
        <v>3259</v>
      </c>
    </row>
    <row r="546">
      <c r="A546" s="518" t="str">
        <f>HYPERLINK("https://en.uesp.net/wiki/Skyrim:Grand_Healing", "Spell Tome: Grand Healing")</f>
        <v>Spell Tome: Grand Healing</v>
      </c>
      <c r="B546" s="63" t="s">
        <v>132</v>
      </c>
      <c r="C546" s="63" t="s">
        <v>132</v>
      </c>
      <c r="D546" s="63" t="s">
        <v>132</v>
      </c>
      <c r="E546" s="453"/>
      <c r="F546" s="453"/>
      <c r="G546" s="453"/>
      <c r="H546" s="453"/>
      <c r="I546" s="453"/>
      <c r="J546" s="453"/>
      <c r="K546" s="453"/>
      <c r="L546" s="453"/>
      <c r="M546" s="453"/>
      <c r="N546" s="408" t="s">
        <v>1524</v>
      </c>
      <c r="O546" s="509" t="s">
        <v>1524</v>
      </c>
      <c r="P546" s="506" t="s">
        <v>1895</v>
      </c>
      <c r="Q546" s="337">
        <v>680.0</v>
      </c>
      <c r="R546" s="472" t="s">
        <v>3260</v>
      </c>
    </row>
    <row r="547">
      <c r="A547" s="518" t="str">
        <f>HYPERLINK("https://en.uesp.net/wiki/Skyrim:Greater_Ward", "Spell Tome: Greater Ward")</f>
        <v>Spell Tome: Greater Ward</v>
      </c>
      <c r="B547" s="63" t="s">
        <v>132</v>
      </c>
      <c r="C547" s="63" t="s">
        <v>132</v>
      </c>
      <c r="D547" s="63" t="s">
        <v>132</v>
      </c>
      <c r="E547" s="453"/>
      <c r="F547" s="453"/>
      <c r="G547" s="453"/>
      <c r="H547" s="453"/>
      <c r="I547" s="453"/>
      <c r="J547" s="453"/>
      <c r="K547" s="453"/>
      <c r="L547" s="453"/>
      <c r="M547" s="453"/>
      <c r="N547" s="408" t="s">
        <v>1524</v>
      </c>
      <c r="O547" s="509" t="s">
        <v>1524</v>
      </c>
      <c r="P547" s="506" t="s">
        <v>1874</v>
      </c>
      <c r="Q547" s="337">
        <v>341.0</v>
      </c>
      <c r="R547" s="472" t="s">
        <v>3260</v>
      </c>
    </row>
    <row r="548">
      <c r="A548" s="518" t="str">
        <f>HYPERLINK("https://en.uesp.net/wiki/Skyrim:Guardian_Circle", "Spell Tome: Guardian Circle")</f>
        <v>Spell Tome: Guardian Circle</v>
      </c>
      <c r="B548" s="63" t="s">
        <v>132</v>
      </c>
      <c r="C548" s="63" t="s">
        <v>132</v>
      </c>
      <c r="D548" s="63" t="s">
        <v>132</v>
      </c>
      <c r="E548" s="453"/>
      <c r="F548" s="453"/>
      <c r="G548" s="453"/>
      <c r="H548" s="453"/>
      <c r="I548" s="453"/>
      <c r="J548" s="453"/>
      <c r="K548" s="453"/>
      <c r="L548" s="453"/>
      <c r="M548" s="453"/>
      <c r="N548" s="408" t="s">
        <v>1524</v>
      </c>
      <c r="O548" s="509" t="s">
        <v>1524</v>
      </c>
      <c r="P548" s="506" t="s">
        <v>1904</v>
      </c>
      <c r="Q548" s="337">
        <v>1220.0</v>
      </c>
      <c r="R548" s="472" t="s">
        <v>3260</v>
      </c>
    </row>
    <row r="549">
      <c r="A549" s="518" t="str">
        <f>HYPERLINK("https://en.uesp.net/wiki/Skyrim:Harmony", "Spell Tome: Harmony")</f>
        <v>Spell Tome: Harmony</v>
      </c>
      <c r="B549" s="63" t="s">
        <v>132</v>
      </c>
      <c r="C549" s="63" t="s">
        <v>132</v>
      </c>
      <c r="D549" s="63" t="s">
        <v>132</v>
      </c>
      <c r="E549" s="453"/>
      <c r="F549" s="453"/>
      <c r="G549" s="453"/>
      <c r="H549" s="453"/>
      <c r="I549" s="453"/>
      <c r="J549" s="453"/>
      <c r="K549" s="453"/>
      <c r="L549" s="453"/>
      <c r="M549" s="453"/>
      <c r="N549" s="408" t="s">
        <v>1524</v>
      </c>
      <c r="O549" s="509" t="s">
        <v>1524</v>
      </c>
      <c r="P549" s="506" t="s">
        <v>1844</v>
      </c>
      <c r="Q549" s="337">
        <v>1220.0</v>
      </c>
      <c r="R549" s="472" t="s">
        <v>3259</v>
      </c>
    </row>
    <row r="550">
      <c r="A550" s="518" t="str">
        <f>HYPERLINK("https://en.uesp.net/wiki/Skyrim:Heal_Other", "Spell Tome: Heal Other")</f>
        <v>Spell Tome: Heal Other</v>
      </c>
      <c r="B550" s="63" t="s">
        <v>132</v>
      </c>
      <c r="C550" s="63" t="s">
        <v>132</v>
      </c>
      <c r="D550" s="63" t="s">
        <v>132</v>
      </c>
      <c r="E550" s="453"/>
      <c r="F550" s="453"/>
      <c r="G550" s="453"/>
      <c r="H550" s="453"/>
      <c r="I550" s="453"/>
      <c r="J550" s="453"/>
      <c r="K550" s="453"/>
      <c r="L550" s="453"/>
      <c r="M550" s="453"/>
      <c r="N550" s="408" t="s">
        <v>1524</v>
      </c>
      <c r="O550" s="509" t="s">
        <v>1524</v>
      </c>
      <c r="P550" s="506" t="s">
        <v>1876</v>
      </c>
      <c r="Q550" s="337">
        <v>300.0</v>
      </c>
      <c r="R550" s="472" t="s">
        <v>3260</v>
      </c>
    </row>
    <row r="551">
      <c r="A551" s="518" t="str">
        <f>HYPERLINK("https://en.uesp.net/wiki/Skyrim:Heal_Undead","Spell Tome: Heal Undead (DG)")</f>
        <v>Spell Tome: Heal Undead (DG)</v>
      </c>
      <c r="B551" s="63" t="s">
        <v>132</v>
      </c>
      <c r="C551" s="63" t="s">
        <v>132</v>
      </c>
      <c r="D551" s="63" t="s">
        <v>132</v>
      </c>
      <c r="E551" s="453"/>
      <c r="F551" s="453"/>
      <c r="G551" s="453"/>
      <c r="H551" s="453"/>
      <c r="I551" s="453"/>
      <c r="J551" s="453"/>
      <c r="K551" s="453"/>
      <c r="L551" s="453"/>
      <c r="M551" s="453"/>
      <c r="N551" s="408" t="s">
        <v>1524</v>
      </c>
      <c r="O551" s="509" t="s">
        <v>1524</v>
      </c>
      <c r="P551" s="506" t="s">
        <v>3264</v>
      </c>
      <c r="Q551" s="337">
        <v>370.0</v>
      </c>
      <c r="R551" s="472" t="s">
        <v>3260</v>
      </c>
    </row>
    <row r="552">
      <c r="A552" s="518" t="str">
        <f>HYPERLINK("https://en.uesp.net/wiki/Skyrim:Healing", "Spell Tome: Healing")</f>
        <v>Spell Tome: Healing</v>
      </c>
      <c r="B552" s="63" t="s">
        <v>132</v>
      </c>
      <c r="C552" s="63" t="s">
        <v>132</v>
      </c>
      <c r="D552" s="63" t="s">
        <v>132</v>
      </c>
      <c r="E552" s="453"/>
      <c r="F552" s="453"/>
      <c r="G552" s="453"/>
      <c r="H552" s="453"/>
      <c r="I552" s="453"/>
      <c r="J552" s="453"/>
      <c r="K552" s="453"/>
      <c r="L552" s="453"/>
      <c r="M552" s="453"/>
      <c r="N552" s="408" t="s">
        <v>1524</v>
      </c>
      <c r="O552" s="509" t="s">
        <v>1524</v>
      </c>
      <c r="P552" s="506" t="s">
        <v>1851</v>
      </c>
      <c r="Q552" s="337">
        <v>50.0</v>
      </c>
      <c r="R552" s="472" t="s">
        <v>3260</v>
      </c>
    </row>
    <row r="553">
      <c r="A553" s="518" t="str">
        <f>HYPERLINK("https://en.uesp.net/wiki/Skyrim:Healing_Hands", "Spell Tome: Healing Hands")</f>
        <v>Spell Tome: Healing Hands</v>
      </c>
      <c r="B553" s="63" t="s">
        <v>132</v>
      </c>
      <c r="C553" s="63" t="s">
        <v>132</v>
      </c>
      <c r="D553" s="63" t="s">
        <v>132</v>
      </c>
      <c r="E553" s="453"/>
      <c r="F553" s="453"/>
      <c r="G553" s="453"/>
      <c r="H553" s="453"/>
      <c r="I553" s="453"/>
      <c r="J553" s="453"/>
      <c r="K553" s="453"/>
      <c r="L553" s="453"/>
      <c r="M553" s="453"/>
      <c r="N553" s="408" t="s">
        <v>1524</v>
      </c>
      <c r="O553" s="509" t="s">
        <v>1524</v>
      </c>
      <c r="P553" s="506" t="s">
        <v>1859</v>
      </c>
      <c r="Q553" s="337">
        <v>89.0</v>
      </c>
      <c r="R553" s="472" t="s">
        <v>3260</v>
      </c>
    </row>
    <row r="554">
      <c r="A554" s="518" t="str">
        <f>HYPERLINK("https://en.uesp.net/wiki/Skyrim:Ice_Spike", "Spell Tome: Ice Spike")</f>
        <v>Spell Tome: Ice Spike</v>
      </c>
      <c r="B554" s="63" t="s">
        <v>132</v>
      </c>
      <c r="C554" s="63" t="s">
        <v>132</v>
      </c>
      <c r="D554" s="63" t="s">
        <v>132</v>
      </c>
      <c r="E554" s="453"/>
      <c r="F554" s="453"/>
      <c r="G554" s="453"/>
      <c r="H554" s="453"/>
      <c r="I554" s="453"/>
      <c r="J554" s="453"/>
      <c r="K554" s="453"/>
      <c r="L554" s="453"/>
      <c r="M554" s="453"/>
      <c r="N554" s="408" t="s">
        <v>1524</v>
      </c>
      <c r="O554" s="509" t="s">
        <v>1524</v>
      </c>
      <c r="P554" s="506" t="s">
        <v>1766</v>
      </c>
      <c r="Q554" s="337">
        <v>96.0</v>
      </c>
      <c r="R554" s="472" t="s">
        <v>3256</v>
      </c>
    </row>
    <row r="555">
      <c r="A555" s="518" t="str">
        <f>HYPERLINK("https://en.uesp.net/wiki/Skyrim:Ice_Storm", "Spell Tome: Ice Storm")</f>
        <v>Spell Tome: Ice Storm</v>
      </c>
      <c r="B555" s="63" t="s">
        <v>132</v>
      </c>
      <c r="C555" s="63" t="s">
        <v>132</v>
      </c>
      <c r="D555" s="63" t="s">
        <v>132</v>
      </c>
      <c r="E555" s="453"/>
      <c r="F555" s="453"/>
      <c r="G555" s="453"/>
      <c r="H555" s="453"/>
      <c r="I555" s="453"/>
      <c r="J555" s="453"/>
      <c r="K555" s="453"/>
      <c r="L555" s="453"/>
      <c r="M555" s="453"/>
      <c r="N555" s="408" t="s">
        <v>1524</v>
      </c>
      <c r="O555" s="509" t="s">
        <v>1524</v>
      </c>
      <c r="P555" s="506" t="s">
        <v>1781</v>
      </c>
      <c r="Q555" s="337">
        <v>360.0</v>
      </c>
      <c r="R555" s="472" t="s">
        <v>3256</v>
      </c>
    </row>
    <row r="556">
      <c r="A556" s="518" t="str">
        <f>HYPERLINK("https://en.uesp.net/wiki/Skyrim:Icy_Spear", "Spell Tome: Icy Spear")</f>
        <v>Spell Tome: Icy Spear</v>
      </c>
      <c r="B556" s="63" t="s">
        <v>132</v>
      </c>
      <c r="C556" s="63" t="s">
        <v>132</v>
      </c>
      <c r="D556" s="63" t="s">
        <v>132</v>
      </c>
      <c r="E556" s="453"/>
      <c r="F556" s="453"/>
      <c r="G556" s="453"/>
      <c r="H556" s="453"/>
      <c r="I556" s="453"/>
      <c r="J556" s="453"/>
      <c r="K556" s="453"/>
      <c r="L556" s="453"/>
      <c r="M556" s="453"/>
      <c r="N556" s="408" t="s">
        <v>1524</v>
      </c>
      <c r="O556" s="509" t="s">
        <v>1524</v>
      </c>
      <c r="P556" s="506" t="s">
        <v>1788</v>
      </c>
      <c r="Q556" s="337">
        <v>725.0</v>
      </c>
      <c r="R556" s="472" t="s">
        <v>3256</v>
      </c>
    </row>
    <row r="557">
      <c r="A557" s="518" t="str">
        <f>HYPERLINK("https://en.uesp.net/wiki/Skyrim:Incinerate", "Spell Tome: Incinerate")</f>
        <v>Spell Tome: Incinerate</v>
      </c>
      <c r="B557" s="63" t="s">
        <v>132</v>
      </c>
      <c r="C557" s="63" t="s">
        <v>132</v>
      </c>
      <c r="D557" s="63" t="s">
        <v>132</v>
      </c>
      <c r="E557" s="453"/>
      <c r="F557" s="453"/>
      <c r="G557" s="453"/>
      <c r="H557" s="453"/>
      <c r="I557" s="453"/>
      <c r="J557" s="453"/>
      <c r="K557" s="453"/>
      <c r="L557" s="453"/>
      <c r="M557" s="453"/>
      <c r="N557" s="408" t="s">
        <v>1524</v>
      </c>
      <c r="O557" s="509" t="s">
        <v>1524</v>
      </c>
      <c r="P557" s="506" t="s">
        <v>1791</v>
      </c>
      <c r="Q557" s="337">
        <v>710.0</v>
      </c>
      <c r="R557" s="472" t="s">
        <v>3256</v>
      </c>
    </row>
    <row r="558">
      <c r="A558" s="518" t="str">
        <f>HYPERLINK("https://en.uesp.net/wiki/Skyrim:Invisibility", "Spell Tome: Invisibility")</f>
        <v>Spell Tome: Invisibility</v>
      </c>
      <c r="B558" s="63" t="s">
        <v>132</v>
      </c>
      <c r="C558" s="63" t="s">
        <v>132</v>
      </c>
      <c r="D558" s="63" t="s">
        <v>132</v>
      </c>
      <c r="E558" s="453"/>
      <c r="F558" s="453"/>
      <c r="G558" s="453"/>
      <c r="H558" s="453"/>
      <c r="I558" s="453"/>
      <c r="J558" s="453"/>
      <c r="K558" s="453"/>
      <c r="L558" s="453"/>
      <c r="M558" s="453"/>
      <c r="N558" s="408" t="s">
        <v>1524</v>
      </c>
      <c r="O558" s="509" t="s">
        <v>1524</v>
      </c>
      <c r="P558" s="506" t="s">
        <v>1834</v>
      </c>
      <c r="Q558" s="337">
        <v>625.0</v>
      </c>
      <c r="R558" s="472" t="s">
        <v>3259</v>
      </c>
    </row>
    <row r="559">
      <c r="A559" s="518" t="str">
        <f>HYPERLINK("https://en.uesp.net/wiki/Skyrim:Ironflesh", "Spell Tome: Ironflesh")</f>
        <v>Spell Tome: Ironflesh</v>
      </c>
      <c r="B559" s="63" t="s">
        <v>132</v>
      </c>
      <c r="C559" s="63" t="s">
        <v>132</v>
      </c>
      <c r="D559" s="63" t="s">
        <v>132</v>
      </c>
      <c r="E559" s="453"/>
      <c r="F559" s="453"/>
      <c r="G559" s="453"/>
      <c r="H559" s="453"/>
      <c r="I559" s="453"/>
      <c r="J559" s="453"/>
      <c r="K559" s="453"/>
      <c r="L559" s="453"/>
      <c r="M559" s="453"/>
      <c r="N559" s="408" t="s">
        <v>1524</v>
      </c>
      <c r="O559" s="509" t="s">
        <v>1524</v>
      </c>
      <c r="P559" s="506" t="s">
        <v>1648</v>
      </c>
      <c r="Q559" s="337">
        <v>341.0</v>
      </c>
      <c r="R559" s="472" t="s">
        <v>3253</v>
      </c>
    </row>
    <row r="560">
      <c r="A560" s="518" t="str">
        <f>HYPERLINK("https://en.uesp.net/wiki/Skyrim:Lesser_Ward", "Spell Tome: Lesser Ward")</f>
        <v>Spell Tome: Lesser Ward</v>
      </c>
      <c r="B560" s="63" t="s">
        <v>132</v>
      </c>
      <c r="C560" s="63" t="s">
        <v>132</v>
      </c>
      <c r="D560" s="63" t="s">
        <v>132</v>
      </c>
      <c r="E560" s="453"/>
      <c r="F560" s="453"/>
      <c r="G560" s="453"/>
      <c r="H560" s="453"/>
      <c r="I560" s="453"/>
      <c r="J560" s="453"/>
      <c r="K560" s="453"/>
      <c r="L560" s="453"/>
      <c r="M560" s="453"/>
      <c r="N560" s="408" t="s">
        <v>1524</v>
      </c>
      <c r="O560" s="509" t="s">
        <v>1524</v>
      </c>
      <c r="P560" s="506" t="s">
        <v>1853</v>
      </c>
      <c r="Q560" s="337">
        <v>45.0</v>
      </c>
      <c r="R560" s="472" t="s">
        <v>3260</v>
      </c>
    </row>
    <row r="561">
      <c r="A561" s="518" t="str">
        <f>HYPERLINK("https://en.uesp.net/wiki/Skyrim:Lightning_Bolt", "Spell Tome: Lightning Bolt")</f>
        <v>Spell Tome: Lightning Bolt</v>
      </c>
      <c r="B561" s="63" t="s">
        <v>132</v>
      </c>
      <c r="C561" s="63" t="s">
        <v>132</v>
      </c>
      <c r="D561" s="63" t="s">
        <v>132</v>
      </c>
      <c r="E561" s="453"/>
      <c r="F561" s="453"/>
      <c r="G561" s="453"/>
      <c r="H561" s="453"/>
      <c r="I561" s="453"/>
      <c r="J561" s="453"/>
      <c r="K561" s="453"/>
      <c r="L561" s="453"/>
      <c r="M561" s="453"/>
      <c r="N561" s="408" t="s">
        <v>1524</v>
      </c>
      <c r="O561" s="509" t="s">
        <v>1524</v>
      </c>
      <c r="P561" s="506" t="s">
        <v>1768</v>
      </c>
      <c r="Q561" s="337">
        <v>95.0</v>
      </c>
      <c r="R561" s="472" t="s">
        <v>3256</v>
      </c>
    </row>
    <row r="562">
      <c r="A562" s="518" t="str">
        <f>HYPERLINK("https://en.uesp.net/wiki/Skyrim:Lightning_Cloak", "Spell Tome: Lightning Cloak")</f>
        <v>Spell Tome: Lightning Cloak</v>
      </c>
      <c r="B562" s="63" t="s">
        <v>132</v>
      </c>
      <c r="C562" s="63" t="s">
        <v>132</v>
      </c>
      <c r="D562" s="63" t="s">
        <v>132</v>
      </c>
      <c r="E562" s="453"/>
      <c r="F562" s="453"/>
      <c r="G562" s="453"/>
      <c r="H562" s="453"/>
      <c r="I562" s="453"/>
      <c r="J562" s="453"/>
      <c r="K562" s="453"/>
      <c r="L562" s="453"/>
      <c r="M562" s="453"/>
      <c r="N562" s="408" t="s">
        <v>1524</v>
      </c>
      <c r="O562" s="509" t="s">
        <v>1524</v>
      </c>
      <c r="P562" s="506" t="s">
        <v>1783</v>
      </c>
      <c r="Q562" s="337">
        <v>355.0</v>
      </c>
      <c r="R562" s="472" t="s">
        <v>3256</v>
      </c>
    </row>
    <row r="563">
      <c r="A563" s="518" t="str">
        <f>HYPERLINK("https://en.uesp.net/wiki/Skyrim:Lightning_Rune", "Spell Tome: Lightning Rune")</f>
        <v>Spell Tome: Lightning Rune</v>
      </c>
      <c r="B563" s="63" t="s">
        <v>132</v>
      </c>
      <c r="C563" s="63" t="s">
        <v>132</v>
      </c>
      <c r="D563" s="63" t="s">
        <v>132</v>
      </c>
      <c r="E563" s="453"/>
      <c r="F563" s="453"/>
      <c r="G563" s="453"/>
      <c r="H563" s="453"/>
      <c r="I563" s="453"/>
      <c r="J563" s="453"/>
      <c r="K563" s="453"/>
      <c r="L563" s="453"/>
      <c r="M563" s="453"/>
      <c r="N563" s="408" t="s">
        <v>1524</v>
      </c>
      <c r="O563" s="509" t="s">
        <v>1524</v>
      </c>
      <c r="P563" s="506" t="s">
        <v>1770</v>
      </c>
      <c r="Q563" s="337">
        <v>93.0</v>
      </c>
      <c r="R563" s="472" t="s">
        <v>3256</v>
      </c>
    </row>
    <row r="564">
      <c r="A564" s="518" t="str">
        <f>HYPERLINK("https://en.uesp.net/wiki/Skyrim:Lightning_Storm", "Spell Tome: Lightning Storm")</f>
        <v>Spell Tome: Lightning Storm</v>
      </c>
      <c r="B564" s="63" t="s">
        <v>132</v>
      </c>
      <c r="C564" s="63" t="s">
        <v>132</v>
      </c>
      <c r="D564" s="63" t="s">
        <v>132</v>
      </c>
      <c r="E564" s="453"/>
      <c r="F564" s="453"/>
      <c r="G564" s="453"/>
      <c r="H564" s="453"/>
      <c r="I564" s="453"/>
      <c r="J564" s="453"/>
      <c r="K564" s="453"/>
      <c r="L564" s="453"/>
      <c r="M564" s="453"/>
      <c r="N564" s="408" t="s">
        <v>1524</v>
      </c>
      <c r="O564" s="509" t="s">
        <v>1524</v>
      </c>
      <c r="P564" s="506" t="s">
        <v>1807</v>
      </c>
      <c r="Q564" s="337">
        <v>1400.0</v>
      </c>
      <c r="R564" s="472" t="s">
        <v>3256</v>
      </c>
    </row>
    <row r="565">
      <c r="A565" s="518" t="str">
        <f>HYPERLINK("https://en.uesp.net/wiki/Skyrim:Magelight", "Spell Tome: Magelight")</f>
        <v>Spell Tome: Magelight</v>
      </c>
      <c r="B565" s="63" t="s">
        <v>132</v>
      </c>
      <c r="C565" s="63" t="s">
        <v>132</v>
      </c>
      <c r="D565" s="63" t="s">
        <v>132</v>
      </c>
      <c r="E565" s="453"/>
      <c r="F565" s="453"/>
      <c r="G565" s="453"/>
      <c r="H565" s="453"/>
      <c r="I565" s="453"/>
      <c r="J565" s="453"/>
      <c r="K565" s="453"/>
      <c r="L565" s="453"/>
      <c r="M565" s="453"/>
      <c r="N565" s="408" t="s">
        <v>1524</v>
      </c>
      <c r="O565" s="509" t="s">
        <v>1524</v>
      </c>
      <c r="P565" s="506" t="s">
        <v>1636</v>
      </c>
      <c r="Q565" s="337">
        <v>87.0</v>
      </c>
      <c r="R565" s="472" t="s">
        <v>3253</v>
      </c>
    </row>
    <row r="566">
      <c r="A566" s="518" t="str">
        <f>HYPERLINK("https://en.uesp.net/wiki/Skyrim:Mass_Paralysis", "Spell Tome: Mass Paralysis")</f>
        <v>Spell Tome: Mass Paralysis</v>
      </c>
      <c r="B566" s="63" t="s">
        <v>132</v>
      </c>
      <c r="C566" s="63" t="s">
        <v>132</v>
      </c>
      <c r="D566" s="63" t="s">
        <v>132</v>
      </c>
      <c r="E566" s="453"/>
      <c r="F566" s="453"/>
      <c r="G566" s="453"/>
      <c r="H566" s="453"/>
      <c r="I566" s="453"/>
      <c r="J566" s="453"/>
      <c r="K566" s="453"/>
      <c r="L566" s="453"/>
      <c r="M566" s="453"/>
      <c r="N566" s="408" t="s">
        <v>1524</v>
      </c>
      <c r="O566" s="509" t="s">
        <v>1524</v>
      </c>
      <c r="P566" s="506" t="s">
        <v>1671</v>
      </c>
      <c r="Q566" s="337">
        <v>1280.0</v>
      </c>
      <c r="R566" s="472" t="s">
        <v>3253</v>
      </c>
    </row>
    <row r="567">
      <c r="A567" s="518" t="str">
        <f>HYPERLINK("https://en.uesp.net/wiki/Skyrim:Mayhem", "Spell Tome: Mayhem")</f>
        <v>Spell Tome: Mayhem</v>
      </c>
      <c r="B567" s="63" t="s">
        <v>132</v>
      </c>
      <c r="C567" s="63" t="s">
        <v>132</v>
      </c>
      <c r="D567" s="63" t="s">
        <v>132</v>
      </c>
      <c r="E567" s="453"/>
      <c r="F567" s="453"/>
      <c r="G567" s="453"/>
      <c r="H567" s="453"/>
      <c r="I567" s="453"/>
      <c r="J567" s="453"/>
      <c r="K567" s="453"/>
      <c r="L567" s="453"/>
      <c r="M567" s="453"/>
      <c r="N567" s="408" t="s">
        <v>1524</v>
      </c>
      <c r="O567" s="509" t="s">
        <v>1524</v>
      </c>
      <c r="P567" s="506" t="s">
        <v>1849</v>
      </c>
      <c r="Q567" s="337">
        <v>1250.0</v>
      </c>
      <c r="R567" s="472" t="s">
        <v>3259</v>
      </c>
    </row>
    <row r="568">
      <c r="A568" s="518" t="str">
        <f>HYPERLINK("https://en.uesp.net/wiki/Skyrim:Illusion_Spells#Muffle", "Spell Tome: Muffle")</f>
        <v>Spell Tome: Muffle</v>
      </c>
      <c r="B568" s="63" t="s">
        <v>132</v>
      </c>
      <c r="C568" s="63" t="s">
        <v>132</v>
      </c>
      <c r="D568" s="63" t="s">
        <v>132</v>
      </c>
      <c r="E568" s="453"/>
      <c r="F568" s="453"/>
      <c r="G568" s="453"/>
      <c r="H568" s="453"/>
      <c r="I568" s="453"/>
      <c r="J568" s="453"/>
      <c r="K568" s="453"/>
      <c r="L568" s="453"/>
      <c r="M568" s="453"/>
      <c r="N568" s="408" t="s">
        <v>1524</v>
      </c>
      <c r="O568" s="509" t="s">
        <v>1524</v>
      </c>
      <c r="P568" s="506" t="s">
        <v>1825</v>
      </c>
      <c r="Q568" s="337">
        <v>88.0</v>
      </c>
      <c r="R568" s="472" t="s">
        <v>3259</v>
      </c>
    </row>
    <row r="569">
      <c r="A569" s="518" t="str">
        <f>HYPERLINK("https://en.uesp.net/wiki/Skyrim:Necromantic_Healing","Spell Tome: Necromantic Healing (DG)")</f>
        <v>Spell Tome: Necromantic Healing (DG)</v>
      </c>
      <c r="B569" s="63" t="s">
        <v>132</v>
      </c>
      <c r="C569" s="63" t="s">
        <v>132</v>
      </c>
      <c r="D569" s="63" t="s">
        <v>132</v>
      </c>
      <c r="E569" s="453"/>
      <c r="F569" s="453"/>
      <c r="G569" s="453"/>
      <c r="H569" s="453"/>
      <c r="I569" s="453"/>
      <c r="J569" s="453"/>
      <c r="K569" s="453"/>
      <c r="L569" s="453"/>
      <c r="M569" s="453"/>
      <c r="N569" s="408" t="s">
        <v>1524</v>
      </c>
      <c r="O569" s="509" t="s">
        <v>1524</v>
      </c>
      <c r="P569" s="506" t="s">
        <v>3265</v>
      </c>
      <c r="Q569" s="337">
        <v>115.0</v>
      </c>
      <c r="R569" s="472" t="s">
        <v>3260</v>
      </c>
    </row>
    <row r="570">
      <c r="A570" s="518" t="str">
        <f>HYPERLINK("https://en.uesp.net/wiki/Skyrim:Oakflesh", "Spell Tome: Oakflesh")</f>
        <v>Spell Tome: Oakflesh</v>
      </c>
      <c r="B570" s="63" t="s">
        <v>132</v>
      </c>
      <c r="C570" s="63" t="s">
        <v>132</v>
      </c>
      <c r="D570" s="63" t="s">
        <v>132</v>
      </c>
      <c r="E570" s="453"/>
      <c r="F570" s="453"/>
      <c r="G570" s="453"/>
      <c r="H570" s="453"/>
      <c r="I570" s="453"/>
      <c r="J570" s="453"/>
      <c r="K570" s="453"/>
      <c r="L570" s="453"/>
      <c r="M570" s="453"/>
      <c r="N570" s="408" t="s">
        <v>1524</v>
      </c>
      <c r="O570" s="509" t="s">
        <v>1524</v>
      </c>
      <c r="P570" s="506" t="s">
        <v>1632</v>
      </c>
      <c r="Q570" s="337">
        <v>44.0</v>
      </c>
      <c r="R570" s="472" t="s">
        <v>3253</v>
      </c>
    </row>
    <row r="571">
      <c r="A571" s="518" t="str">
        <f>HYPERLINK("https://en.uesp.net/wiki/Skyrim:Pacify_(spell)", "Spell Tome: Pacify")</f>
        <v>Spell Tome: Pacify</v>
      </c>
      <c r="B571" s="63" t="s">
        <v>132</v>
      </c>
      <c r="C571" s="63" t="s">
        <v>132</v>
      </c>
      <c r="D571" s="63" t="s">
        <v>132</v>
      </c>
      <c r="E571" s="453"/>
      <c r="F571" s="453"/>
      <c r="G571" s="453"/>
      <c r="H571" s="453"/>
      <c r="I571" s="453"/>
      <c r="J571" s="453"/>
      <c r="K571" s="453"/>
      <c r="L571" s="453"/>
      <c r="M571" s="453"/>
      <c r="N571" s="408" t="s">
        <v>1524</v>
      </c>
      <c r="O571" s="509" t="s">
        <v>1524</v>
      </c>
      <c r="P571" s="506" t="s">
        <v>1837</v>
      </c>
      <c r="Q571" s="337">
        <v>610.0</v>
      </c>
      <c r="R571" s="472" t="s">
        <v>3259</v>
      </c>
    </row>
    <row r="572">
      <c r="A572" s="518" t="str">
        <f>HYPERLINK("https://en.uesp.net/wiki/Skyrim:Paralyze_(spell)", "Spell Tome: Paralyze")</f>
        <v>Spell Tome: Paralyze</v>
      </c>
      <c r="B572" s="63" t="s">
        <v>132</v>
      </c>
      <c r="C572" s="63" t="s">
        <v>132</v>
      </c>
      <c r="D572" s="63" t="s">
        <v>132</v>
      </c>
      <c r="E572" s="453"/>
      <c r="F572" s="453"/>
      <c r="G572" s="453"/>
      <c r="H572" s="453"/>
      <c r="I572" s="453"/>
      <c r="J572" s="453"/>
      <c r="K572" s="453"/>
      <c r="L572" s="453"/>
      <c r="M572" s="453"/>
      <c r="N572" s="408" t="s">
        <v>1524</v>
      </c>
      <c r="O572" s="509" t="s">
        <v>1524</v>
      </c>
      <c r="P572" s="506" t="s">
        <v>1665</v>
      </c>
      <c r="Q572" s="337">
        <v>685.0</v>
      </c>
      <c r="R572" s="472" t="s">
        <v>3253</v>
      </c>
    </row>
    <row r="573">
      <c r="A573" s="518" t="str">
        <f>HYPERLINK("https://en.uesp.net/wiki/Skyrim:Poison_Rune", "Spell Tome: Poison Rune (DB)")</f>
        <v>Spell Tome: Poison Rune (DB)</v>
      </c>
      <c r="B573" s="63" t="s">
        <v>132</v>
      </c>
      <c r="C573" s="63" t="s">
        <v>132</v>
      </c>
      <c r="D573" s="63" t="s">
        <v>132</v>
      </c>
      <c r="E573" s="453"/>
      <c r="F573" s="453"/>
      <c r="G573" s="453"/>
      <c r="H573" s="453"/>
      <c r="I573" s="453"/>
      <c r="J573" s="453"/>
      <c r="K573" s="453"/>
      <c r="L573" s="453"/>
      <c r="M573" s="453"/>
      <c r="N573" s="408" t="s">
        <v>1524</v>
      </c>
      <c r="O573" s="509" t="s">
        <v>1524</v>
      </c>
      <c r="P573" s="506" t="s">
        <v>3266</v>
      </c>
      <c r="Q573" s="337">
        <v>290.0</v>
      </c>
      <c r="R573" s="472" t="s">
        <v>3260</v>
      </c>
    </row>
    <row r="574">
      <c r="A574" s="518" t="str">
        <f>HYPERLINK("https://en.uesp.net/wiki/Skyrim:Raise_Zombie", "Spell Tome: Raise Zombie")</f>
        <v>Spell Tome: Raise Zombie</v>
      </c>
      <c r="B574" s="63" t="s">
        <v>132</v>
      </c>
      <c r="C574" s="63" t="s">
        <v>132</v>
      </c>
      <c r="D574" s="63" t="s">
        <v>132</v>
      </c>
      <c r="E574" s="453"/>
      <c r="F574" s="453"/>
      <c r="G574" s="453"/>
      <c r="H574" s="453"/>
      <c r="I574" s="453"/>
      <c r="J574" s="453"/>
      <c r="K574" s="453"/>
      <c r="L574" s="453"/>
      <c r="M574" s="453"/>
      <c r="N574" s="408" t="s">
        <v>1524</v>
      </c>
      <c r="O574" s="509" t="s">
        <v>1524</v>
      </c>
      <c r="P574" s="521" t="s">
        <v>1681</v>
      </c>
      <c r="Q574" s="337">
        <v>49.0</v>
      </c>
      <c r="R574" s="472" t="s">
        <v>3255</v>
      </c>
    </row>
    <row r="575">
      <c r="A575" s="518" t="str">
        <f>HYPERLINK("https://en.uesp.net/wiki/Skyrim:Rally_(spell)", "Spell Tome: Rally")</f>
        <v>Spell Tome: Rally</v>
      </c>
      <c r="B575" s="63" t="s">
        <v>132</v>
      </c>
      <c r="C575" s="63" t="s">
        <v>132</v>
      </c>
      <c r="D575" s="63" t="s">
        <v>132</v>
      </c>
      <c r="E575" s="453"/>
      <c r="F575" s="453"/>
      <c r="G575" s="453"/>
      <c r="H575" s="453"/>
      <c r="I575" s="453"/>
      <c r="J575" s="453"/>
      <c r="K575" s="453"/>
      <c r="L575" s="453"/>
      <c r="M575" s="453"/>
      <c r="N575" s="408" t="s">
        <v>1524</v>
      </c>
      <c r="O575" s="509" t="s">
        <v>1524</v>
      </c>
      <c r="P575" s="506" t="s">
        <v>1832</v>
      </c>
      <c r="Q575" s="337">
        <v>300.0</v>
      </c>
      <c r="R575" s="472" t="s">
        <v>3259</v>
      </c>
    </row>
    <row r="576">
      <c r="A576" s="518" t="str">
        <f>HYPERLINK("https://en.uesp.net/wiki/Skyrim:Reanimate_Corpse", "Spell Tome: Reanimate Corpse")</f>
        <v>Spell Tome: Reanimate Corpse</v>
      </c>
      <c r="B576" s="63" t="s">
        <v>132</v>
      </c>
      <c r="C576" s="63" t="s">
        <v>132</v>
      </c>
      <c r="D576" s="63" t="s">
        <v>132</v>
      </c>
      <c r="E576" s="453"/>
      <c r="F576" s="453"/>
      <c r="G576" s="453"/>
      <c r="H576" s="453"/>
      <c r="I576" s="453"/>
      <c r="J576" s="453"/>
      <c r="K576" s="453"/>
      <c r="L576" s="453"/>
      <c r="M576" s="453"/>
      <c r="N576" s="408" t="s">
        <v>1524</v>
      </c>
      <c r="O576" s="509" t="s">
        <v>1524</v>
      </c>
      <c r="P576" s="506" t="s">
        <v>1693</v>
      </c>
      <c r="Q576" s="337">
        <v>99.0</v>
      </c>
      <c r="R576" s="472" t="s">
        <v>3255</v>
      </c>
    </row>
    <row r="577">
      <c r="A577" s="518" t="str">
        <f>HYPERLINK("https://en.uesp.net/wiki/Skyrim:Repel_Lesser_Undead", "Spell Tome: Repel Lesser Undead")</f>
        <v>Spell Tome: Repel Lesser Undead</v>
      </c>
      <c r="B577" s="63" t="s">
        <v>132</v>
      </c>
      <c r="C577" s="63" t="s">
        <v>132</v>
      </c>
      <c r="D577" s="63" t="s">
        <v>132</v>
      </c>
      <c r="E577" s="453"/>
      <c r="F577" s="453"/>
      <c r="G577" s="453"/>
      <c r="H577" s="453"/>
      <c r="I577" s="453"/>
      <c r="J577" s="453"/>
      <c r="K577" s="453"/>
      <c r="L577" s="453"/>
      <c r="M577" s="453"/>
      <c r="N577" s="408" t="s">
        <v>1524</v>
      </c>
      <c r="O577" s="509" t="s">
        <v>1524</v>
      </c>
      <c r="P577" s="506" t="s">
        <v>1883</v>
      </c>
      <c r="Q577" s="337">
        <v>333.0</v>
      </c>
      <c r="R577" s="472" t="s">
        <v>3260</v>
      </c>
    </row>
    <row r="578">
      <c r="A578" s="518" t="str">
        <f>HYPERLINK("https://en.uesp.net/wiki/Skyrim:Repel_Undead", "Spell Tome: Repel Undead")</f>
        <v>Spell Tome: Repel Undead</v>
      </c>
      <c r="B578" s="63" t="s">
        <v>132</v>
      </c>
      <c r="C578" s="63" t="s">
        <v>132</v>
      </c>
      <c r="D578" s="63" t="s">
        <v>132</v>
      </c>
      <c r="E578" s="453"/>
      <c r="F578" s="453"/>
      <c r="G578" s="453"/>
      <c r="H578" s="453"/>
      <c r="I578" s="453"/>
      <c r="J578" s="453"/>
      <c r="K578" s="453"/>
      <c r="L578" s="453"/>
      <c r="M578" s="453"/>
      <c r="N578" s="408" t="s">
        <v>1524</v>
      </c>
      <c r="O578" s="509" t="s">
        <v>1524</v>
      </c>
      <c r="P578" s="506" t="s">
        <v>1897</v>
      </c>
      <c r="Q578" s="337">
        <v>655.0</v>
      </c>
      <c r="R578" s="472" t="s">
        <v>3260</v>
      </c>
    </row>
    <row r="579">
      <c r="A579" s="518" t="str">
        <f>HYPERLINK("https://en.uesp.net/wiki/Skyrim:Revenant", "Spell Tome: Revenant")</f>
        <v>Spell Tome: Revenant</v>
      </c>
      <c r="B579" s="63" t="s">
        <v>132</v>
      </c>
      <c r="C579" s="63" t="s">
        <v>132</v>
      </c>
      <c r="D579" s="63" t="s">
        <v>132</v>
      </c>
      <c r="E579" s="453"/>
      <c r="F579" s="453"/>
      <c r="G579" s="453"/>
      <c r="H579" s="453"/>
      <c r="I579" s="453"/>
      <c r="J579" s="453"/>
      <c r="K579" s="453"/>
      <c r="L579" s="453"/>
      <c r="M579" s="453"/>
      <c r="N579" s="408" t="s">
        <v>1524</v>
      </c>
      <c r="O579" s="509" t="s">
        <v>1524</v>
      </c>
      <c r="P579" s="506" t="s">
        <v>1720</v>
      </c>
      <c r="Q579" s="337">
        <v>340.0</v>
      </c>
      <c r="R579" s="472" t="s">
        <v>3255</v>
      </c>
    </row>
    <row r="580">
      <c r="A580" s="518" t="str">
        <f>HYPERLINK("https://en.uesp.net/wiki/Skyrim:Rout", "Spell Tome: Rout")</f>
        <v>Spell Tome: Rout</v>
      </c>
      <c r="B580" s="63" t="s">
        <v>132</v>
      </c>
      <c r="C580" s="63" t="s">
        <v>132</v>
      </c>
      <c r="D580" s="63" t="s">
        <v>132</v>
      </c>
      <c r="E580" s="453"/>
      <c r="F580" s="453"/>
      <c r="G580" s="453"/>
      <c r="H580" s="453"/>
      <c r="I580" s="453"/>
      <c r="J580" s="453"/>
      <c r="K580" s="453"/>
      <c r="L580" s="453"/>
      <c r="M580" s="453"/>
      <c r="N580" s="408" t="s">
        <v>1524</v>
      </c>
      <c r="O580" s="509" t="s">
        <v>1524</v>
      </c>
      <c r="P580" s="506" t="s">
        <v>1839</v>
      </c>
      <c r="Q580" s="337">
        <v>653.0</v>
      </c>
      <c r="R580" s="472" t="s">
        <v>3259</v>
      </c>
    </row>
    <row r="581">
      <c r="A581" s="518" t="str">
        <f>HYPERLINK("https://en.uesp.net/wiki/Skyrim:Soul_Trap", "Spell Tome: Soul Trap")</f>
        <v>Spell Tome: Soul Trap</v>
      </c>
      <c r="B581" s="63" t="s">
        <v>132</v>
      </c>
      <c r="C581" s="63" t="s">
        <v>132</v>
      </c>
      <c r="D581" s="63" t="s">
        <v>132</v>
      </c>
      <c r="E581" s="453"/>
      <c r="F581" s="453"/>
      <c r="G581" s="453"/>
      <c r="H581" s="453"/>
      <c r="I581" s="453"/>
      <c r="J581" s="453"/>
      <c r="K581" s="453"/>
      <c r="L581" s="453"/>
      <c r="M581" s="453"/>
      <c r="N581" s="408" t="s">
        <v>1524</v>
      </c>
      <c r="O581" s="509" t="s">
        <v>1524</v>
      </c>
      <c r="P581" s="506" t="s">
        <v>1695</v>
      </c>
      <c r="Q581" s="337">
        <v>100.0</v>
      </c>
      <c r="R581" s="472" t="s">
        <v>3255</v>
      </c>
    </row>
    <row r="582">
      <c r="A582" s="518" t="str">
        <f>HYPERLINK("https://en.uesp.net/wiki/Skyrim:Sparks", "Spell Tome: Sparks")</f>
        <v>Spell Tome: Sparks</v>
      </c>
      <c r="B582" s="63" t="s">
        <v>132</v>
      </c>
      <c r="C582" s="63" t="s">
        <v>132</v>
      </c>
      <c r="D582" s="63" t="s">
        <v>132</v>
      </c>
      <c r="E582" s="453"/>
      <c r="F582" s="453"/>
      <c r="G582" s="453"/>
      <c r="H582" s="453"/>
      <c r="I582" s="453"/>
      <c r="J582" s="453"/>
      <c r="K582" s="453"/>
      <c r="L582" s="453"/>
      <c r="M582" s="453"/>
      <c r="N582" s="408" t="s">
        <v>1524</v>
      </c>
      <c r="O582" s="509" t="s">
        <v>1524</v>
      </c>
      <c r="P582" s="506" t="s">
        <v>1756</v>
      </c>
      <c r="Q582" s="337">
        <v>46.0</v>
      </c>
      <c r="R582" s="472" t="s">
        <v>3256</v>
      </c>
    </row>
    <row r="583">
      <c r="A583" s="518" t="str">
        <f>HYPERLINK("https://en.uesp.net/wiki/Skyrim:Steadfast_Ward", "Spell Tome: Steadfast Ward")</f>
        <v>Spell Tome: Steadfast Ward</v>
      </c>
      <c r="B583" s="63" t="s">
        <v>132</v>
      </c>
      <c r="C583" s="63" t="s">
        <v>132</v>
      </c>
      <c r="D583" s="63" t="s">
        <v>132</v>
      </c>
      <c r="E583" s="453"/>
      <c r="F583" s="453"/>
      <c r="G583" s="453"/>
      <c r="H583" s="453"/>
      <c r="I583" s="453"/>
      <c r="J583" s="453"/>
      <c r="K583" s="453"/>
      <c r="L583" s="453"/>
      <c r="M583" s="453"/>
      <c r="N583" s="408" t="s">
        <v>1524</v>
      </c>
      <c r="O583" s="509" t="s">
        <v>1524</v>
      </c>
      <c r="P583" s="506" t="s">
        <v>1864</v>
      </c>
      <c r="Q583" s="337">
        <v>92.0</v>
      </c>
      <c r="R583" s="472" t="s">
        <v>3260</v>
      </c>
    </row>
    <row r="584">
      <c r="A584" s="518" t="str">
        <f>HYPERLINK("https://en.uesp.net/wiki/Skyrim:Stendarr's_Aura","Spell Tome: Stendarr's Aura (DG)")</f>
        <v>Spell Tome: Stendarr's Aura (DG)</v>
      </c>
      <c r="B584" s="63" t="s">
        <v>132</v>
      </c>
      <c r="C584" s="63" t="s">
        <v>132</v>
      </c>
      <c r="D584" s="63" t="s">
        <v>132</v>
      </c>
      <c r="E584" s="453"/>
      <c r="F584" s="453"/>
      <c r="G584" s="453"/>
      <c r="H584" s="453"/>
      <c r="I584" s="453"/>
      <c r="J584" s="453"/>
      <c r="K584" s="453"/>
      <c r="L584" s="453"/>
      <c r="M584" s="453"/>
      <c r="N584" s="408" t="s">
        <v>1524</v>
      </c>
      <c r="O584" s="509" t="s">
        <v>1524</v>
      </c>
      <c r="P584" s="506" t="s">
        <v>3267</v>
      </c>
      <c r="Q584" s="337">
        <v>335.0</v>
      </c>
      <c r="R584" s="472" t="s">
        <v>3260</v>
      </c>
    </row>
    <row r="585">
      <c r="A585" s="518" t="str">
        <f>HYPERLINK("https://en.uesp.net/wiki/Skyrim:Stoneflesh", "Spell Tome: Stoneflesh")</f>
        <v>Spell Tome: Stoneflesh</v>
      </c>
      <c r="B585" s="63" t="s">
        <v>132</v>
      </c>
      <c r="C585" s="63" t="s">
        <v>132</v>
      </c>
      <c r="D585" s="63" t="s">
        <v>132</v>
      </c>
      <c r="E585" s="453"/>
      <c r="F585" s="453"/>
      <c r="G585" s="453"/>
      <c r="H585" s="453"/>
      <c r="I585" s="453"/>
      <c r="J585" s="453"/>
      <c r="K585" s="453"/>
      <c r="L585" s="453"/>
      <c r="M585" s="453"/>
      <c r="N585" s="408" t="s">
        <v>1524</v>
      </c>
      <c r="O585" s="509" t="s">
        <v>1524</v>
      </c>
      <c r="P585" s="506" t="s">
        <v>1639</v>
      </c>
      <c r="Q585" s="337">
        <v>95.0</v>
      </c>
      <c r="R585" s="472" t="s">
        <v>3253</v>
      </c>
    </row>
    <row r="586">
      <c r="A586" s="518" t="str">
        <f>HYPERLINK("https://en.uesp.net/wiki/Skyrim:Storm_Thrall", "Spell Tome: Storm Thrall")</f>
        <v>Spell Tome: Storm Thrall</v>
      </c>
      <c r="B586" s="63" t="s">
        <v>132</v>
      </c>
      <c r="C586" s="63" t="s">
        <v>132</v>
      </c>
      <c r="D586" s="63" t="s">
        <v>132</v>
      </c>
      <c r="E586" s="453"/>
      <c r="F586" s="453"/>
      <c r="G586" s="453"/>
      <c r="H586" s="453"/>
      <c r="I586" s="453"/>
      <c r="J586" s="453"/>
      <c r="K586" s="453"/>
      <c r="L586" s="453"/>
      <c r="M586" s="453"/>
      <c r="N586" s="408" t="s">
        <v>1524</v>
      </c>
      <c r="O586" s="509" t="s">
        <v>1524</v>
      </c>
      <c r="P586" s="506" t="s">
        <v>1746</v>
      </c>
      <c r="Q586" s="337">
        <v>1350.0</v>
      </c>
      <c r="R586" s="472" t="s">
        <v>3255</v>
      </c>
    </row>
    <row r="587">
      <c r="A587" s="518" t="str">
        <f>HYPERLINK("https://en.uesp.net/wiki/Skyrim:Sun_Fire","Spell Tome: Sun Fire (DG)")</f>
        <v>Spell Tome: Sun Fire (DG)</v>
      </c>
      <c r="B587" s="63" t="s">
        <v>132</v>
      </c>
      <c r="C587" s="63" t="s">
        <v>132</v>
      </c>
      <c r="D587" s="63" t="s">
        <v>132</v>
      </c>
      <c r="E587" s="453"/>
      <c r="F587" s="453"/>
      <c r="G587" s="453"/>
      <c r="H587" s="453"/>
      <c r="I587" s="453"/>
      <c r="J587" s="453"/>
      <c r="K587" s="453"/>
      <c r="L587" s="453"/>
      <c r="M587" s="453"/>
      <c r="N587" s="408" t="s">
        <v>1524</v>
      </c>
      <c r="O587" s="509" t="s">
        <v>1524</v>
      </c>
      <c r="P587" s="506" t="s">
        <v>3268</v>
      </c>
      <c r="Q587" s="337">
        <v>80.0</v>
      </c>
      <c r="R587" s="472" t="s">
        <v>3260</v>
      </c>
    </row>
    <row r="588">
      <c r="A588" s="518" t="str">
        <f>HYPERLINK("https://en.uesp.net/wiki/Skyrim:Telekinesis", "Spell Tome: Telekinesis")</f>
        <v>Spell Tome: Telekinesis</v>
      </c>
      <c r="B588" s="63" t="s">
        <v>132</v>
      </c>
      <c r="C588" s="63" t="s">
        <v>132</v>
      </c>
      <c r="D588" s="63" t="s">
        <v>132</v>
      </c>
      <c r="E588" s="453"/>
      <c r="F588" s="453"/>
      <c r="G588" s="453"/>
      <c r="H588" s="453"/>
      <c r="I588" s="453"/>
      <c r="J588" s="453"/>
      <c r="K588" s="453"/>
      <c r="L588" s="453"/>
      <c r="M588" s="453"/>
      <c r="N588" s="408" t="s">
        <v>1524</v>
      </c>
      <c r="O588" s="509" t="s">
        <v>1524</v>
      </c>
      <c r="P588" s="506" t="s">
        <v>1650</v>
      </c>
      <c r="Q588" s="337">
        <v>326.0</v>
      </c>
      <c r="R588" s="472" t="s">
        <v>3253</v>
      </c>
    </row>
    <row r="589">
      <c r="A589" s="518" t="str">
        <f>HYPERLINK("https://en.uesp.net/wiki/Skyrim:Thunderbolt", "Spell Tome: Thunderbolt")</f>
        <v>Spell Tome: Thunderbolt</v>
      </c>
      <c r="B589" s="63" t="s">
        <v>132</v>
      </c>
      <c r="C589" s="63" t="s">
        <v>132</v>
      </c>
      <c r="D589" s="63" t="s">
        <v>132</v>
      </c>
      <c r="E589" s="453"/>
      <c r="F589" s="453"/>
      <c r="G589" s="453"/>
      <c r="H589" s="453"/>
      <c r="I589" s="453"/>
      <c r="J589" s="453"/>
      <c r="K589" s="453"/>
      <c r="L589" s="453"/>
      <c r="M589" s="453"/>
      <c r="N589" s="408" t="s">
        <v>1524</v>
      </c>
      <c r="O589" s="509" t="s">
        <v>1524</v>
      </c>
      <c r="P589" s="506" t="s">
        <v>1793</v>
      </c>
      <c r="Q589" s="337">
        <v>750.0</v>
      </c>
      <c r="R589" s="472" t="s">
        <v>3256</v>
      </c>
    </row>
    <row r="590">
      <c r="A590" s="518" t="str">
        <f>HYPERLINK("https://en.uesp.net/wiki/Skyrim:Transmute_Mineral_Ore", "Spell Tome: Transmute Mineral Ore")</f>
        <v>Spell Tome: Transmute Mineral Ore</v>
      </c>
      <c r="B590" s="63" t="s">
        <v>132</v>
      </c>
      <c r="C590" s="63" t="s">
        <v>132</v>
      </c>
      <c r="D590" s="63" t="s">
        <v>132</v>
      </c>
      <c r="E590" s="453"/>
      <c r="F590" s="453"/>
      <c r="G590" s="453"/>
      <c r="H590" s="453"/>
      <c r="I590" s="453"/>
      <c r="J590" s="453"/>
      <c r="K590" s="453"/>
      <c r="L590" s="453"/>
      <c r="M590" s="453"/>
      <c r="N590" s="408" t="s">
        <v>1524</v>
      </c>
      <c r="O590" s="509" t="s">
        <v>1524</v>
      </c>
      <c r="P590" s="506" t="s">
        <v>1652</v>
      </c>
      <c r="Q590" s="337">
        <v>200.0</v>
      </c>
      <c r="R590" s="472" t="s">
        <v>3253</v>
      </c>
    </row>
    <row r="591">
      <c r="A591" s="518" t="str">
        <f>HYPERLINK("https://en.uesp.net/wiki/Skyrim:Turn_Greater_Undead", "Spell Tome: Turn Greater Undead")</f>
        <v>Spell Tome: Turn Greater Undead</v>
      </c>
      <c r="B591" s="63" t="s">
        <v>132</v>
      </c>
      <c r="C591" s="63" t="s">
        <v>132</v>
      </c>
      <c r="D591" s="63" t="s">
        <v>132</v>
      </c>
      <c r="E591" s="453"/>
      <c r="F591" s="453"/>
      <c r="G591" s="453"/>
      <c r="H591" s="453"/>
      <c r="I591" s="453"/>
      <c r="J591" s="453"/>
      <c r="K591" s="453"/>
      <c r="L591" s="453"/>
      <c r="M591" s="453"/>
      <c r="N591" s="408" t="s">
        <v>1524</v>
      </c>
      <c r="O591" s="509" t="s">
        <v>1524</v>
      </c>
      <c r="P591" s="506" t="s">
        <v>1899</v>
      </c>
      <c r="Q591" s="337">
        <v>664.0</v>
      </c>
      <c r="R591" s="472" t="s">
        <v>3260</v>
      </c>
    </row>
    <row r="592">
      <c r="A592" s="518" t="str">
        <f>HYPERLINK("https://en.uesp.net/wiki/Skyrim:Turn_Lesser_Undead", "Spell Tome: Turn Lesser Undead")</f>
        <v>Spell Tome: Turn Lesser Undead</v>
      </c>
      <c r="B592" s="63" t="s">
        <v>132</v>
      </c>
      <c r="C592" s="63" t="s">
        <v>132</v>
      </c>
      <c r="D592" s="63" t="s">
        <v>132</v>
      </c>
      <c r="E592" s="453"/>
      <c r="F592" s="453"/>
      <c r="G592" s="453"/>
      <c r="H592" s="453"/>
      <c r="I592" s="453"/>
      <c r="J592" s="453"/>
      <c r="K592" s="453"/>
      <c r="L592" s="453"/>
      <c r="M592" s="453"/>
      <c r="N592" s="408" t="s">
        <v>1524</v>
      </c>
      <c r="O592" s="509" t="s">
        <v>1524</v>
      </c>
      <c r="P592" s="506" t="s">
        <v>1869</v>
      </c>
      <c r="Q592" s="337">
        <v>89.0</v>
      </c>
      <c r="R592" s="472" t="s">
        <v>3260</v>
      </c>
    </row>
    <row r="593">
      <c r="A593" s="518" t="str">
        <f>HYPERLINK("https://en.uesp.net/wiki/Skyrim:Turn_Undead", "Spell Tome: Turn Undead")</f>
        <v>Spell Tome: Turn Undead</v>
      </c>
      <c r="B593" s="63" t="s">
        <v>132</v>
      </c>
      <c r="C593" s="63" t="s">
        <v>132</v>
      </c>
      <c r="D593" s="63" t="s">
        <v>132</v>
      </c>
      <c r="E593" s="453"/>
      <c r="F593" s="453"/>
      <c r="G593" s="453"/>
      <c r="H593" s="453"/>
      <c r="I593" s="453"/>
      <c r="J593" s="453"/>
      <c r="K593" s="453"/>
      <c r="L593" s="453"/>
      <c r="M593" s="453"/>
      <c r="N593" s="408" t="s">
        <v>1524</v>
      </c>
      <c r="O593" s="509" t="s">
        <v>1524</v>
      </c>
      <c r="P593" s="506" t="s">
        <v>1888</v>
      </c>
      <c r="Q593" s="337">
        <v>323.0</v>
      </c>
      <c r="R593" s="472" t="s">
        <v>3260</v>
      </c>
    </row>
    <row r="594">
      <c r="A594" s="518" t="str">
        <f>HYPERLINK("https://en.uesp.net/wiki/Skyrim:Vampire's_Bane","Spell Tome: Vampire's Bane (DG)")</f>
        <v>Spell Tome: Vampire's Bane (DG)</v>
      </c>
      <c r="B594" s="63" t="s">
        <v>132</v>
      </c>
      <c r="C594" s="63" t="s">
        <v>132</v>
      </c>
      <c r="D594" s="63" t="s">
        <v>132</v>
      </c>
      <c r="E594" s="453"/>
      <c r="F594" s="453"/>
      <c r="G594" s="453"/>
      <c r="H594" s="453"/>
      <c r="I594" s="453"/>
      <c r="J594" s="453"/>
      <c r="K594" s="453"/>
      <c r="L594" s="453"/>
      <c r="M594" s="453"/>
      <c r="N594" s="408" t="s">
        <v>1524</v>
      </c>
      <c r="O594" s="509" t="s">
        <v>1524</v>
      </c>
      <c r="P594" s="506" t="s">
        <v>3269</v>
      </c>
      <c r="Q594" s="337">
        <v>340.0</v>
      </c>
      <c r="R594" s="472" t="s">
        <v>3260</v>
      </c>
    </row>
    <row r="595">
      <c r="A595" s="518" t="str">
        <f>HYPERLINK("https://en.uesp.net/wiki/Skyrim:Wall_of_Flames", "Spell Tome: Wall of Flames")</f>
        <v>Spell Tome: Wall of Flames</v>
      </c>
      <c r="B595" s="63" t="s">
        <v>132</v>
      </c>
      <c r="C595" s="63" t="s">
        <v>132</v>
      </c>
      <c r="D595" s="63" t="s">
        <v>132</v>
      </c>
      <c r="E595" s="453"/>
      <c r="F595" s="453"/>
      <c r="G595" s="453"/>
      <c r="H595" s="453"/>
      <c r="I595" s="453"/>
      <c r="J595" s="453"/>
      <c r="K595" s="453"/>
      <c r="L595" s="453"/>
      <c r="M595" s="453"/>
      <c r="N595" s="408" t="s">
        <v>1524</v>
      </c>
      <c r="O595" s="509" t="s">
        <v>1524</v>
      </c>
      <c r="P595" s="506" t="s">
        <v>1795</v>
      </c>
      <c r="Q595" s="337">
        <v>680.0</v>
      </c>
      <c r="R595" s="472" t="s">
        <v>3256</v>
      </c>
    </row>
    <row r="596">
      <c r="A596" s="518" t="str">
        <f>HYPERLINK("https://en.uesp.net/wiki/Skyrim:Wall_of_Frost", "Spell Tome: Wall of Frost")</f>
        <v>Spell Tome: Wall of Frost</v>
      </c>
      <c r="B596" s="63" t="s">
        <v>132</v>
      </c>
      <c r="C596" s="63" t="s">
        <v>132</v>
      </c>
      <c r="D596" s="63" t="s">
        <v>132</v>
      </c>
      <c r="E596" s="453"/>
      <c r="F596" s="453"/>
      <c r="G596" s="453"/>
      <c r="H596" s="453"/>
      <c r="I596" s="453"/>
      <c r="J596" s="453"/>
      <c r="K596" s="453"/>
      <c r="L596" s="453"/>
      <c r="M596" s="453"/>
      <c r="N596" s="408" t="s">
        <v>1524</v>
      </c>
      <c r="O596" s="509" t="s">
        <v>1524</v>
      </c>
      <c r="P596" s="506" t="s">
        <v>1797</v>
      </c>
      <c r="Q596" s="337">
        <v>700.0</v>
      </c>
      <c r="R596" s="472" t="s">
        <v>3256</v>
      </c>
    </row>
    <row r="597">
      <c r="A597" s="518" t="str">
        <f>HYPERLINK("https://en.uesp.net/wiki/Skyrim:Wall_of_Storms", "Spell Tome: Wall of Storms")</f>
        <v>Spell Tome: Wall of Storms</v>
      </c>
      <c r="B597" s="63" t="s">
        <v>132</v>
      </c>
      <c r="C597" s="63" t="s">
        <v>132</v>
      </c>
      <c r="D597" s="63" t="s">
        <v>132</v>
      </c>
      <c r="E597" s="453"/>
      <c r="F597" s="453"/>
      <c r="G597" s="453"/>
      <c r="H597" s="453"/>
      <c r="I597" s="453"/>
      <c r="J597" s="453"/>
      <c r="K597" s="453"/>
      <c r="L597" s="453"/>
      <c r="M597" s="453"/>
      <c r="N597" s="408" t="s">
        <v>1524</v>
      </c>
      <c r="O597" s="509" t="s">
        <v>1524</v>
      </c>
      <c r="P597" s="506" t="s">
        <v>1799</v>
      </c>
      <c r="Q597" s="337">
        <v>725.0</v>
      </c>
      <c r="R597" s="472" t="s">
        <v>3256</v>
      </c>
    </row>
    <row r="598">
      <c r="A598" s="518" t="str">
        <f>HYPERLINK("https://en.uesp.net/wiki/Skyrim:Alteration_Spells#Waterbreathing", "Spell Tome: Waterbreathing")</f>
        <v>Spell Tome: Waterbreathing</v>
      </c>
      <c r="B598" s="63" t="s">
        <v>132</v>
      </c>
      <c r="C598" s="63" t="s">
        <v>132</v>
      </c>
      <c r="D598" s="63" t="s">
        <v>132</v>
      </c>
      <c r="E598" s="453"/>
      <c r="F598" s="453"/>
      <c r="G598" s="453"/>
      <c r="H598" s="453"/>
      <c r="I598" s="453"/>
      <c r="J598" s="453"/>
      <c r="K598" s="453"/>
      <c r="L598" s="453"/>
      <c r="M598" s="453"/>
      <c r="N598" s="408" t="s">
        <v>1524</v>
      </c>
      <c r="O598" s="509" t="s">
        <v>1524</v>
      </c>
      <c r="P598" s="506" t="s">
        <v>1655</v>
      </c>
      <c r="Q598" s="337">
        <v>340.0</v>
      </c>
      <c r="R598" s="472" t="s">
        <v>3253</v>
      </c>
    </row>
    <row r="599">
      <c r="A599" s="518" t="str">
        <f>HYPERLINK("https://en.uesp.net/wiki/Skyrim:Whirlwind_Cloak", "Spell Tome: Whirlwind Cloak (DB)")</f>
        <v>Spell Tome: Whirlwind Cloak (DB)</v>
      </c>
      <c r="B599" s="63" t="s">
        <v>132</v>
      </c>
      <c r="C599" s="63" t="s">
        <v>132</v>
      </c>
      <c r="D599" s="63" t="s">
        <v>132</v>
      </c>
      <c r="E599" s="453"/>
      <c r="F599" s="453"/>
      <c r="G599" s="453"/>
      <c r="H599" s="453"/>
      <c r="I599" s="453"/>
      <c r="J599" s="453"/>
      <c r="K599" s="453"/>
      <c r="L599" s="453"/>
      <c r="M599" s="453"/>
      <c r="N599" s="408" t="s">
        <v>1524</v>
      </c>
      <c r="O599" s="509" t="s">
        <v>1524</v>
      </c>
      <c r="P599" s="506" t="s">
        <v>3270</v>
      </c>
      <c r="Q599" s="337">
        <v>395.0</v>
      </c>
      <c r="R599" s="472" t="s">
        <v>3256</v>
      </c>
    </row>
    <row r="600">
      <c r="A600" s="494" t="s">
        <v>3271</v>
      </c>
      <c r="B600" s="495"/>
      <c r="C600" s="495"/>
      <c r="D600" s="495"/>
      <c r="E600" s="522"/>
      <c r="F600" s="523">
        <f>Countif(B602:B770, "Y")+Countif(B602:B770, "N")</f>
        <v>126</v>
      </c>
      <c r="G600" s="495"/>
      <c r="H600" s="495"/>
      <c r="I600" s="495"/>
      <c r="J600" s="495"/>
      <c r="K600" s="495"/>
      <c r="L600" s="495"/>
      <c r="M600" s="495"/>
      <c r="N600" s="524"/>
      <c r="O600" s="495"/>
      <c r="P600" s="495"/>
      <c r="Q600" s="495"/>
      <c r="R600" s="495"/>
    </row>
    <row r="601">
      <c r="A601" s="525" t="str">
        <f>concatenate("Total: ", E601, ", Remaining: ", H601, " (", I601, "%)")</f>
        <v>Total: 169, Remaining: 169 (100%)</v>
      </c>
      <c r="B601" s="496" t="str">
        <f>concatenate(F601, " (", G601, "%)")</f>
        <v>0 (0%)</v>
      </c>
      <c r="C601" s="496" t="str">
        <f>concatenate(J601, " (", K601, "%)")</f>
        <v>0 (0%)</v>
      </c>
      <c r="D601" s="496" t="s">
        <v>1524</v>
      </c>
      <c r="E601" s="523">
        <f>rows(C602:C770)</f>
        <v>169</v>
      </c>
      <c r="F601" s="523">
        <f>Countif(B602:B649, "Y")</f>
        <v>0</v>
      </c>
      <c r="G601" s="526">
        <f>round(100 * (F601 / F600), 0)</f>
        <v>0</v>
      </c>
      <c r="H601" s="526">
        <f>E601 - J601</f>
        <v>169</v>
      </c>
      <c r="I601" s="526">
        <f>round(100 * (H601 / E601), 0)</f>
        <v>100</v>
      </c>
      <c r="J601" s="523">
        <f>Countif(C602:C649, "Y")</f>
        <v>0</v>
      </c>
      <c r="K601" s="523">
        <f>round(100 * (J601 / E601), 0)</f>
        <v>0</v>
      </c>
      <c r="L601" s="523" t="s">
        <v>1524</v>
      </c>
      <c r="M601" s="527" t="s">
        <v>1524</v>
      </c>
      <c r="N601" s="524"/>
      <c r="O601" s="495"/>
      <c r="P601" s="495"/>
      <c r="Q601" s="495"/>
      <c r="R601" s="496"/>
    </row>
    <row r="602">
      <c r="A602" s="518" t="str">
        <f>HYPERLINK("https://en.uesp.net/wiki/Skyrim:Bane_of_the_Undead", "Spell Tome: Bane of the Undead")</f>
        <v>Spell Tome: Bane of the Undead</v>
      </c>
      <c r="B602" s="340" t="s">
        <v>1524</v>
      </c>
      <c r="C602" s="63" t="s">
        <v>132</v>
      </c>
      <c r="D602" s="340" t="s">
        <v>1524</v>
      </c>
      <c r="E602" s="453"/>
      <c r="F602" s="453"/>
      <c r="G602" s="453"/>
      <c r="H602" s="453"/>
      <c r="I602" s="453"/>
      <c r="J602" s="453"/>
      <c r="K602" s="453"/>
      <c r="L602" s="453"/>
      <c r="M602" s="453"/>
      <c r="N602" s="519" t="s">
        <v>1524</v>
      </c>
      <c r="O602" s="520" t="s">
        <v>1524</v>
      </c>
      <c r="P602" s="506" t="s">
        <v>1901</v>
      </c>
      <c r="Q602" s="337">
        <v>1200.0</v>
      </c>
      <c r="R602" s="472" t="s">
        <v>3272</v>
      </c>
    </row>
    <row r="603">
      <c r="A603" s="518" t="str">
        <f>HYPERLINK("https://en.uesp.net/wiki/Skyrim:Conjure_Boneman", "Spell Tome: Conjure Boneman (DG)")</f>
        <v>Spell Tome: Conjure Boneman (DG)</v>
      </c>
      <c r="B603" s="340" t="s">
        <v>1524</v>
      </c>
      <c r="C603" s="63" t="s">
        <v>132</v>
      </c>
      <c r="D603" s="340" t="s">
        <v>1524</v>
      </c>
      <c r="E603" s="453"/>
      <c r="F603" s="453"/>
      <c r="G603" s="453"/>
      <c r="H603" s="453"/>
      <c r="I603" s="453"/>
      <c r="J603" s="453"/>
      <c r="K603" s="453"/>
      <c r="L603" s="453"/>
      <c r="M603" s="453"/>
      <c r="N603" s="519" t="s">
        <v>1524</v>
      </c>
      <c r="O603" s="520" t="s">
        <v>1524</v>
      </c>
      <c r="P603" s="506" t="s">
        <v>3273</v>
      </c>
      <c r="Q603" s="337">
        <v>75.0</v>
      </c>
      <c r="R603" s="472" t="s">
        <v>3255</v>
      </c>
    </row>
    <row r="604">
      <c r="A604" s="518" t="str">
        <f>HYPERLINK("https://en.uesp.net/wiki/Skyrim:Conjure_Mistman", "Spell Tome: Conjure Mistman (DG)")</f>
        <v>Spell Tome: Conjure Mistman (DG)</v>
      </c>
      <c r="B604" s="340" t="s">
        <v>1524</v>
      </c>
      <c r="C604" s="63" t="s">
        <v>132</v>
      </c>
      <c r="D604" s="340" t="s">
        <v>1524</v>
      </c>
      <c r="E604" s="453"/>
      <c r="F604" s="453"/>
      <c r="G604" s="453"/>
      <c r="H604" s="453"/>
      <c r="I604" s="453"/>
      <c r="J604" s="453"/>
      <c r="K604" s="453"/>
      <c r="L604" s="453"/>
      <c r="M604" s="453"/>
      <c r="N604" s="519" t="s">
        <v>1524</v>
      </c>
      <c r="O604" s="520" t="s">
        <v>1524</v>
      </c>
      <c r="P604" s="506" t="s">
        <v>3274</v>
      </c>
      <c r="Q604" s="337">
        <v>75.0</v>
      </c>
      <c r="R604" s="472" t="s">
        <v>3255</v>
      </c>
    </row>
    <row r="605">
      <c r="A605" s="518" t="str">
        <f>HYPERLINK("https://en.uesp.net/wiki/Skyrim:Conjure_Wrathman", "Spell Tome: Conjure Wrathman (DG)")</f>
        <v>Spell Tome: Conjure Wrathman (DG)</v>
      </c>
      <c r="B605" s="340" t="s">
        <v>1524</v>
      </c>
      <c r="C605" s="63" t="s">
        <v>132</v>
      </c>
      <c r="D605" s="340" t="s">
        <v>1524</v>
      </c>
      <c r="E605" s="453"/>
      <c r="F605" s="453"/>
      <c r="G605" s="453"/>
      <c r="H605" s="453"/>
      <c r="I605" s="453"/>
      <c r="J605" s="453"/>
      <c r="K605" s="453"/>
      <c r="L605" s="453"/>
      <c r="M605" s="453"/>
      <c r="N605" s="519" t="s">
        <v>1524</v>
      </c>
      <c r="O605" s="520" t="s">
        <v>1524</v>
      </c>
      <c r="P605" s="506" t="s">
        <v>3275</v>
      </c>
      <c r="Q605" s="337">
        <v>75.0</v>
      </c>
      <c r="R605" s="472" t="s">
        <v>3255</v>
      </c>
    </row>
    <row r="606">
      <c r="A606" s="518" t="str">
        <f>HYPERLINK("https://en.uesp.net/wiki/Skyrim:Dragonhide", "Spell Tome: Dragonhide")</f>
        <v>Spell Tome: Dragonhide</v>
      </c>
      <c r="B606" s="340" t="s">
        <v>1524</v>
      </c>
      <c r="C606" s="63" t="s">
        <v>132</v>
      </c>
      <c r="D606" s="340" t="s">
        <v>1524</v>
      </c>
      <c r="E606" s="453"/>
      <c r="F606" s="453"/>
      <c r="G606" s="453"/>
      <c r="H606" s="453"/>
      <c r="I606" s="453"/>
      <c r="J606" s="453"/>
      <c r="K606" s="453"/>
      <c r="L606" s="453"/>
      <c r="M606" s="453"/>
      <c r="N606" s="519" t="s">
        <v>1524</v>
      </c>
      <c r="O606" s="520" t="s">
        <v>1524</v>
      </c>
      <c r="P606" s="506" t="s">
        <v>1668</v>
      </c>
      <c r="Q606" s="337">
        <v>1389.0</v>
      </c>
      <c r="R606" s="472" t="s">
        <v>3253</v>
      </c>
    </row>
    <row r="607">
      <c r="A607" s="518" t="str">
        <f>HYPERLINK("https://en.uesp.net/wiki/Skyrim:Equilibrium", "Spell Tome: Equilibrium")</f>
        <v>Spell Tome: Equilibrium</v>
      </c>
      <c r="B607" s="340" t="s">
        <v>1524</v>
      </c>
      <c r="C607" s="63" t="s">
        <v>132</v>
      </c>
      <c r="D607" s="340" t="s">
        <v>1524</v>
      </c>
      <c r="E607" s="453"/>
      <c r="F607" s="453"/>
      <c r="G607" s="453"/>
      <c r="H607" s="453"/>
      <c r="I607" s="453"/>
      <c r="J607" s="453"/>
      <c r="K607" s="453"/>
      <c r="L607" s="453"/>
      <c r="M607" s="453"/>
      <c r="N607" s="519" t="s">
        <v>1524</v>
      </c>
      <c r="O607" s="520" t="s">
        <v>1524</v>
      </c>
      <c r="P607" s="506" t="s">
        <v>1629</v>
      </c>
      <c r="Q607" s="337">
        <v>250.0</v>
      </c>
      <c r="R607" s="472" t="s">
        <v>3253</v>
      </c>
    </row>
    <row r="608">
      <c r="A608" s="518" t="str">
        <f>HYPERLINK("https://en.uesp.net/wiki/Skyrim:Fire_Storm", "Spell Tome: Fire Storm")</f>
        <v>Spell Tome: Fire Storm</v>
      </c>
      <c r="B608" s="340" t="s">
        <v>1524</v>
      </c>
      <c r="C608" s="63" t="s">
        <v>132</v>
      </c>
      <c r="D608" s="340" t="s">
        <v>1524</v>
      </c>
      <c r="E608" s="453"/>
      <c r="F608" s="453"/>
      <c r="G608" s="453"/>
      <c r="H608" s="453"/>
      <c r="I608" s="453"/>
      <c r="J608" s="453"/>
      <c r="K608" s="453"/>
      <c r="L608" s="453"/>
      <c r="M608" s="453"/>
      <c r="N608" s="519" t="s">
        <v>1524</v>
      </c>
      <c r="O608" s="520" t="s">
        <v>1524</v>
      </c>
      <c r="P608" s="506" t="s">
        <v>1804</v>
      </c>
      <c r="Q608" s="337">
        <v>1290.0</v>
      </c>
      <c r="R608" s="472" t="s">
        <v>3256</v>
      </c>
    </row>
    <row r="609">
      <c r="A609" s="518" t="str">
        <f>HYPERLINK("https://en.uesp.net/wiki/Skyrim:Flaming_Familiar", "Spell Tome: Flaming Familiar")</f>
        <v>Spell Tome: Flaming Familiar</v>
      </c>
      <c r="B609" s="340" t="s">
        <v>1524</v>
      </c>
      <c r="C609" s="63" t="s">
        <v>132</v>
      </c>
      <c r="D609" s="340" t="s">
        <v>1524</v>
      </c>
      <c r="E609" s="453"/>
      <c r="F609" s="453"/>
      <c r="G609" s="453"/>
      <c r="H609" s="453"/>
      <c r="I609" s="453"/>
      <c r="J609" s="453"/>
      <c r="K609" s="453"/>
      <c r="L609" s="453"/>
      <c r="M609" s="453"/>
      <c r="N609" s="519" t="s">
        <v>1524</v>
      </c>
      <c r="O609" s="520" t="s">
        <v>1524</v>
      </c>
      <c r="P609" s="506" t="s">
        <v>1717</v>
      </c>
      <c r="Q609" s="337">
        <v>250.0</v>
      </c>
      <c r="R609" s="472" t="s">
        <v>3255</v>
      </c>
    </row>
    <row r="610">
      <c r="A610" s="518" t="str">
        <f>HYPERLINK("https://en.uesp.net/wiki/Skyrim:Hysteria", "Spell Tome: Hysteria")</f>
        <v>Spell Tome: Hysteria</v>
      </c>
      <c r="B610" s="340" t="s">
        <v>1524</v>
      </c>
      <c r="C610" s="63" t="s">
        <v>132</v>
      </c>
      <c r="D610" s="340" t="s">
        <v>1524</v>
      </c>
      <c r="E610" s="453"/>
      <c r="F610" s="453"/>
      <c r="G610" s="453"/>
      <c r="H610" s="453"/>
      <c r="I610" s="453"/>
      <c r="J610" s="453"/>
      <c r="K610" s="453"/>
      <c r="L610" s="453"/>
      <c r="M610" s="453"/>
      <c r="N610" s="519" t="s">
        <v>1524</v>
      </c>
      <c r="O610" s="520" t="s">
        <v>1524</v>
      </c>
      <c r="P610" s="506" t="s">
        <v>1846</v>
      </c>
      <c r="Q610" s="337">
        <v>1240.0</v>
      </c>
      <c r="R610" s="472" t="s">
        <v>3259</v>
      </c>
    </row>
    <row r="611">
      <c r="A611" s="515" t="str">
        <f>HYPERLINK("http://en.uesp.net/wiki/Skyrim:Adonato%27s_Book","Adonato's Book")</f>
        <v>Adonato's Book</v>
      </c>
      <c r="B611" s="408" t="s">
        <v>2256</v>
      </c>
      <c r="C611" s="63" t="s">
        <v>132</v>
      </c>
      <c r="D611" s="408" t="s">
        <v>2256</v>
      </c>
      <c r="E611" s="453"/>
      <c r="F611" s="453"/>
      <c r="G611" s="453"/>
      <c r="H611" s="453"/>
      <c r="I611" s="453"/>
      <c r="J611" s="453"/>
      <c r="K611" s="453"/>
      <c r="L611" s="453"/>
      <c r="M611" s="453"/>
      <c r="N611" s="519" t="s">
        <v>1524</v>
      </c>
      <c r="O611" s="508" t="s">
        <v>3276</v>
      </c>
      <c r="P611" s="506" t="s">
        <v>3277</v>
      </c>
      <c r="Q611" s="340">
        <v>40.0</v>
      </c>
      <c r="R611" s="508" t="s">
        <v>2440</v>
      </c>
    </row>
    <row r="612">
      <c r="A612" s="515" t="str">
        <f>HYPERLINK("http://en.uesp.net/wiki/Skyrim:Arondil%27s_Journal,_Part_1","Arondil's Journal, Part 1")</f>
        <v>Arondil's Journal, Part 1</v>
      </c>
      <c r="B612" s="340" t="s">
        <v>1524</v>
      </c>
      <c r="C612" s="63" t="s">
        <v>132</v>
      </c>
      <c r="D612" s="340" t="s">
        <v>1524</v>
      </c>
      <c r="E612" s="453"/>
      <c r="F612" s="453"/>
      <c r="G612" s="453"/>
      <c r="H612" s="453"/>
      <c r="I612" s="453"/>
      <c r="J612" s="453"/>
      <c r="K612" s="453"/>
      <c r="L612" s="453"/>
      <c r="M612" s="453"/>
      <c r="N612" s="519" t="s">
        <v>1524</v>
      </c>
      <c r="O612" s="506" t="s">
        <v>3278</v>
      </c>
      <c r="P612" s="506" t="s">
        <v>3279</v>
      </c>
      <c r="Q612" s="340">
        <v>5.0</v>
      </c>
      <c r="R612" s="508" t="s">
        <v>2536</v>
      </c>
    </row>
    <row r="613">
      <c r="A613" s="515" t="str">
        <f>HYPERLINK("http://en.uesp.net/wiki/Skyrim:Arondil%27s_Journal,_Part_2","Arondil's Journal, Part 2")</f>
        <v>Arondil's Journal, Part 2</v>
      </c>
      <c r="B613" s="340" t="s">
        <v>1524</v>
      </c>
      <c r="C613" s="63" t="s">
        <v>132</v>
      </c>
      <c r="D613" s="340" t="s">
        <v>1524</v>
      </c>
      <c r="E613" s="453"/>
      <c r="F613" s="453"/>
      <c r="G613" s="453"/>
      <c r="H613" s="453"/>
      <c r="I613" s="453"/>
      <c r="J613" s="453"/>
      <c r="K613" s="453"/>
      <c r="L613" s="453"/>
      <c r="M613" s="453"/>
      <c r="N613" s="519" t="s">
        <v>1524</v>
      </c>
      <c r="O613" s="505" t="s">
        <v>3278</v>
      </c>
      <c r="P613" s="506" t="s">
        <v>3280</v>
      </c>
      <c r="Q613" s="340">
        <v>5.0</v>
      </c>
      <c r="R613" s="453" t="s">
        <v>2536</v>
      </c>
    </row>
    <row r="614">
      <c r="A614" s="515" t="str">
        <f>HYPERLINK("http://en.uesp.net/wiki/Skyrim:Arondil%27s_Journal,_Part_3","Arondil's Journal, Part 3")</f>
        <v>Arondil's Journal, Part 3</v>
      </c>
      <c r="B614" s="340" t="s">
        <v>1524</v>
      </c>
      <c r="C614" s="63" t="s">
        <v>132</v>
      </c>
      <c r="D614" s="340" t="s">
        <v>1524</v>
      </c>
      <c r="E614" s="453"/>
      <c r="F614" s="453"/>
      <c r="G614" s="453"/>
      <c r="H614" s="453"/>
      <c r="I614" s="453"/>
      <c r="J614" s="453"/>
      <c r="K614" s="453"/>
      <c r="L614" s="453"/>
      <c r="M614" s="453"/>
      <c r="N614" s="519" t="s">
        <v>1524</v>
      </c>
      <c r="O614" s="505" t="s">
        <v>3278</v>
      </c>
      <c r="P614" s="506" t="s">
        <v>3281</v>
      </c>
      <c r="Q614" s="340">
        <v>5.0</v>
      </c>
      <c r="R614" s="453" t="s">
        <v>2536</v>
      </c>
    </row>
    <row r="615">
      <c r="A615" s="515" t="str">
        <f>HYPERLINK("http://en.uesp.net/wiki/Skyrim:Arondil%27s_Journal,_Part_4","Arondil's Journal, Part 4")</f>
        <v>Arondil's Journal, Part 4</v>
      </c>
      <c r="B615" s="340" t="s">
        <v>1524</v>
      </c>
      <c r="C615" s="63" t="s">
        <v>132</v>
      </c>
      <c r="D615" s="340" t="s">
        <v>1524</v>
      </c>
      <c r="E615" s="453"/>
      <c r="F615" s="453"/>
      <c r="G615" s="453"/>
      <c r="H615" s="453"/>
      <c r="I615" s="453"/>
      <c r="J615" s="453"/>
      <c r="K615" s="453"/>
      <c r="L615" s="453"/>
      <c r="M615" s="453"/>
      <c r="N615" s="519" t="s">
        <v>1524</v>
      </c>
      <c r="O615" s="505" t="s">
        <v>3278</v>
      </c>
      <c r="P615" s="506" t="s">
        <v>3282</v>
      </c>
      <c r="Q615" s="340">
        <v>5.0</v>
      </c>
      <c r="R615" s="508" t="s">
        <v>2536</v>
      </c>
    </row>
    <row r="616">
      <c r="A616" s="528" t="str">
        <f>HYPERLINK("http://en.uesp.net/wiki/Skyrim:Black_Book:_Epistolary_Acumen_(book)","Black Book: Epistolary Acumen (DB)")</f>
        <v>Black Book: Epistolary Acumen (DB)</v>
      </c>
      <c r="B616" s="63" t="s">
        <v>132</v>
      </c>
      <c r="C616" s="63" t="s">
        <v>132</v>
      </c>
      <c r="D616" s="63" t="s">
        <v>1524</v>
      </c>
      <c r="E616" s="503"/>
      <c r="F616" s="503"/>
      <c r="G616" s="503"/>
      <c r="H616" s="503"/>
      <c r="I616" s="503"/>
      <c r="J616" s="503"/>
      <c r="K616" s="503"/>
      <c r="L616" s="503"/>
      <c r="M616" s="503"/>
      <c r="N616" s="320" t="s">
        <v>1524</v>
      </c>
      <c r="O616" s="508" t="s">
        <v>3283</v>
      </c>
      <c r="P616" s="506" t="s">
        <v>2588</v>
      </c>
      <c r="Q616" s="340">
        <v>2000.0</v>
      </c>
      <c r="R616" s="503" t="s">
        <v>2440</v>
      </c>
    </row>
    <row r="617">
      <c r="A617" s="529" t="str">
        <f>HYPERLINK("http://en.uesp.net/wiki/Skyrim:Black_Book:_Filament_and_Filigree_(book)","Black Book: Filament and Filigree (DB)")</f>
        <v>Black Book: Filament and Filigree (DB)</v>
      </c>
      <c r="B617" s="63" t="s">
        <v>132</v>
      </c>
      <c r="C617" s="63" t="s">
        <v>132</v>
      </c>
      <c r="D617" s="63" t="s">
        <v>1524</v>
      </c>
      <c r="E617" s="503"/>
      <c r="F617" s="503"/>
      <c r="G617" s="503"/>
      <c r="H617" s="503"/>
      <c r="I617" s="503"/>
      <c r="J617" s="503"/>
      <c r="K617" s="503"/>
      <c r="L617" s="503"/>
      <c r="M617" s="503"/>
      <c r="N617" s="320" t="s">
        <v>1524</v>
      </c>
      <c r="O617" s="508" t="s">
        <v>3284</v>
      </c>
      <c r="P617" s="506" t="s">
        <v>3285</v>
      </c>
      <c r="Q617" s="340">
        <v>2000.0</v>
      </c>
      <c r="R617" s="453" t="s">
        <v>2440</v>
      </c>
    </row>
    <row r="618">
      <c r="A618" s="510" t="str">
        <f>HYPERLINK("http://en.uesp.net/wiki/Skyrim:Black_Book:_The_Hidden_Twilight_(book)","Black Book: The Hidden Twilight (DB)")</f>
        <v>Black Book: The Hidden Twilight (DB)</v>
      </c>
      <c r="B618" s="63" t="s">
        <v>132</v>
      </c>
      <c r="C618" s="63" t="s">
        <v>132</v>
      </c>
      <c r="D618" s="63" t="s">
        <v>1524</v>
      </c>
      <c r="E618" s="503"/>
      <c r="F618" s="503"/>
      <c r="G618" s="503"/>
      <c r="H618" s="503"/>
      <c r="I618" s="503"/>
      <c r="J618" s="503"/>
      <c r="K618" s="503"/>
      <c r="L618" s="503"/>
      <c r="M618" s="503"/>
      <c r="N618" s="320" t="s">
        <v>1524</v>
      </c>
      <c r="O618" s="508" t="s">
        <v>3286</v>
      </c>
      <c r="P618" s="506" t="s">
        <v>3285</v>
      </c>
      <c r="Q618" s="340">
        <v>2000.0</v>
      </c>
      <c r="R618" s="453" t="s">
        <v>2440</v>
      </c>
    </row>
    <row r="619">
      <c r="A619" s="510" t="str">
        <f>HYPERLINK("http://en.uesp.net/wiki/Skyrim:Black_Book:_The_Sallow_Regent_(book)","Black Book: The Sallow Regent (DB)")</f>
        <v>Black Book: The Sallow Regent (DB)</v>
      </c>
      <c r="B619" s="63" t="s">
        <v>132</v>
      </c>
      <c r="C619" s="63" t="s">
        <v>132</v>
      </c>
      <c r="D619" s="63" t="s">
        <v>1524</v>
      </c>
      <c r="E619" s="503"/>
      <c r="F619" s="503"/>
      <c r="G619" s="503"/>
      <c r="H619" s="503"/>
      <c r="I619" s="503"/>
      <c r="J619" s="503"/>
      <c r="K619" s="503"/>
      <c r="L619" s="503"/>
      <c r="M619" s="503"/>
      <c r="N619" s="504" t="s">
        <v>1524</v>
      </c>
      <c r="O619" s="345" t="s">
        <v>3287</v>
      </c>
      <c r="P619" s="506" t="s">
        <v>3288</v>
      </c>
      <c r="Q619" s="340">
        <v>2000.0</v>
      </c>
      <c r="R619" s="503" t="s">
        <v>2440</v>
      </c>
    </row>
    <row r="620" ht="15.75" customHeight="1">
      <c r="A620" s="510" t="str">
        <f>HYPERLINK("http://en.uesp.net/wiki/Skyrim:Black_Book:_The_Winds_of_Change_(book)","Black Book: The Winds of Change (DB)")</f>
        <v>Black Book: The Winds of Change (DB)</v>
      </c>
      <c r="B620" s="63" t="s">
        <v>132</v>
      </c>
      <c r="C620" s="63" t="s">
        <v>132</v>
      </c>
      <c r="D620" s="63" t="s">
        <v>1524</v>
      </c>
      <c r="E620" s="503"/>
      <c r="F620" s="503"/>
      <c r="G620" s="503"/>
      <c r="H620" s="503"/>
      <c r="I620" s="503"/>
      <c r="J620" s="503"/>
      <c r="K620" s="503"/>
      <c r="L620" s="503"/>
      <c r="M620" s="503"/>
      <c r="N620" s="320" t="s">
        <v>1524</v>
      </c>
      <c r="O620" s="508" t="s">
        <v>3289</v>
      </c>
      <c r="P620" s="506" t="s">
        <v>3290</v>
      </c>
      <c r="Q620" s="340">
        <v>2000.0</v>
      </c>
      <c r="R620" s="503" t="s">
        <v>2440</v>
      </c>
    </row>
    <row r="621">
      <c r="A621" s="510" t="str">
        <f>HYPERLINK("http://en.uesp.net/wiki/Skyrim:Black_Book:_Untold_Legends_(book)","Black Book: Untold Legends (DB)")</f>
        <v>Black Book: Untold Legends (DB)</v>
      </c>
      <c r="B621" s="63" t="s">
        <v>132</v>
      </c>
      <c r="C621" s="63" t="s">
        <v>132</v>
      </c>
      <c r="D621" s="63" t="s">
        <v>1524</v>
      </c>
      <c r="E621" s="503"/>
      <c r="F621" s="503"/>
      <c r="G621" s="503"/>
      <c r="H621" s="503"/>
      <c r="I621" s="503"/>
      <c r="J621" s="503"/>
      <c r="K621" s="503"/>
      <c r="L621" s="503"/>
      <c r="M621" s="503"/>
      <c r="N621" s="320" t="s">
        <v>1524</v>
      </c>
      <c r="O621" s="506" t="s">
        <v>2481</v>
      </c>
      <c r="P621" s="506" t="s">
        <v>3291</v>
      </c>
      <c r="Q621" s="340">
        <v>2000.0</v>
      </c>
      <c r="R621" s="503" t="s">
        <v>2440</v>
      </c>
    </row>
    <row r="622">
      <c r="A622" s="510" t="str">
        <f>HYPERLINK("http://en.uesp.net/wiki/Skyrim:Black_Book:_Waking_Dreams_(book)","Black Book: Waking Dreams (DB)")</f>
        <v>Black Book: Waking Dreams (DB)</v>
      </c>
      <c r="B622" s="63" t="s">
        <v>132</v>
      </c>
      <c r="C622" s="63" t="s">
        <v>132</v>
      </c>
      <c r="D622" s="63" t="s">
        <v>1524</v>
      </c>
      <c r="E622" s="503"/>
      <c r="F622" s="503"/>
      <c r="G622" s="503"/>
      <c r="H622" s="503"/>
      <c r="I622" s="503"/>
      <c r="J622" s="503"/>
      <c r="K622" s="503"/>
      <c r="L622" s="503"/>
      <c r="M622" s="503"/>
      <c r="N622" s="320" t="s">
        <v>1524</v>
      </c>
      <c r="O622" s="508" t="s">
        <v>3292</v>
      </c>
      <c r="P622" s="506" t="s">
        <v>3293</v>
      </c>
      <c r="Q622" s="340">
        <v>2000.0</v>
      </c>
      <c r="R622" s="503" t="s">
        <v>2440</v>
      </c>
    </row>
    <row r="623">
      <c r="A623" s="515" t="str">
        <f>HYPERLINK("https://en.uesp.net/wiki/Skyrim:Elder_Scroll#Elder_Scroll_.28Blood.29","Elder Scroll (Blood)")</f>
        <v>Elder Scroll (Blood)</v>
      </c>
      <c r="B623" s="340" t="s">
        <v>1524</v>
      </c>
      <c r="C623" s="63" t="s">
        <v>132</v>
      </c>
      <c r="D623" s="340" t="s">
        <v>1524</v>
      </c>
      <c r="E623" s="453"/>
      <c r="F623" s="453"/>
      <c r="G623" s="453"/>
      <c r="H623" s="453"/>
      <c r="I623" s="453"/>
      <c r="J623" s="453"/>
      <c r="K623" s="453"/>
      <c r="L623" s="453"/>
      <c r="M623" s="453"/>
      <c r="N623" s="519" t="s">
        <v>1524</v>
      </c>
      <c r="O623" s="530" t="s">
        <v>1524</v>
      </c>
      <c r="P623" s="472" t="s">
        <v>3294</v>
      </c>
      <c r="Q623" s="42">
        <v>0.0</v>
      </c>
      <c r="R623" s="472" t="s">
        <v>2440</v>
      </c>
    </row>
    <row r="624">
      <c r="A624" s="515" t="str">
        <f>HYPERLINK("https://en.uesp.net/wiki/Skyrim:Elder_Scroll#Elder_Scroll_.28Dragon.29","Elder Scroll (Dragon)")</f>
        <v>Elder Scroll (Dragon)</v>
      </c>
      <c r="B624" s="340" t="s">
        <v>1524</v>
      </c>
      <c r="C624" s="63" t="s">
        <v>132</v>
      </c>
      <c r="D624" s="340" t="s">
        <v>1524</v>
      </c>
      <c r="E624" s="453"/>
      <c r="F624" s="453"/>
      <c r="G624" s="453"/>
      <c r="H624" s="453"/>
      <c r="I624" s="453"/>
      <c r="J624" s="453"/>
      <c r="K624" s="453"/>
      <c r="L624" s="453"/>
      <c r="M624" s="453"/>
      <c r="N624" s="519" t="s">
        <v>1524</v>
      </c>
      <c r="O624" s="530" t="s">
        <v>1524</v>
      </c>
      <c r="P624" s="472" t="s">
        <v>3295</v>
      </c>
      <c r="Q624" s="42">
        <v>0.0</v>
      </c>
      <c r="R624" s="472" t="s">
        <v>2440</v>
      </c>
    </row>
    <row r="625">
      <c r="A625" s="515" t="str">
        <f>HYPERLINK("https://en.uesp.net/wiki/Skyrim:Elder_Scroll#Elder_Scroll_.28Sun.29","Elder Scroll (Sun)")</f>
        <v>Elder Scroll (Sun)</v>
      </c>
      <c r="B625" s="340" t="s">
        <v>1524</v>
      </c>
      <c r="C625" s="63" t="s">
        <v>132</v>
      </c>
      <c r="D625" s="340" t="s">
        <v>1524</v>
      </c>
      <c r="E625" s="453"/>
      <c r="F625" s="453"/>
      <c r="G625" s="453"/>
      <c r="H625" s="453"/>
      <c r="I625" s="453"/>
      <c r="J625" s="453"/>
      <c r="K625" s="453"/>
      <c r="L625" s="453"/>
      <c r="M625" s="453"/>
      <c r="N625" s="519" t="s">
        <v>1524</v>
      </c>
      <c r="O625" s="530" t="s">
        <v>1524</v>
      </c>
      <c r="P625" s="472" t="s">
        <v>3294</v>
      </c>
      <c r="Q625" s="42">
        <v>0.0</v>
      </c>
      <c r="R625" s="472" t="s">
        <v>2440</v>
      </c>
    </row>
    <row r="626">
      <c r="A626" s="515" t="str">
        <f>HYPERLINK("https://en.uesp.net/wiki/Skyrim:Gratian's_Journal", "Gratian's Journal (DB)")</f>
        <v>Gratian's Journal (DB)</v>
      </c>
      <c r="B626" s="340" t="s">
        <v>1524</v>
      </c>
      <c r="C626" s="63" t="s">
        <v>132</v>
      </c>
      <c r="D626" s="340" t="s">
        <v>1524</v>
      </c>
      <c r="E626" s="453"/>
      <c r="F626" s="453"/>
      <c r="G626" s="453"/>
      <c r="H626" s="453"/>
      <c r="I626" s="453"/>
      <c r="J626" s="453"/>
      <c r="K626" s="453"/>
      <c r="L626" s="453"/>
      <c r="M626" s="453"/>
      <c r="N626" s="519" t="s">
        <v>1524</v>
      </c>
      <c r="O626" s="505" t="s">
        <v>3296</v>
      </c>
      <c r="P626" s="472" t="s">
        <v>3297</v>
      </c>
      <c r="Q626" s="340">
        <v>125.0</v>
      </c>
      <c r="R626" s="453" t="s">
        <v>2536</v>
      </c>
    </row>
    <row r="627">
      <c r="A627" s="515" t="str">
        <f>HYPERLINK("http://en.uesp.net/wiki/Skyrim:Imperial_Missive_(Battle-Born)","Imperial Missive")</f>
        <v>Imperial Missive</v>
      </c>
      <c r="B627" s="340" t="s">
        <v>1524</v>
      </c>
      <c r="C627" s="63" t="s">
        <v>132</v>
      </c>
      <c r="D627" s="340" t="s">
        <v>1524</v>
      </c>
      <c r="E627" s="453"/>
      <c r="F627" s="453"/>
      <c r="G627" s="453"/>
      <c r="H627" s="453"/>
      <c r="I627" s="453"/>
      <c r="J627" s="453"/>
      <c r="K627" s="453"/>
      <c r="L627" s="453"/>
      <c r="M627" s="453"/>
      <c r="N627" s="519" t="s">
        <v>1524</v>
      </c>
      <c r="O627" s="345" t="s">
        <v>378</v>
      </c>
      <c r="P627" s="506" t="s">
        <v>3298</v>
      </c>
      <c r="Q627" s="340">
        <v>0.0</v>
      </c>
      <c r="R627" s="453" t="s">
        <v>2654</v>
      </c>
    </row>
    <row r="628">
      <c r="A628" s="515" t="str">
        <f>HYPERLINK("http://en.uesp.net/wiki/Skyrim:King_Olaf%27s_Verse","King Olaf's Verse")</f>
        <v>King Olaf's Verse</v>
      </c>
      <c r="B628" s="340" t="s">
        <v>1524</v>
      </c>
      <c r="C628" s="63" t="s">
        <v>132</v>
      </c>
      <c r="D628" s="340" t="s">
        <v>1524</v>
      </c>
      <c r="E628" s="453"/>
      <c r="F628" s="453"/>
      <c r="G628" s="453"/>
      <c r="H628" s="453"/>
      <c r="I628" s="453"/>
      <c r="J628" s="453"/>
      <c r="K628" s="453"/>
      <c r="L628" s="453"/>
      <c r="M628" s="453"/>
      <c r="N628" s="519" t="s">
        <v>1524</v>
      </c>
      <c r="O628" s="345" t="s">
        <v>2481</v>
      </c>
      <c r="P628" s="506" t="s">
        <v>3299</v>
      </c>
      <c r="Q628" s="340">
        <v>30.0</v>
      </c>
      <c r="R628" s="453" t="s">
        <v>2440</v>
      </c>
    </row>
    <row r="629">
      <c r="A629" s="515" t="str">
        <f>HYPERLINK("http://en.uesp.net/wiki/Skyrim:Love_Poem","Love Poem")</f>
        <v>Love Poem</v>
      </c>
      <c r="B629" s="340" t="s">
        <v>1524</v>
      </c>
      <c r="C629" s="63" t="s">
        <v>132</v>
      </c>
      <c r="D629" s="340" t="s">
        <v>1524</v>
      </c>
      <c r="E629" s="453"/>
      <c r="F629" s="453"/>
      <c r="G629" s="453"/>
      <c r="H629" s="453"/>
      <c r="I629" s="453"/>
      <c r="J629" s="453"/>
      <c r="K629" s="453"/>
      <c r="L629" s="453"/>
      <c r="M629" s="453"/>
      <c r="N629" s="519" t="s">
        <v>1524</v>
      </c>
      <c r="O629" s="345" t="s">
        <v>3300</v>
      </c>
      <c r="P629" s="506" t="s">
        <v>3301</v>
      </c>
      <c r="Q629" s="340">
        <v>5.0</v>
      </c>
      <c r="R629" s="508" t="s">
        <v>2440</v>
      </c>
    </row>
    <row r="630">
      <c r="A630" s="515" t="str">
        <f>HYPERLINK("https://en.uesp.net/wiki/Skyrim:Lusty_Argonian_Maid_Folio", "Lusty Argonian Maid Folio (DB)")</f>
        <v>Lusty Argonian Maid Folio (DB)</v>
      </c>
      <c r="B630" s="340" t="s">
        <v>1524</v>
      </c>
      <c r="C630" s="63" t="s">
        <v>132</v>
      </c>
      <c r="D630" s="340" t="s">
        <v>1524</v>
      </c>
      <c r="E630" s="453"/>
      <c r="F630" s="453"/>
      <c r="G630" s="453"/>
      <c r="H630" s="453"/>
      <c r="I630" s="453"/>
      <c r="J630" s="453"/>
      <c r="K630" s="453"/>
      <c r="L630" s="453"/>
      <c r="M630" s="453"/>
      <c r="N630" s="519" t="s">
        <v>1524</v>
      </c>
      <c r="O630" s="505" t="s">
        <v>3107</v>
      </c>
      <c r="P630" s="506" t="s">
        <v>3108</v>
      </c>
      <c r="Q630" s="340">
        <v>25.0</v>
      </c>
      <c r="R630" s="508" t="s">
        <v>2440</v>
      </c>
    </row>
    <row r="631">
      <c r="A631" s="515" t="str">
        <f>HYPERLINK("http://en.uesp.net/wiki/Skyrim:Lymdrenn_Tenvanni%27s_Journal","Lymdrenn Tenvanni's Journal")</f>
        <v>Lymdrenn Tenvanni's Journal</v>
      </c>
      <c r="B631" s="340" t="s">
        <v>1524</v>
      </c>
      <c r="C631" s="63" t="s">
        <v>132</v>
      </c>
      <c r="D631" s="340" t="s">
        <v>1524</v>
      </c>
      <c r="E631" s="453"/>
      <c r="F631" s="453"/>
      <c r="G631" s="453"/>
      <c r="H631" s="453"/>
      <c r="I631" s="453"/>
      <c r="J631" s="453"/>
      <c r="K631" s="453"/>
      <c r="L631" s="453"/>
      <c r="M631" s="453"/>
      <c r="N631" s="519" t="s">
        <v>1524</v>
      </c>
      <c r="O631" s="503" t="s">
        <v>3302</v>
      </c>
      <c r="P631" s="453" t="s">
        <v>3303</v>
      </c>
      <c r="Q631" s="340">
        <v>5.0</v>
      </c>
      <c r="R631" s="508" t="s">
        <v>2536</v>
      </c>
    </row>
    <row r="632">
      <c r="A632" s="515" t="str">
        <f>HYPERLINK("http://en.uesp.net/wiki/Skyrim:Master_Illusion_Text_(1)","Master Illusion Text")</f>
        <v>Master Illusion Text</v>
      </c>
      <c r="B632" s="340" t="s">
        <v>1524</v>
      </c>
      <c r="C632" s="63" t="s">
        <v>132</v>
      </c>
      <c r="D632" s="340" t="s">
        <v>1524</v>
      </c>
      <c r="E632" s="453"/>
      <c r="F632" s="453"/>
      <c r="G632" s="453"/>
      <c r="H632" s="453"/>
      <c r="I632" s="453"/>
      <c r="J632" s="453"/>
      <c r="K632" s="453"/>
      <c r="L632" s="453"/>
      <c r="M632" s="453"/>
      <c r="N632" s="519" t="s">
        <v>1524</v>
      </c>
      <c r="O632" s="345" t="s">
        <v>2481</v>
      </c>
      <c r="P632" s="506" t="s">
        <v>3304</v>
      </c>
      <c r="Q632" s="340">
        <v>5.0</v>
      </c>
      <c r="R632" s="453" t="s">
        <v>2440</v>
      </c>
    </row>
    <row r="633">
      <c r="A633" s="515" t="str">
        <f>HYPERLINK("http://en.uesp.net/wiki/Skyrim:Master_Illusion_Text_(2)","Master Illusion Text")</f>
        <v>Master Illusion Text</v>
      </c>
      <c r="B633" s="340" t="s">
        <v>1524</v>
      </c>
      <c r="C633" s="63" t="s">
        <v>132</v>
      </c>
      <c r="D633" s="340" t="s">
        <v>1524</v>
      </c>
      <c r="E633" s="453"/>
      <c r="F633" s="453"/>
      <c r="G633" s="453"/>
      <c r="H633" s="453"/>
      <c r="I633" s="453"/>
      <c r="J633" s="453"/>
      <c r="K633" s="453"/>
      <c r="L633" s="453"/>
      <c r="M633" s="453"/>
      <c r="N633" s="519" t="s">
        <v>1524</v>
      </c>
      <c r="O633" s="345" t="s">
        <v>2481</v>
      </c>
      <c r="P633" s="506" t="s">
        <v>3304</v>
      </c>
      <c r="Q633" s="340">
        <v>5.0</v>
      </c>
      <c r="R633" s="453" t="s">
        <v>2440</v>
      </c>
    </row>
    <row r="634">
      <c r="A634" s="515" t="str">
        <f>HYPERLINK("http://en.uesp.net/wiki/Skyrim:Master_Illusion_Text_(3)","Master Illusion Text")</f>
        <v>Master Illusion Text</v>
      </c>
      <c r="B634" s="340" t="s">
        <v>1524</v>
      </c>
      <c r="C634" s="63" t="s">
        <v>132</v>
      </c>
      <c r="D634" s="340" t="s">
        <v>1524</v>
      </c>
      <c r="E634" s="453"/>
      <c r="F634" s="453"/>
      <c r="G634" s="453"/>
      <c r="H634" s="453"/>
      <c r="I634" s="453"/>
      <c r="J634" s="453"/>
      <c r="K634" s="453"/>
      <c r="L634" s="453"/>
      <c r="M634" s="453"/>
      <c r="N634" s="519" t="s">
        <v>1524</v>
      </c>
      <c r="O634" s="345" t="s">
        <v>2481</v>
      </c>
      <c r="P634" s="506" t="s">
        <v>3304</v>
      </c>
      <c r="Q634" s="340">
        <v>5.0</v>
      </c>
      <c r="R634" s="508" t="s">
        <v>2440</v>
      </c>
    </row>
    <row r="635">
      <c r="A635" s="515" t="str">
        <f>HYPERLINK("http://en.uesp.net/wiki/Skyrim:Master_Illusion_Text_(4)","Master Illusion Text")</f>
        <v>Master Illusion Text</v>
      </c>
      <c r="B635" s="340" t="s">
        <v>1524</v>
      </c>
      <c r="C635" s="63" t="s">
        <v>132</v>
      </c>
      <c r="D635" s="340" t="s">
        <v>1524</v>
      </c>
      <c r="E635" s="453"/>
      <c r="F635" s="453"/>
      <c r="G635" s="453"/>
      <c r="H635" s="453"/>
      <c r="I635" s="453"/>
      <c r="J635" s="453"/>
      <c r="K635" s="453"/>
      <c r="L635" s="453"/>
      <c r="M635" s="453"/>
      <c r="N635" s="519" t="s">
        <v>1524</v>
      </c>
      <c r="O635" s="345" t="s">
        <v>2481</v>
      </c>
      <c r="P635" s="506" t="s">
        <v>3304</v>
      </c>
      <c r="Q635" s="340">
        <v>5.0</v>
      </c>
      <c r="R635" s="453" t="s">
        <v>2440</v>
      </c>
    </row>
    <row r="636">
      <c r="A636" s="515" t="str">
        <f>HYPERLINK("http://en.uesp.net/wiki/Skyrim:Night_of_Tears","Night of Tears")</f>
        <v>Night of Tears</v>
      </c>
      <c r="B636" s="340" t="s">
        <v>1524</v>
      </c>
      <c r="C636" s="63" t="s">
        <v>132</v>
      </c>
      <c r="D636" s="340" t="s">
        <v>1524</v>
      </c>
      <c r="E636" s="453"/>
      <c r="F636" s="453"/>
      <c r="G636" s="453"/>
      <c r="H636" s="453"/>
      <c r="I636" s="453"/>
      <c r="J636" s="453"/>
      <c r="K636" s="453"/>
      <c r="L636" s="453"/>
      <c r="M636" s="453"/>
      <c r="N636" s="519" t="s">
        <v>1524</v>
      </c>
      <c r="O636" s="345" t="s">
        <v>3305</v>
      </c>
      <c r="P636" s="506" t="s">
        <v>3306</v>
      </c>
      <c r="Q636" s="340">
        <v>5.0</v>
      </c>
      <c r="R636" s="508" t="s">
        <v>2440</v>
      </c>
    </row>
    <row r="637">
      <c r="A637" s="515" t="str">
        <f>HYPERLINK("https://en.uesp.net/wiki/Skyrim:On_Apocrypha:_Boneless_Limbs", "On Apocrypha: Boneless Limbs (DB)")</f>
        <v>On Apocrypha: Boneless Limbs (DB)</v>
      </c>
      <c r="B637" s="340" t="s">
        <v>1524</v>
      </c>
      <c r="C637" s="63" t="s">
        <v>132</v>
      </c>
      <c r="D637" s="340" t="s">
        <v>1524</v>
      </c>
      <c r="E637" s="453"/>
      <c r="F637" s="453"/>
      <c r="G637" s="453"/>
      <c r="H637" s="453"/>
      <c r="I637" s="453"/>
      <c r="J637" s="453"/>
      <c r="K637" s="453"/>
      <c r="L637" s="453"/>
      <c r="M637" s="453"/>
      <c r="N637" s="519" t="s">
        <v>1524</v>
      </c>
      <c r="O637" s="505" t="s">
        <v>2481</v>
      </c>
      <c r="P637" s="514" t="s">
        <v>3307</v>
      </c>
      <c r="Q637" s="340">
        <v>100.0</v>
      </c>
      <c r="R637" s="508" t="s">
        <v>2440</v>
      </c>
    </row>
    <row r="638">
      <c r="A638" s="515" t="str">
        <f>HYPERLINK("https://en.uesp.net/wiki/Skyrim:On_Apocrypha:_Delving_Pincers", "On Apocrypha: Delving Pincers (DB)")</f>
        <v>On Apocrypha: Delving Pincers (DB)</v>
      </c>
      <c r="B638" s="340" t="s">
        <v>1524</v>
      </c>
      <c r="C638" s="63" t="s">
        <v>132</v>
      </c>
      <c r="D638" s="340" t="s">
        <v>1524</v>
      </c>
      <c r="E638" s="453"/>
      <c r="F638" s="453"/>
      <c r="G638" s="453"/>
      <c r="H638" s="453"/>
      <c r="I638" s="453"/>
      <c r="J638" s="453"/>
      <c r="K638" s="453"/>
      <c r="L638" s="453"/>
      <c r="M638" s="453"/>
      <c r="N638" s="519" t="s">
        <v>1524</v>
      </c>
      <c r="O638" s="505" t="s">
        <v>2481</v>
      </c>
      <c r="P638" s="514" t="s">
        <v>3307</v>
      </c>
      <c r="Q638" s="340">
        <v>100.0</v>
      </c>
      <c r="R638" s="508" t="s">
        <v>2440</v>
      </c>
    </row>
    <row r="639">
      <c r="A639" s="515" t="str">
        <f>HYPERLINK("https://en.uesp.net/wiki/Skyrim:On_Apocrypha:_Gnashing_Blades", "On Apocrypha: Gnashing Blades (DB)")</f>
        <v>On Apocrypha: Gnashing Blades (DB)</v>
      </c>
      <c r="B639" s="340" t="s">
        <v>1524</v>
      </c>
      <c r="C639" s="63" t="s">
        <v>132</v>
      </c>
      <c r="D639" s="340" t="s">
        <v>1524</v>
      </c>
      <c r="E639" s="453"/>
      <c r="F639" s="453"/>
      <c r="G639" s="453"/>
      <c r="H639" s="453"/>
      <c r="I639" s="453"/>
      <c r="J639" s="453"/>
      <c r="K639" s="453"/>
      <c r="L639" s="453"/>
      <c r="M639" s="453"/>
      <c r="N639" s="519" t="s">
        <v>1524</v>
      </c>
      <c r="O639" s="505" t="s">
        <v>2481</v>
      </c>
      <c r="P639" s="514" t="s">
        <v>3307</v>
      </c>
      <c r="Q639" s="340">
        <v>100.0</v>
      </c>
      <c r="R639" s="508" t="s">
        <v>2440</v>
      </c>
    </row>
    <row r="640">
      <c r="A640" s="515" t="str">
        <f>HYPERLINK("https://en.uesp.net/wiki/Skyrim:On_Apocrypha:_Prying_Orbs", "On Apocrypha: Prying Orbs (DB)")</f>
        <v>On Apocrypha: Prying Orbs (DB)</v>
      </c>
      <c r="B640" s="340" t="s">
        <v>1524</v>
      </c>
      <c r="C640" s="63" t="s">
        <v>132</v>
      </c>
      <c r="D640" s="340" t="s">
        <v>1524</v>
      </c>
      <c r="E640" s="453"/>
      <c r="F640" s="453"/>
      <c r="G640" s="453"/>
      <c r="H640" s="453"/>
      <c r="I640" s="453"/>
      <c r="J640" s="453"/>
      <c r="K640" s="453"/>
      <c r="L640" s="453"/>
      <c r="M640" s="453"/>
      <c r="N640" s="519" t="s">
        <v>1524</v>
      </c>
      <c r="O640" s="505" t="s">
        <v>2481</v>
      </c>
      <c r="P640" s="514" t="s">
        <v>3307</v>
      </c>
      <c r="Q640" s="340">
        <v>100.0</v>
      </c>
      <c r="R640" s="508" t="s">
        <v>2440</v>
      </c>
    </row>
    <row r="641">
      <c r="A641" s="515" t="str">
        <f>HYPERLINK("http://en.uesp.net/wiki/Skyrim:Runil%27s_Journal","Runil's Journal")</f>
        <v>Runil's Journal</v>
      </c>
      <c r="B641" s="408" t="s">
        <v>2256</v>
      </c>
      <c r="C641" s="63" t="s">
        <v>132</v>
      </c>
      <c r="D641" s="408" t="s">
        <v>2256</v>
      </c>
      <c r="E641" s="453"/>
      <c r="F641" s="453"/>
      <c r="G641" s="453"/>
      <c r="H641" s="453"/>
      <c r="I641" s="453"/>
      <c r="J641" s="453"/>
      <c r="K641" s="453"/>
      <c r="L641" s="453"/>
      <c r="M641" s="453"/>
      <c r="N641" s="519" t="s">
        <v>1524</v>
      </c>
      <c r="O641" s="505" t="s">
        <v>665</v>
      </c>
      <c r="P641" s="506" t="s">
        <v>3308</v>
      </c>
      <c r="Q641" s="340">
        <v>5.0</v>
      </c>
      <c r="R641" s="453" t="s">
        <v>2536</v>
      </c>
    </row>
    <row r="642">
      <c r="A642" s="515" t="str">
        <f>HYPERLINK("http://en.uesp.net/wiki/Skyrim:Shalidor%27s_Insights_(book)","Shalidor's Insights")</f>
        <v>Shalidor's Insights</v>
      </c>
      <c r="B642" s="340" t="s">
        <v>1524</v>
      </c>
      <c r="C642" s="63" t="s">
        <v>132</v>
      </c>
      <c r="D642" s="340" t="s">
        <v>1524</v>
      </c>
      <c r="E642" s="453"/>
      <c r="F642" s="453"/>
      <c r="G642" s="453"/>
      <c r="H642" s="453"/>
      <c r="I642" s="453"/>
      <c r="J642" s="453"/>
      <c r="K642" s="453"/>
      <c r="L642" s="453"/>
      <c r="M642" s="453"/>
      <c r="N642" s="519" t="s">
        <v>1524</v>
      </c>
      <c r="O642" s="505" t="s">
        <v>3309</v>
      </c>
      <c r="P642" s="506" t="s">
        <v>3310</v>
      </c>
      <c r="Q642" s="340">
        <v>5.0</v>
      </c>
      <c r="R642" s="453" t="s">
        <v>2440</v>
      </c>
    </row>
    <row r="643">
      <c r="A643" s="515" t="str">
        <f>HYPERLINK("http://en.uesp.net/wiki/Skyrim:Suvaris_Atheron%27s_Logbook","Suvaris Atheron's Logbook")</f>
        <v>Suvaris Atheron's Logbook</v>
      </c>
      <c r="B643" s="340" t="s">
        <v>1524</v>
      </c>
      <c r="C643" s="63" t="s">
        <v>132</v>
      </c>
      <c r="D643" s="340" t="s">
        <v>1524</v>
      </c>
      <c r="E643" s="453"/>
      <c r="F643" s="453"/>
      <c r="G643" s="453"/>
      <c r="H643" s="453"/>
      <c r="I643" s="453"/>
      <c r="J643" s="453"/>
      <c r="K643" s="453"/>
      <c r="L643" s="453"/>
      <c r="M643" s="453"/>
      <c r="N643" s="519" t="s">
        <v>1524</v>
      </c>
      <c r="O643" s="345" t="s">
        <v>3311</v>
      </c>
      <c r="P643" s="506" t="s">
        <v>3312</v>
      </c>
      <c r="Q643" s="340">
        <v>5.0</v>
      </c>
      <c r="R643" s="453" t="s">
        <v>2536</v>
      </c>
    </row>
    <row r="644">
      <c r="A644" s="502" t="str">
        <f>HYPERLINK("http://en.uesp.net/wiki/Skyrim:Unknown_Book,_Vol._I","Unknown Book, Vol. I")</f>
        <v>Unknown Book, Vol. I</v>
      </c>
      <c r="B644" s="340" t="s">
        <v>1524</v>
      </c>
      <c r="C644" s="63" t="s">
        <v>132</v>
      </c>
      <c r="D644" s="340" t="s">
        <v>1524</v>
      </c>
      <c r="E644" s="503"/>
      <c r="F644" s="503"/>
      <c r="G644" s="503"/>
      <c r="H644" s="503"/>
      <c r="I644" s="503"/>
      <c r="J644" s="503"/>
      <c r="K644" s="503"/>
      <c r="L644" s="503"/>
      <c r="M644" s="503"/>
      <c r="N644" s="519" t="s">
        <v>1524</v>
      </c>
      <c r="O644" s="506" t="s">
        <v>3037</v>
      </c>
      <c r="P644" s="506" t="s">
        <v>3313</v>
      </c>
      <c r="Q644" s="340">
        <v>20.0</v>
      </c>
      <c r="R644" s="453" t="s">
        <v>2440</v>
      </c>
    </row>
    <row r="645">
      <c r="A645" s="502" t="str">
        <f>HYPERLINK("http://en.uesp.net/wiki/Skyrim:Unknown_Book,_Vol._II","Unknown Book, Vol. II")</f>
        <v>Unknown Book, Vol. II</v>
      </c>
      <c r="B645" s="340" t="s">
        <v>1524</v>
      </c>
      <c r="C645" s="63" t="s">
        <v>132</v>
      </c>
      <c r="D645" s="340" t="s">
        <v>1524</v>
      </c>
      <c r="E645" s="503"/>
      <c r="F645" s="503"/>
      <c r="G645" s="503"/>
      <c r="H645" s="503"/>
      <c r="I645" s="503"/>
      <c r="J645" s="503"/>
      <c r="K645" s="503"/>
      <c r="L645" s="503"/>
      <c r="M645" s="503"/>
      <c r="N645" s="519" t="s">
        <v>1524</v>
      </c>
      <c r="O645" s="345" t="s">
        <v>2799</v>
      </c>
      <c r="P645" s="506" t="s">
        <v>3314</v>
      </c>
      <c r="Q645" s="340">
        <v>20.0</v>
      </c>
      <c r="R645" s="503" t="s">
        <v>2440</v>
      </c>
    </row>
    <row r="646">
      <c r="A646" s="502" t="str">
        <f>HYPERLINK("http://en.uesp.net/wiki/Skyrim:Unknown_Book,_Vol._III","Unknown Book, Vol. III")</f>
        <v>Unknown Book, Vol. III</v>
      </c>
      <c r="B646" s="340" t="s">
        <v>1524</v>
      </c>
      <c r="C646" s="63" t="s">
        <v>132</v>
      </c>
      <c r="D646" s="340" t="s">
        <v>1524</v>
      </c>
      <c r="E646" s="503"/>
      <c r="F646" s="503"/>
      <c r="G646" s="503"/>
      <c r="H646" s="503"/>
      <c r="I646" s="503"/>
      <c r="J646" s="503"/>
      <c r="K646" s="503"/>
      <c r="L646" s="503"/>
      <c r="M646" s="503"/>
      <c r="N646" s="519" t="s">
        <v>1524</v>
      </c>
      <c r="O646" s="508" t="s">
        <v>2663</v>
      </c>
      <c r="P646" s="506" t="s">
        <v>3315</v>
      </c>
      <c r="Q646" s="340">
        <v>20.0</v>
      </c>
      <c r="R646" s="503" t="s">
        <v>2440</v>
      </c>
    </row>
    <row r="647">
      <c r="A647" s="502" t="str">
        <f>HYPERLINK("http://en.uesp.net/wiki/Skyrim:Unknown_Book,_Vol._IV","Unknown Book, Vol. IV")</f>
        <v>Unknown Book, Vol. IV</v>
      </c>
      <c r="B647" s="340" t="s">
        <v>1524</v>
      </c>
      <c r="C647" s="63" t="s">
        <v>132</v>
      </c>
      <c r="D647" s="340" t="s">
        <v>1524</v>
      </c>
      <c r="E647" s="503"/>
      <c r="F647" s="503"/>
      <c r="G647" s="503"/>
      <c r="H647" s="503"/>
      <c r="I647" s="503"/>
      <c r="J647" s="503"/>
      <c r="K647" s="503"/>
      <c r="L647" s="503"/>
      <c r="M647" s="503"/>
      <c r="N647" s="519" t="s">
        <v>1524</v>
      </c>
      <c r="O647" s="508" t="s">
        <v>3199</v>
      </c>
      <c r="P647" s="506" t="s">
        <v>3316</v>
      </c>
      <c r="Q647" s="340">
        <v>20.0</v>
      </c>
      <c r="R647" s="345" t="s">
        <v>2440</v>
      </c>
    </row>
    <row r="648">
      <c r="A648" s="515" t="str">
        <f>HYPERLINK("https://en.uesp.net/wiki/Skyrim:Wind_and_Sand", "Wind and Sand (DB)")</f>
        <v>Wind and Sand (DB)</v>
      </c>
      <c r="B648" s="340" t="s">
        <v>1524</v>
      </c>
      <c r="C648" s="63" t="s">
        <v>132</v>
      </c>
      <c r="D648" s="340" t="s">
        <v>1524</v>
      </c>
      <c r="E648" s="453"/>
      <c r="F648" s="453"/>
      <c r="G648" s="453"/>
      <c r="H648" s="453"/>
      <c r="I648" s="453"/>
      <c r="J648" s="453"/>
      <c r="K648" s="453"/>
      <c r="L648" s="453"/>
      <c r="M648" s="453"/>
      <c r="N648" s="519" t="s">
        <v>1524</v>
      </c>
      <c r="O648" s="505" t="s">
        <v>3317</v>
      </c>
      <c r="P648" s="506" t="s">
        <v>3318</v>
      </c>
      <c r="Q648" s="340">
        <v>100.0</v>
      </c>
      <c r="R648" s="508" t="s">
        <v>2440</v>
      </c>
    </row>
    <row r="649">
      <c r="A649" s="515" t="str">
        <f>HYPERLINK("http://en.uesp.net/wiki/Skyrim:Wyndelius%27s_Journal","Wyndelius's Journal")</f>
        <v>Wyndelius's Journal</v>
      </c>
      <c r="B649" s="340" t="s">
        <v>1524</v>
      </c>
      <c r="C649" s="63" t="s">
        <v>132</v>
      </c>
      <c r="D649" s="340" t="s">
        <v>1524</v>
      </c>
      <c r="E649" s="453"/>
      <c r="F649" s="453"/>
      <c r="G649" s="453"/>
      <c r="H649" s="453"/>
      <c r="I649" s="453"/>
      <c r="J649" s="453"/>
      <c r="K649" s="453"/>
      <c r="L649" s="453"/>
      <c r="M649" s="453"/>
      <c r="N649" s="519" t="s">
        <v>1524</v>
      </c>
      <c r="O649" s="505" t="s">
        <v>3319</v>
      </c>
      <c r="P649" s="506" t="s">
        <v>3320</v>
      </c>
      <c r="Q649" s="340">
        <v>40.0</v>
      </c>
      <c r="R649" s="508" t="s">
        <v>2536</v>
      </c>
    </row>
    <row r="650">
      <c r="A650" s="531" t="s">
        <v>3321</v>
      </c>
      <c r="B650" s="495"/>
      <c r="C650" s="495"/>
      <c r="D650" s="495"/>
      <c r="E650" s="532"/>
      <c r="F650" s="523">
        <f>Countif(B770:B772, "Y")+Countif(B770:B772, "N")</f>
        <v>0</v>
      </c>
      <c r="G650" s="495"/>
      <c r="H650" s="495"/>
      <c r="I650" s="495"/>
      <c r="J650" s="495"/>
      <c r="K650" s="495"/>
      <c r="L650" s="495"/>
      <c r="M650" s="495"/>
      <c r="N650" s="533"/>
      <c r="O650" s="534"/>
      <c r="P650" s="495"/>
      <c r="Q650" s="495"/>
      <c r="R650" s="495"/>
    </row>
    <row r="651">
      <c r="A651" s="525" t="str">
        <f>concatenate("Total: ", E651, ", Remaining: ", H651, " (", I651, "%)")</f>
        <v>Total: 119, Remaining: 119 (100%)</v>
      </c>
      <c r="B651" s="496" t="str">
        <f>concatenate(F651, " (", G651, "%)")</f>
        <v>0 (0%)</v>
      </c>
      <c r="C651" s="496" t="str">
        <f>concatenate(J651, " (", K651, "%)")</f>
        <v>0 (0%)</v>
      </c>
      <c r="D651" s="496" t="str">
        <f>concatenate(L651, " (", M651, "%)")</f>
        <v>0 (0%)</v>
      </c>
      <c r="E651" s="523">
        <f>rows(A652:A770)</f>
        <v>119</v>
      </c>
      <c r="F651" s="523">
        <f>Countif(B652:B1363, "Y")</f>
        <v>0</v>
      </c>
      <c r="G651" s="523">
        <f>round(100 * (F651 / E651), 0)</f>
        <v>0</v>
      </c>
      <c r="H651" s="523">
        <f>E651 - F651</f>
        <v>119</v>
      </c>
      <c r="I651" s="523">
        <f>round(100 * (H651 / E651), 0)</f>
        <v>100</v>
      </c>
      <c r="J651" s="523">
        <f>Countif(C652:C1363, "Y")</f>
        <v>0</v>
      </c>
      <c r="K651" s="523">
        <f>round(100 * (J651 / E651), 0)</f>
        <v>0</v>
      </c>
      <c r="L651" s="523">
        <f>countif(D652:D1363, "Y")</f>
        <v>0</v>
      </c>
      <c r="M651" s="527">
        <f>round(100 * (L651 / E651), 0)</f>
        <v>0</v>
      </c>
      <c r="N651" s="495"/>
      <c r="O651" s="534"/>
      <c r="P651" s="495"/>
      <c r="Q651" s="495"/>
      <c r="R651" s="495"/>
    </row>
    <row r="652">
      <c r="A652" s="535" t="s">
        <v>3322</v>
      </c>
      <c r="B652" s="536" t="s">
        <v>132</v>
      </c>
      <c r="C652" s="536" t="s">
        <v>132</v>
      </c>
      <c r="D652" s="536" t="s">
        <v>132</v>
      </c>
      <c r="E652" s="537"/>
      <c r="F652" s="537"/>
      <c r="G652" s="537"/>
      <c r="H652" s="537"/>
      <c r="I652" s="537"/>
      <c r="J652" s="537"/>
      <c r="K652" s="537"/>
      <c r="L652" s="537"/>
      <c r="M652" s="537"/>
      <c r="N652" s="377" t="s">
        <v>1524</v>
      </c>
      <c r="O652" s="538" t="s">
        <v>602</v>
      </c>
      <c r="P652" s="539" t="s">
        <v>3323</v>
      </c>
      <c r="Q652" s="540">
        <v>10.0</v>
      </c>
      <c r="R652" s="537" t="s">
        <v>2536</v>
      </c>
    </row>
    <row r="653">
      <c r="A653" s="535" t="s">
        <v>3324</v>
      </c>
      <c r="B653" s="536" t="s">
        <v>132</v>
      </c>
      <c r="C653" s="536" t="s">
        <v>132</v>
      </c>
      <c r="D653" s="536" t="s">
        <v>132</v>
      </c>
      <c r="E653" s="537"/>
      <c r="F653" s="537"/>
      <c r="G653" s="537"/>
      <c r="H653" s="537"/>
      <c r="I653" s="537"/>
      <c r="J653" s="537"/>
      <c r="K653" s="537"/>
      <c r="L653" s="537"/>
      <c r="M653" s="537"/>
      <c r="N653" s="377" t="s">
        <v>1524</v>
      </c>
      <c r="O653" s="538" t="s">
        <v>3325</v>
      </c>
      <c r="P653" s="539" t="s">
        <v>3326</v>
      </c>
      <c r="Q653" s="540">
        <v>0.0</v>
      </c>
      <c r="R653" s="537" t="s">
        <v>2536</v>
      </c>
    </row>
    <row r="654">
      <c r="A654" s="535" t="s">
        <v>3327</v>
      </c>
      <c r="B654" s="536" t="s">
        <v>132</v>
      </c>
      <c r="C654" s="536" t="s">
        <v>132</v>
      </c>
      <c r="D654" s="536" t="s">
        <v>132</v>
      </c>
      <c r="E654" s="537"/>
      <c r="F654" s="537"/>
      <c r="G654" s="537"/>
      <c r="H654" s="537"/>
      <c r="I654" s="537"/>
      <c r="J654" s="537"/>
      <c r="K654" s="537"/>
      <c r="L654" s="537"/>
      <c r="M654" s="537"/>
      <c r="N654" s="377" t="s">
        <v>1524</v>
      </c>
      <c r="O654" s="538" t="s">
        <v>3328</v>
      </c>
      <c r="P654" s="539" t="s">
        <v>3329</v>
      </c>
      <c r="Q654" s="540">
        <v>100.0</v>
      </c>
      <c r="R654" s="537" t="s">
        <v>2536</v>
      </c>
    </row>
    <row r="655">
      <c r="A655" s="535" t="s">
        <v>3330</v>
      </c>
      <c r="B655" s="536" t="s">
        <v>132</v>
      </c>
      <c r="C655" s="536" t="s">
        <v>132</v>
      </c>
      <c r="D655" s="541" t="s">
        <v>132</v>
      </c>
      <c r="E655" s="537"/>
      <c r="F655" s="537"/>
      <c r="G655" s="537"/>
      <c r="H655" s="537"/>
      <c r="I655" s="537"/>
      <c r="J655" s="537"/>
      <c r="K655" s="537"/>
      <c r="L655" s="537"/>
      <c r="M655" s="537"/>
      <c r="N655" s="377" t="s">
        <v>1524</v>
      </c>
      <c r="O655" s="538" t="s">
        <v>3331</v>
      </c>
      <c r="P655" s="539" t="s">
        <v>3332</v>
      </c>
      <c r="Q655" s="540">
        <v>5.0</v>
      </c>
      <c r="R655" s="537" t="s">
        <v>2440</v>
      </c>
    </row>
    <row r="656">
      <c r="A656" s="535" t="s">
        <v>3333</v>
      </c>
      <c r="B656" s="536" t="s">
        <v>132</v>
      </c>
      <c r="C656" s="536" t="s">
        <v>132</v>
      </c>
      <c r="D656" s="541" t="s">
        <v>132</v>
      </c>
      <c r="E656" s="537"/>
      <c r="F656" s="537"/>
      <c r="G656" s="537"/>
      <c r="H656" s="537"/>
      <c r="I656" s="537"/>
      <c r="J656" s="537"/>
      <c r="K656" s="537"/>
      <c r="L656" s="537"/>
      <c r="M656" s="537"/>
      <c r="N656" s="377" t="s">
        <v>1524</v>
      </c>
      <c r="O656" s="538" t="s">
        <v>2481</v>
      </c>
      <c r="P656" s="539" t="s">
        <v>3334</v>
      </c>
      <c r="Q656" s="540">
        <v>75.0</v>
      </c>
      <c r="R656" s="537" t="s">
        <v>2536</v>
      </c>
    </row>
    <row r="657">
      <c r="A657" s="535" t="s">
        <v>3335</v>
      </c>
      <c r="B657" s="541" t="s">
        <v>132</v>
      </c>
      <c r="C657" s="536" t="s">
        <v>132</v>
      </c>
      <c r="D657" s="541" t="s">
        <v>132</v>
      </c>
      <c r="E657" s="537"/>
      <c r="F657" s="537"/>
      <c r="G657" s="537"/>
      <c r="H657" s="537"/>
      <c r="I657" s="537"/>
      <c r="J657" s="537"/>
      <c r="K657" s="537"/>
      <c r="L657" s="537"/>
      <c r="M657" s="537"/>
      <c r="N657" s="377" t="s">
        <v>1524</v>
      </c>
      <c r="O657" s="538" t="s">
        <v>3336</v>
      </c>
      <c r="P657" s="539" t="s">
        <v>3337</v>
      </c>
      <c r="Q657" s="540">
        <v>25.0</v>
      </c>
      <c r="R657" s="537" t="s">
        <v>2536</v>
      </c>
    </row>
    <row r="658">
      <c r="A658" s="535" t="s">
        <v>3338</v>
      </c>
      <c r="B658" s="541" t="s">
        <v>132</v>
      </c>
      <c r="C658" s="536" t="s">
        <v>132</v>
      </c>
      <c r="D658" s="541" t="s">
        <v>132</v>
      </c>
      <c r="E658" s="537"/>
      <c r="F658" s="537"/>
      <c r="G658" s="537"/>
      <c r="H658" s="537"/>
      <c r="I658" s="537"/>
      <c r="J658" s="537"/>
      <c r="K658" s="537"/>
      <c r="L658" s="537"/>
      <c r="M658" s="537"/>
      <c r="N658" s="377" t="s">
        <v>1524</v>
      </c>
      <c r="O658" s="538" t="s">
        <v>3339</v>
      </c>
      <c r="P658" s="539" t="s">
        <v>3340</v>
      </c>
      <c r="Q658" s="540">
        <v>0.0</v>
      </c>
      <c r="R658" s="537" t="s">
        <v>2536</v>
      </c>
    </row>
    <row r="659">
      <c r="A659" s="535" t="s">
        <v>3341</v>
      </c>
      <c r="B659" s="541" t="s">
        <v>132</v>
      </c>
      <c r="C659" s="536" t="s">
        <v>132</v>
      </c>
      <c r="D659" s="541" t="s">
        <v>132</v>
      </c>
      <c r="E659" s="537"/>
      <c r="F659" s="537"/>
      <c r="G659" s="537"/>
      <c r="H659" s="537"/>
      <c r="I659" s="537"/>
      <c r="J659" s="537"/>
      <c r="K659" s="537"/>
      <c r="L659" s="537"/>
      <c r="M659" s="537"/>
      <c r="N659" s="377" t="s">
        <v>1524</v>
      </c>
      <c r="O659" s="538" t="s">
        <v>2481</v>
      </c>
      <c r="P659" s="539" t="s">
        <v>3342</v>
      </c>
      <c r="Q659" s="540">
        <v>3.0</v>
      </c>
      <c r="R659" s="537" t="s">
        <v>2440</v>
      </c>
    </row>
    <row r="660">
      <c r="A660" s="535" t="s">
        <v>3343</v>
      </c>
      <c r="B660" s="541" t="s">
        <v>132</v>
      </c>
      <c r="C660" s="541" t="s">
        <v>132</v>
      </c>
      <c r="D660" s="541" t="s">
        <v>132</v>
      </c>
      <c r="E660" s="537"/>
      <c r="F660" s="537"/>
      <c r="G660" s="537"/>
      <c r="H660" s="537"/>
      <c r="I660" s="537"/>
      <c r="J660" s="537"/>
      <c r="K660" s="537"/>
      <c r="L660" s="537"/>
      <c r="M660" s="537"/>
      <c r="N660" s="377" t="s">
        <v>1524</v>
      </c>
      <c r="O660" s="538" t="s">
        <v>3344</v>
      </c>
      <c r="P660" s="539" t="s">
        <v>3345</v>
      </c>
      <c r="Q660" s="540">
        <v>5.0</v>
      </c>
      <c r="R660" s="537" t="s">
        <v>2536</v>
      </c>
    </row>
    <row r="661">
      <c r="A661" s="535" t="s">
        <v>3346</v>
      </c>
      <c r="B661" s="541" t="s">
        <v>132</v>
      </c>
      <c r="C661" s="541" t="s">
        <v>132</v>
      </c>
      <c r="D661" s="541" t="s">
        <v>132</v>
      </c>
      <c r="E661" s="537"/>
      <c r="F661" s="537"/>
      <c r="G661" s="537"/>
      <c r="H661" s="537"/>
      <c r="I661" s="537"/>
      <c r="J661" s="537"/>
      <c r="K661" s="537"/>
      <c r="L661" s="537"/>
      <c r="M661" s="537"/>
      <c r="N661" s="377" t="s">
        <v>1524</v>
      </c>
      <c r="O661" s="538" t="s">
        <v>3347</v>
      </c>
      <c r="P661" s="539" t="s">
        <v>3348</v>
      </c>
      <c r="Q661" s="540">
        <v>0.0</v>
      </c>
      <c r="R661" s="537" t="s">
        <v>2536</v>
      </c>
    </row>
    <row r="662">
      <c r="A662" s="535" t="s">
        <v>3349</v>
      </c>
      <c r="B662" s="541" t="s">
        <v>132</v>
      </c>
      <c r="C662" s="541" t="s">
        <v>132</v>
      </c>
      <c r="D662" s="541" t="s">
        <v>132</v>
      </c>
      <c r="E662" s="537"/>
      <c r="F662" s="537"/>
      <c r="G662" s="537"/>
      <c r="H662" s="537"/>
      <c r="I662" s="537"/>
      <c r="J662" s="537"/>
      <c r="K662" s="537"/>
      <c r="L662" s="537"/>
      <c r="M662" s="537"/>
      <c r="N662" s="377" t="s">
        <v>1524</v>
      </c>
      <c r="O662" s="538" t="s">
        <v>2481</v>
      </c>
      <c r="P662" s="539" t="s">
        <v>3350</v>
      </c>
      <c r="Q662" s="540">
        <v>5.0</v>
      </c>
      <c r="R662" s="537" t="s">
        <v>2440</v>
      </c>
    </row>
    <row r="663">
      <c r="A663" s="535" t="s">
        <v>3351</v>
      </c>
      <c r="B663" s="541" t="s">
        <v>132</v>
      </c>
      <c r="C663" s="541" t="s">
        <v>132</v>
      </c>
      <c r="D663" s="541" t="s">
        <v>132</v>
      </c>
      <c r="E663" s="537"/>
      <c r="F663" s="537"/>
      <c r="G663" s="537"/>
      <c r="H663" s="537"/>
      <c r="I663" s="537"/>
      <c r="J663" s="537"/>
      <c r="K663" s="537"/>
      <c r="L663" s="537"/>
      <c r="M663" s="537"/>
      <c r="N663" s="377" t="s">
        <v>1524</v>
      </c>
      <c r="O663" s="538" t="s">
        <v>2481</v>
      </c>
      <c r="P663" s="539" t="s">
        <v>3352</v>
      </c>
      <c r="Q663" s="540">
        <v>0.0</v>
      </c>
      <c r="R663" s="537" t="s">
        <v>2536</v>
      </c>
    </row>
    <row r="664">
      <c r="A664" s="535" t="s">
        <v>3353</v>
      </c>
      <c r="B664" s="541" t="s">
        <v>132</v>
      </c>
      <c r="C664" s="541" t="s">
        <v>132</v>
      </c>
      <c r="D664" s="541" t="s">
        <v>132</v>
      </c>
      <c r="E664" s="537"/>
      <c r="F664" s="537"/>
      <c r="G664" s="537"/>
      <c r="H664" s="537"/>
      <c r="I664" s="537"/>
      <c r="J664" s="537"/>
      <c r="K664" s="537"/>
      <c r="L664" s="537"/>
      <c r="M664" s="537"/>
      <c r="N664" s="377" t="s">
        <v>1524</v>
      </c>
      <c r="O664" s="538" t="s">
        <v>3354</v>
      </c>
      <c r="P664" s="539" t="s">
        <v>3355</v>
      </c>
      <c r="Q664" s="540">
        <v>5.0</v>
      </c>
      <c r="R664" s="537" t="s">
        <v>2440</v>
      </c>
    </row>
    <row r="665">
      <c r="A665" s="535" t="s">
        <v>3356</v>
      </c>
      <c r="B665" s="541" t="s">
        <v>132</v>
      </c>
      <c r="C665" s="541" t="s">
        <v>132</v>
      </c>
      <c r="D665" s="541" t="s">
        <v>132</v>
      </c>
      <c r="E665" s="537"/>
      <c r="F665" s="537"/>
      <c r="G665" s="537"/>
      <c r="H665" s="537"/>
      <c r="I665" s="537"/>
      <c r="J665" s="537"/>
      <c r="K665" s="537"/>
      <c r="L665" s="537"/>
      <c r="M665" s="537"/>
      <c r="N665" s="377" t="s">
        <v>1524</v>
      </c>
      <c r="O665" s="538" t="s">
        <v>3357</v>
      </c>
      <c r="P665" s="539" t="s">
        <v>3358</v>
      </c>
      <c r="Q665" s="540">
        <v>3.0</v>
      </c>
      <c r="R665" s="537" t="s">
        <v>2440</v>
      </c>
    </row>
    <row r="666">
      <c r="A666" s="535" t="s">
        <v>3359</v>
      </c>
      <c r="B666" s="541" t="s">
        <v>132</v>
      </c>
      <c r="C666" s="541" t="s">
        <v>132</v>
      </c>
      <c r="D666" s="541" t="s">
        <v>132</v>
      </c>
      <c r="E666" s="537"/>
      <c r="F666" s="537"/>
      <c r="G666" s="537"/>
      <c r="H666" s="537"/>
      <c r="I666" s="537"/>
      <c r="J666" s="537"/>
      <c r="K666" s="537"/>
      <c r="L666" s="537"/>
      <c r="M666" s="537"/>
      <c r="N666" s="377" t="s">
        <v>1524</v>
      </c>
      <c r="O666" s="538" t="s">
        <v>3357</v>
      </c>
      <c r="P666" s="539" t="s">
        <v>3360</v>
      </c>
      <c r="Q666" s="540">
        <v>3.0</v>
      </c>
      <c r="R666" s="537" t="s">
        <v>2440</v>
      </c>
    </row>
    <row r="667">
      <c r="A667" s="535" t="s">
        <v>3361</v>
      </c>
      <c r="B667" s="541" t="s">
        <v>132</v>
      </c>
      <c r="C667" s="541" t="s">
        <v>132</v>
      </c>
      <c r="D667" s="541" t="s">
        <v>132</v>
      </c>
      <c r="E667" s="537"/>
      <c r="F667" s="537"/>
      <c r="G667" s="537"/>
      <c r="H667" s="537"/>
      <c r="I667" s="537"/>
      <c r="J667" s="537"/>
      <c r="K667" s="537"/>
      <c r="L667" s="537"/>
      <c r="M667" s="537"/>
      <c r="N667" s="377" t="s">
        <v>1524</v>
      </c>
      <c r="O667" s="538" t="s">
        <v>3357</v>
      </c>
      <c r="P667" s="539" t="s">
        <v>3362</v>
      </c>
      <c r="Q667" s="540">
        <v>3.0</v>
      </c>
      <c r="R667" s="537" t="s">
        <v>2440</v>
      </c>
    </row>
    <row r="668">
      <c r="A668" s="535" t="s">
        <v>3363</v>
      </c>
      <c r="B668" s="541" t="s">
        <v>132</v>
      </c>
      <c r="C668" s="541" t="s">
        <v>132</v>
      </c>
      <c r="D668" s="541" t="s">
        <v>132</v>
      </c>
      <c r="E668" s="537"/>
      <c r="F668" s="537"/>
      <c r="G668" s="537"/>
      <c r="H668" s="537"/>
      <c r="I668" s="537"/>
      <c r="J668" s="537"/>
      <c r="K668" s="537"/>
      <c r="L668" s="537"/>
      <c r="M668" s="537"/>
      <c r="N668" s="377" t="s">
        <v>1524</v>
      </c>
      <c r="O668" s="538" t="s">
        <v>3357</v>
      </c>
      <c r="P668" s="539" t="s">
        <v>3364</v>
      </c>
      <c r="Q668" s="540">
        <v>3.0</v>
      </c>
      <c r="R668" s="537" t="s">
        <v>2440</v>
      </c>
    </row>
    <row r="669">
      <c r="A669" s="535" t="s">
        <v>3365</v>
      </c>
      <c r="B669" s="541" t="s">
        <v>132</v>
      </c>
      <c r="C669" s="541" t="s">
        <v>132</v>
      </c>
      <c r="D669" s="541" t="s">
        <v>132</v>
      </c>
      <c r="E669" s="537"/>
      <c r="F669" s="537"/>
      <c r="G669" s="537"/>
      <c r="H669" s="537"/>
      <c r="I669" s="537"/>
      <c r="J669" s="537"/>
      <c r="K669" s="537"/>
      <c r="L669" s="537"/>
      <c r="M669" s="537"/>
      <c r="N669" s="377" t="s">
        <v>1524</v>
      </c>
      <c r="O669" s="538" t="s">
        <v>3357</v>
      </c>
      <c r="P669" s="539" t="s">
        <v>3366</v>
      </c>
      <c r="Q669" s="540">
        <v>3.0</v>
      </c>
      <c r="R669" s="537" t="s">
        <v>2440</v>
      </c>
    </row>
    <row r="670">
      <c r="A670" s="535" t="s">
        <v>3367</v>
      </c>
      <c r="B670" s="541" t="s">
        <v>132</v>
      </c>
      <c r="C670" s="541" t="s">
        <v>132</v>
      </c>
      <c r="D670" s="541" t="s">
        <v>132</v>
      </c>
      <c r="E670" s="537"/>
      <c r="F670" s="537"/>
      <c r="G670" s="537"/>
      <c r="H670" s="537"/>
      <c r="I670" s="537"/>
      <c r="J670" s="537"/>
      <c r="K670" s="537"/>
      <c r="L670" s="537"/>
      <c r="M670" s="537"/>
      <c r="N670" s="377" t="s">
        <v>1524</v>
      </c>
      <c r="O670" s="538" t="s">
        <v>3357</v>
      </c>
      <c r="P670" s="539" t="s">
        <v>3368</v>
      </c>
      <c r="Q670" s="540">
        <v>3.0</v>
      </c>
      <c r="R670" s="537" t="s">
        <v>2440</v>
      </c>
    </row>
    <row r="671">
      <c r="A671" s="535" t="s">
        <v>3369</v>
      </c>
      <c r="B671" s="541" t="s">
        <v>132</v>
      </c>
      <c r="C671" s="541" t="s">
        <v>132</v>
      </c>
      <c r="D671" s="541" t="s">
        <v>132</v>
      </c>
      <c r="E671" s="537"/>
      <c r="F671" s="537"/>
      <c r="G671" s="537"/>
      <c r="H671" s="537"/>
      <c r="I671" s="537"/>
      <c r="J671" s="537"/>
      <c r="K671" s="537"/>
      <c r="L671" s="537"/>
      <c r="M671" s="537"/>
      <c r="N671" s="377" t="s">
        <v>1524</v>
      </c>
      <c r="O671" s="538" t="s">
        <v>3357</v>
      </c>
      <c r="P671" s="539" t="s">
        <v>3370</v>
      </c>
      <c r="Q671" s="540">
        <v>3.0</v>
      </c>
      <c r="R671" s="537" t="s">
        <v>2440</v>
      </c>
    </row>
    <row r="672">
      <c r="A672" s="535" t="s">
        <v>3371</v>
      </c>
      <c r="B672" s="541" t="s">
        <v>132</v>
      </c>
      <c r="C672" s="541" t="s">
        <v>132</v>
      </c>
      <c r="D672" s="541" t="s">
        <v>132</v>
      </c>
      <c r="E672" s="537"/>
      <c r="F672" s="537"/>
      <c r="G672" s="537"/>
      <c r="H672" s="537"/>
      <c r="I672" s="537"/>
      <c r="J672" s="537"/>
      <c r="K672" s="537"/>
      <c r="L672" s="537"/>
      <c r="M672" s="537"/>
      <c r="N672" s="377" t="s">
        <v>1524</v>
      </c>
      <c r="O672" s="538" t="s">
        <v>3357</v>
      </c>
      <c r="P672" s="539" t="s">
        <v>3372</v>
      </c>
      <c r="Q672" s="540">
        <v>3.0</v>
      </c>
      <c r="R672" s="537" t="s">
        <v>2440</v>
      </c>
    </row>
    <row r="673">
      <c r="A673" s="535" t="s">
        <v>3373</v>
      </c>
      <c r="B673" s="541" t="s">
        <v>132</v>
      </c>
      <c r="C673" s="541" t="s">
        <v>132</v>
      </c>
      <c r="D673" s="541" t="s">
        <v>132</v>
      </c>
      <c r="E673" s="537"/>
      <c r="F673" s="537"/>
      <c r="G673" s="537"/>
      <c r="H673" s="537"/>
      <c r="I673" s="537"/>
      <c r="J673" s="537"/>
      <c r="K673" s="537"/>
      <c r="L673" s="537"/>
      <c r="M673" s="537"/>
      <c r="N673" s="377" t="s">
        <v>1524</v>
      </c>
      <c r="O673" s="538" t="s">
        <v>3357</v>
      </c>
      <c r="P673" s="539" t="s">
        <v>3374</v>
      </c>
      <c r="Q673" s="540">
        <v>5.0</v>
      </c>
      <c r="R673" s="537" t="s">
        <v>2440</v>
      </c>
    </row>
    <row r="674">
      <c r="A674" s="535" t="s">
        <v>3375</v>
      </c>
      <c r="B674" s="541" t="s">
        <v>132</v>
      </c>
      <c r="C674" s="541" t="s">
        <v>132</v>
      </c>
      <c r="D674" s="541" t="s">
        <v>132</v>
      </c>
      <c r="E674" s="537"/>
      <c r="F674" s="537"/>
      <c r="G674" s="537"/>
      <c r="H674" s="537"/>
      <c r="I674" s="537"/>
      <c r="J674" s="537"/>
      <c r="K674" s="537"/>
      <c r="L674" s="537"/>
      <c r="M674" s="537"/>
      <c r="N674" s="377" t="s">
        <v>1524</v>
      </c>
      <c r="O674" s="538" t="s">
        <v>3376</v>
      </c>
      <c r="P674" s="539" t="s">
        <v>3377</v>
      </c>
      <c r="Q674" s="540">
        <v>3.0</v>
      </c>
      <c r="R674" s="537" t="s">
        <v>2440</v>
      </c>
    </row>
    <row r="675">
      <c r="A675" s="535" t="s">
        <v>3378</v>
      </c>
      <c r="B675" s="541" t="s">
        <v>132</v>
      </c>
      <c r="C675" s="541" t="s">
        <v>132</v>
      </c>
      <c r="D675" s="541" t="s">
        <v>132</v>
      </c>
      <c r="E675" s="537"/>
      <c r="F675" s="537"/>
      <c r="G675" s="537"/>
      <c r="H675" s="537"/>
      <c r="I675" s="537"/>
      <c r="J675" s="537"/>
      <c r="K675" s="537"/>
      <c r="L675" s="537"/>
      <c r="M675" s="537"/>
      <c r="N675" s="377" t="s">
        <v>1524</v>
      </c>
      <c r="O675" s="538" t="s">
        <v>3379</v>
      </c>
      <c r="P675" s="539" t="s">
        <v>3380</v>
      </c>
      <c r="Q675" s="540">
        <v>0.0</v>
      </c>
      <c r="R675" s="537" t="s">
        <v>2536</v>
      </c>
    </row>
    <row r="676">
      <c r="A676" s="535" t="s">
        <v>3381</v>
      </c>
      <c r="B676" s="541" t="s">
        <v>132</v>
      </c>
      <c r="C676" s="541" t="s">
        <v>132</v>
      </c>
      <c r="D676" s="541" t="s">
        <v>132</v>
      </c>
      <c r="E676" s="537"/>
      <c r="F676" s="537"/>
      <c r="G676" s="537"/>
      <c r="H676" s="537"/>
      <c r="I676" s="537"/>
      <c r="J676" s="537"/>
      <c r="K676" s="537"/>
      <c r="L676" s="537"/>
      <c r="M676" s="537"/>
      <c r="N676" s="377" t="s">
        <v>1524</v>
      </c>
      <c r="O676" s="538" t="s">
        <v>2481</v>
      </c>
      <c r="P676" s="539" t="s">
        <v>3382</v>
      </c>
      <c r="Q676" s="540">
        <v>5.0</v>
      </c>
      <c r="R676" s="537" t="s">
        <v>2536</v>
      </c>
    </row>
    <row r="677">
      <c r="A677" s="535" t="s">
        <v>3383</v>
      </c>
      <c r="B677" s="541" t="s">
        <v>132</v>
      </c>
      <c r="C677" s="541" t="s">
        <v>132</v>
      </c>
      <c r="D677" s="541" t="s">
        <v>132</v>
      </c>
      <c r="E677" s="537"/>
      <c r="F677" s="537"/>
      <c r="G677" s="537"/>
      <c r="H677" s="537"/>
      <c r="I677" s="537"/>
      <c r="J677" s="537"/>
      <c r="K677" s="537"/>
      <c r="L677" s="537"/>
      <c r="M677" s="537"/>
      <c r="N677" s="377" t="s">
        <v>1524</v>
      </c>
      <c r="O677" s="538" t="s">
        <v>2481</v>
      </c>
      <c r="P677" s="539" t="s">
        <v>3384</v>
      </c>
      <c r="Q677" s="540">
        <v>5.0</v>
      </c>
      <c r="R677" s="537" t="s">
        <v>2536</v>
      </c>
    </row>
    <row r="678">
      <c r="A678" s="535" t="s">
        <v>3385</v>
      </c>
      <c r="B678" s="541" t="s">
        <v>132</v>
      </c>
      <c r="C678" s="541" t="s">
        <v>132</v>
      </c>
      <c r="D678" s="541" t="s">
        <v>132</v>
      </c>
      <c r="E678" s="537"/>
      <c r="F678" s="537"/>
      <c r="G678" s="537"/>
      <c r="H678" s="537"/>
      <c r="I678" s="537"/>
      <c r="J678" s="537"/>
      <c r="K678" s="537"/>
      <c r="L678" s="537"/>
      <c r="M678" s="537"/>
      <c r="N678" s="377" t="s">
        <v>1524</v>
      </c>
      <c r="O678" s="538" t="s">
        <v>3386</v>
      </c>
      <c r="P678" s="539" t="s">
        <v>3387</v>
      </c>
      <c r="Q678" s="540">
        <v>3.0</v>
      </c>
      <c r="R678" s="537" t="s">
        <v>2440</v>
      </c>
    </row>
    <row r="679">
      <c r="A679" s="535" t="s">
        <v>3388</v>
      </c>
      <c r="B679" s="541" t="s">
        <v>132</v>
      </c>
      <c r="C679" s="541" t="s">
        <v>132</v>
      </c>
      <c r="D679" s="541" t="s">
        <v>132</v>
      </c>
      <c r="E679" s="537"/>
      <c r="F679" s="537"/>
      <c r="G679" s="537"/>
      <c r="H679" s="537"/>
      <c r="I679" s="537"/>
      <c r="J679" s="537"/>
      <c r="K679" s="537"/>
      <c r="L679" s="537"/>
      <c r="M679" s="537"/>
      <c r="N679" s="377" t="s">
        <v>1524</v>
      </c>
      <c r="O679" s="538" t="s">
        <v>3389</v>
      </c>
      <c r="P679" s="539" t="s">
        <v>3390</v>
      </c>
      <c r="Q679" s="540">
        <v>0.0</v>
      </c>
      <c r="R679" s="537" t="s">
        <v>2536</v>
      </c>
    </row>
    <row r="680">
      <c r="A680" s="535" t="s">
        <v>3391</v>
      </c>
      <c r="B680" s="541" t="s">
        <v>132</v>
      </c>
      <c r="C680" s="541" t="s">
        <v>132</v>
      </c>
      <c r="D680" s="541" t="s">
        <v>132</v>
      </c>
      <c r="E680" s="537"/>
      <c r="F680" s="537"/>
      <c r="G680" s="537"/>
      <c r="H680" s="537"/>
      <c r="I680" s="537"/>
      <c r="J680" s="537"/>
      <c r="K680" s="537"/>
      <c r="L680" s="537"/>
      <c r="M680" s="537"/>
      <c r="N680" s="377" t="s">
        <v>1524</v>
      </c>
      <c r="O680" s="538" t="s">
        <v>3392</v>
      </c>
      <c r="P680" s="539" t="s">
        <v>3393</v>
      </c>
      <c r="Q680" s="540">
        <v>0.0</v>
      </c>
      <c r="R680" s="537" t="s">
        <v>2536</v>
      </c>
    </row>
    <row r="681">
      <c r="A681" s="535" t="s">
        <v>3394</v>
      </c>
      <c r="B681" s="541" t="s">
        <v>132</v>
      </c>
      <c r="C681" s="541" t="s">
        <v>132</v>
      </c>
      <c r="D681" s="541" t="s">
        <v>132</v>
      </c>
      <c r="E681" s="537"/>
      <c r="F681" s="537"/>
      <c r="G681" s="537"/>
      <c r="H681" s="537"/>
      <c r="I681" s="537"/>
      <c r="J681" s="537"/>
      <c r="K681" s="537"/>
      <c r="L681" s="537"/>
      <c r="M681" s="537"/>
      <c r="N681" s="377" t="s">
        <v>1524</v>
      </c>
      <c r="O681" s="538" t="s">
        <v>3395</v>
      </c>
      <c r="P681" s="539" t="s">
        <v>3396</v>
      </c>
      <c r="Q681" s="540">
        <v>5.0</v>
      </c>
      <c r="R681" s="537" t="s">
        <v>2536</v>
      </c>
    </row>
    <row r="682">
      <c r="A682" s="535" t="s">
        <v>3397</v>
      </c>
      <c r="B682" s="541" t="s">
        <v>132</v>
      </c>
      <c r="C682" s="541" t="s">
        <v>132</v>
      </c>
      <c r="D682" s="541" t="s">
        <v>132</v>
      </c>
      <c r="E682" s="537"/>
      <c r="F682" s="537"/>
      <c r="G682" s="537"/>
      <c r="H682" s="537"/>
      <c r="I682" s="537"/>
      <c r="J682" s="537"/>
      <c r="K682" s="537"/>
      <c r="L682" s="537"/>
      <c r="M682" s="537"/>
      <c r="N682" s="377" t="s">
        <v>1524</v>
      </c>
      <c r="O682" s="538" t="s">
        <v>3395</v>
      </c>
      <c r="P682" s="539" t="s">
        <v>3398</v>
      </c>
      <c r="Q682" s="540">
        <v>5.0</v>
      </c>
      <c r="R682" s="537" t="s">
        <v>2536</v>
      </c>
    </row>
    <row r="683">
      <c r="A683" s="535" t="s">
        <v>3399</v>
      </c>
      <c r="B683" s="541" t="s">
        <v>132</v>
      </c>
      <c r="C683" s="541" t="s">
        <v>132</v>
      </c>
      <c r="D683" s="541" t="s">
        <v>132</v>
      </c>
      <c r="E683" s="537"/>
      <c r="F683" s="537"/>
      <c r="G683" s="537"/>
      <c r="H683" s="537"/>
      <c r="I683" s="537"/>
      <c r="J683" s="537"/>
      <c r="K683" s="537"/>
      <c r="L683" s="537"/>
      <c r="M683" s="537"/>
      <c r="N683" s="377" t="s">
        <v>1524</v>
      </c>
      <c r="O683" s="538" t="s">
        <v>3395</v>
      </c>
      <c r="P683" s="539" t="s">
        <v>3400</v>
      </c>
      <c r="Q683" s="540">
        <v>5.0</v>
      </c>
      <c r="R683" s="537" t="s">
        <v>2536</v>
      </c>
    </row>
    <row r="684">
      <c r="A684" s="535" t="s">
        <v>3401</v>
      </c>
      <c r="B684" s="541" t="s">
        <v>132</v>
      </c>
      <c r="C684" s="541" t="s">
        <v>132</v>
      </c>
      <c r="D684" s="541" t="s">
        <v>132</v>
      </c>
      <c r="E684" s="537"/>
      <c r="F684" s="537"/>
      <c r="G684" s="537"/>
      <c r="H684" s="537"/>
      <c r="I684" s="537"/>
      <c r="J684" s="537"/>
      <c r="K684" s="537"/>
      <c r="L684" s="537"/>
      <c r="M684" s="537"/>
      <c r="N684" s="377" t="s">
        <v>1524</v>
      </c>
      <c r="O684" s="538" t="s">
        <v>3402</v>
      </c>
      <c r="P684" s="539" t="s">
        <v>3403</v>
      </c>
      <c r="Q684" s="540">
        <v>0.0</v>
      </c>
      <c r="R684" s="537" t="s">
        <v>2536</v>
      </c>
    </row>
    <row r="685">
      <c r="A685" s="535" t="s">
        <v>3404</v>
      </c>
      <c r="B685" s="541" t="s">
        <v>132</v>
      </c>
      <c r="C685" s="541" t="s">
        <v>132</v>
      </c>
      <c r="D685" s="541" t="s">
        <v>132</v>
      </c>
      <c r="E685" s="537"/>
      <c r="F685" s="537"/>
      <c r="G685" s="537"/>
      <c r="H685" s="537"/>
      <c r="I685" s="537"/>
      <c r="J685" s="537"/>
      <c r="K685" s="537"/>
      <c r="L685" s="537"/>
      <c r="M685" s="537"/>
      <c r="N685" s="377" t="s">
        <v>1524</v>
      </c>
      <c r="O685" s="538" t="s">
        <v>3405</v>
      </c>
      <c r="P685" s="539" t="s">
        <v>3406</v>
      </c>
      <c r="Q685" s="540">
        <v>5.0</v>
      </c>
      <c r="R685" s="537" t="s">
        <v>2536</v>
      </c>
    </row>
    <row r="686">
      <c r="A686" s="535" t="s">
        <v>3407</v>
      </c>
      <c r="B686" s="541" t="s">
        <v>132</v>
      </c>
      <c r="C686" s="541" t="s">
        <v>132</v>
      </c>
      <c r="D686" s="541" t="s">
        <v>132</v>
      </c>
      <c r="E686" s="537"/>
      <c r="F686" s="537"/>
      <c r="G686" s="537"/>
      <c r="H686" s="537"/>
      <c r="I686" s="537"/>
      <c r="J686" s="537"/>
      <c r="K686" s="537"/>
      <c r="L686" s="537"/>
      <c r="M686" s="537"/>
      <c r="N686" s="377" t="s">
        <v>1524</v>
      </c>
      <c r="O686" s="538" t="s">
        <v>3408</v>
      </c>
      <c r="P686" s="539" t="s">
        <v>3409</v>
      </c>
      <c r="Q686" s="540">
        <v>0.0</v>
      </c>
      <c r="R686" s="537" t="s">
        <v>2536</v>
      </c>
    </row>
    <row r="687">
      <c r="A687" s="535" t="s">
        <v>3410</v>
      </c>
      <c r="B687" s="541" t="s">
        <v>132</v>
      </c>
      <c r="C687" s="541" t="s">
        <v>132</v>
      </c>
      <c r="D687" s="541" t="s">
        <v>132</v>
      </c>
      <c r="E687" s="537"/>
      <c r="F687" s="537"/>
      <c r="G687" s="537"/>
      <c r="H687" s="537"/>
      <c r="I687" s="537"/>
      <c r="J687" s="537"/>
      <c r="K687" s="537"/>
      <c r="L687" s="537"/>
      <c r="M687" s="537"/>
      <c r="N687" s="377" t="s">
        <v>1524</v>
      </c>
      <c r="O687" s="538" t="s">
        <v>2481</v>
      </c>
      <c r="P687" s="539" t="s">
        <v>3411</v>
      </c>
      <c r="Q687" s="540">
        <v>0.0</v>
      </c>
      <c r="R687" s="537" t="s">
        <v>2536</v>
      </c>
    </row>
    <row r="688">
      <c r="A688" s="535" t="s">
        <v>3412</v>
      </c>
      <c r="B688" s="541" t="s">
        <v>132</v>
      </c>
      <c r="C688" s="541" t="s">
        <v>132</v>
      </c>
      <c r="D688" s="541" t="s">
        <v>132</v>
      </c>
      <c r="E688" s="537"/>
      <c r="F688" s="537"/>
      <c r="G688" s="537"/>
      <c r="H688" s="537"/>
      <c r="I688" s="537"/>
      <c r="J688" s="537"/>
      <c r="K688" s="537"/>
      <c r="L688" s="537"/>
      <c r="M688" s="537"/>
      <c r="N688" s="377" t="s">
        <v>1524</v>
      </c>
      <c r="O688" s="538" t="s">
        <v>3413</v>
      </c>
      <c r="P688" s="539" t="s">
        <v>3414</v>
      </c>
      <c r="Q688" s="540">
        <v>25.0</v>
      </c>
      <c r="R688" s="537" t="s">
        <v>2536</v>
      </c>
    </row>
    <row r="689">
      <c r="A689" s="535" t="s">
        <v>3415</v>
      </c>
      <c r="B689" s="541" t="s">
        <v>132</v>
      </c>
      <c r="C689" s="541" t="s">
        <v>132</v>
      </c>
      <c r="D689" s="541" t="s">
        <v>132</v>
      </c>
      <c r="E689" s="537"/>
      <c r="F689" s="537"/>
      <c r="G689" s="537"/>
      <c r="H689" s="537"/>
      <c r="I689" s="537"/>
      <c r="J689" s="537"/>
      <c r="K689" s="537"/>
      <c r="L689" s="537"/>
      <c r="M689" s="537"/>
      <c r="N689" s="377" t="s">
        <v>1524</v>
      </c>
      <c r="O689" s="538" t="s">
        <v>3416</v>
      </c>
      <c r="P689" s="539" t="s">
        <v>3417</v>
      </c>
      <c r="Q689" s="540">
        <v>0.0</v>
      </c>
      <c r="R689" s="537" t="s">
        <v>2536</v>
      </c>
    </row>
    <row r="690">
      <c r="A690" s="535" t="s">
        <v>3418</v>
      </c>
      <c r="B690" s="541" t="s">
        <v>132</v>
      </c>
      <c r="C690" s="541" t="s">
        <v>132</v>
      </c>
      <c r="D690" s="541" t="s">
        <v>132</v>
      </c>
      <c r="E690" s="537"/>
      <c r="F690" s="537"/>
      <c r="G690" s="537"/>
      <c r="H690" s="537"/>
      <c r="I690" s="537"/>
      <c r="J690" s="537"/>
      <c r="K690" s="537"/>
      <c r="L690" s="537"/>
      <c r="M690" s="537"/>
      <c r="N690" s="377" t="s">
        <v>1524</v>
      </c>
      <c r="O690" s="538" t="s">
        <v>1390</v>
      </c>
      <c r="P690" s="539" t="s">
        <v>3419</v>
      </c>
      <c r="Q690" s="540">
        <v>8.0</v>
      </c>
      <c r="R690" s="537" t="s">
        <v>2440</v>
      </c>
    </row>
    <row r="691">
      <c r="A691" s="535" t="s">
        <v>3420</v>
      </c>
      <c r="B691" s="541" t="s">
        <v>132</v>
      </c>
      <c r="C691" s="541" t="s">
        <v>132</v>
      </c>
      <c r="D691" s="541" t="s">
        <v>132</v>
      </c>
      <c r="E691" s="537"/>
      <c r="F691" s="537"/>
      <c r="G691" s="537"/>
      <c r="H691" s="537"/>
      <c r="I691" s="537"/>
      <c r="J691" s="537"/>
      <c r="K691" s="537"/>
      <c r="L691" s="537"/>
      <c r="M691" s="537"/>
      <c r="N691" s="377" t="s">
        <v>1524</v>
      </c>
      <c r="O691" s="538" t="s">
        <v>1390</v>
      </c>
      <c r="P691" s="539" t="s">
        <v>3421</v>
      </c>
      <c r="Q691" s="540">
        <v>8.0</v>
      </c>
      <c r="R691" s="537" t="s">
        <v>2440</v>
      </c>
    </row>
    <row r="692">
      <c r="A692" s="535" t="s">
        <v>3422</v>
      </c>
      <c r="B692" s="541" t="s">
        <v>132</v>
      </c>
      <c r="C692" s="541" t="s">
        <v>132</v>
      </c>
      <c r="D692" s="541" t="s">
        <v>132</v>
      </c>
      <c r="E692" s="537"/>
      <c r="F692" s="537"/>
      <c r="G692" s="537"/>
      <c r="H692" s="537"/>
      <c r="I692" s="537"/>
      <c r="J692" s="537"/>
      <c r="K692" s="537"/>
      <c r="L692" s="537"/>
      <c r="M692" s="537"/>
      <c r="N692" s="377" t="s">
        <v>1524</v>
      </c>
      <c r="O692" s="538" t="s">
        <v>1390</v>
      </c>
      <c r="P692" s="539" t="s">
        <v>3423</v>
      </c>
      <c r="Q692" s="540">
        <v>8.0</v>
      </c>
      <c r="R692" s="537" t="s">
        <v>2440</v>
      </c>
    </row>
    <row r="693">
      <c r="A693" s="535" t="s">
        <v>3424</v>
      </c>
      <c r="B693" s="541" t="s">
        <v>132</v>
      </c>
      <c r="C693" s="541" t="s">
        <v>132</v>
      </c>
      <c r="D693" s="541" t="s">
        <v>132</v>
      </c>
      <c r="E693" s="537"/>
      <c r="F693" s="537"/>
      <c r="G693" s="537"/>
      <c r="H693" s="537"/>
      <c r="I693" s="537"/>
      <c r="J693" s="537"/>
      <c r="K693" s="537"/>
      <c r="L693" s="537"/>
      <c r="M693" s="537"/>
      <c r="N693" s="377" t="s">
        <v>1524</v>
      </c>
      <c r="O693" s="538" t="s">
        <v>1390</v>
      </c>
      <c r="P693" s="539" t="s">
        <v>3425</v>
      </c>
      <c r="Q693" s="540">
        <v>8.0</v>
      </c>
      <c r="R693" s="537" t="s">
        <v>2440</v>
      </c>
    </row>
    <row r="694">
      <c r="A694" s="535" t="s">
        <v>3426</v>
      </c>
      <c r="B694" s="541" t="s">
        <v>132</v>
      </c>
      <c r="C694" s="541" t="s">
        <v>132</v>
      </c>
      <c r="D694" s="541" t="s">
        <v>132</v>
      </c>
      <c r="E694" s="537"/>
      <c r="F694" s="537"/>
      <c r="G694" s="537"/>
      <c r="H694" s="537"/>
      <c r="I694" s="537"/>
      <c r="J694" s="537"/>
      <c r="K694" s="537"/>
      <c r="L694" s="537"/>
      <c r="M694" s="537"/>
      <c r="N694" s="377" t="s">
        <v>1524</v>
      </c>
      <c r="O694" s="538" t="s">
        <v>1390</v>
      </c>
      <c r="P694" s="539" t="s">
        <v>3427</v>
      </c>
      <c r="Q694" s="540">
        <v>8.0</v>
      </c>
      <c r="R694" s="537" t="s">
        <v>2440</v>
      </c>
    </row>
    <row r="695">
      <c r="A695" s="535" t="s">
        <v>3428</v>
      </c>
      <c r="B695" s="541" t="s">
        <v>132</v>
      </c>
      <c r="C695" s="541" t="s">
        <v>132</v>
      </c>
      <c r="D695" s="541" t="s">
        <v>132</v>
      </c>
      <c r="E695" s="537"/>
      <c r="F695" s="537"/>
      <c r="G695" s="537"/>
      <c r="H695" s="537"/>
      <c r="I695" s="537"/>
      <c r="J695" s="537"/>
      <c r="K695" s="537"/>
      <c r="L695" s="537"/>
      <c r="M695" s="537"/>
      <c r="N695" s="377" t="s">
        <v>1524</v>
      </c>
      <c r="O695" s="538" t="s">
        <v>3429</v>
      </c>
      <c r="P695" s="539" t="s">
        <v>3430</v>
      </c>
      <c r="Q695" s="540">
        <v>5.0</v>
      </c>
      <c r="R695" s="537" t="s">
        <v>2440</v>
      </c>
    </row>
    <row r="696">
      <c r="A696" s="535" t="s">
        <v>3431</v>
      </c>
      <c r="B696" s="541" t="s">
        <v>132</v>
      </c>
      <c r="C696" s="541" t="s">
        <v>132</v>
      </c>
      <c r="D696" s="541" t="s">
        <v>132</v>
      </c>
      <c r="E696" s="537"/>
      <c r="F696" s="537"/>
      <c r="G696" s="537"/>
      <c r="H696" s="537"/>
      <c r="I696" s="537"/>
      <c r="J696" s="537"/>
      <c r="K696" s="537"/>
      <c r="L696" s="537"/>
      <c r="M696" s="537"/>
      <c r="N696" s="377" t="s">
        <v>1524</v>
      </c>
      <c r="O696" s="538" t="s">
        <v>3432</v>
      </c>
      <c r="P696" s="539" t="s">
        <v>3433</v>
      </c>
      <c r="Q696" s="540">
        <v>0.0</v>
      </c>
      <c r="R696" s="537" t="s">
        <v>2536</v>
      </c>
    </row>
    <row r="697">
      <c r="A697" s="535" t="s">
        <v>3434</v>
      </c>
      <c r="B697" s="541" t="s">
        <v>132</v>
      </c>
      <c r="C697" s="541" t="s">
        <v>132</v>
      </c>
      <c r="D697" s="541" t="s">
        <v>132</v>
      </c>
      <c r="E697" s="537"/>
      <c r="F697" s="537"/>
      <c r="G697" s="537"/>
      <c r="H697" s="537"/>
      <c r="I697" s="537"/>
      <c r="J697" s="537"/>
      <c r="K697" s="537"/>
      <c r="L697" s="537"/>
      <c r="M697" s="537"/>
      <c r="N697" s="377" t="s">
        <v>1524</v>
      </c>
      <c r="O697" s="538" t="s">
        <v>3435</v>
      </c>
      <c r="P697" s="539" t="s">
        <v>3436</v>
      </c>
      <c r="Q697" s="540">
        <v>4.0</v>
      </c>
      <c r="R697" s="537" t="s">
        <v>2440</v>
      </c>
    </row>
    <row r="698">
      <c r="A698" s="535" t="s">
        <v>3437</v>
      </c>
      <c r="B698" s="541" t="s">
        <v>132</v>
      </c>
      <c r="C698" s="541" t="s">
        <v>132</v>
      </c>
      <c r="D698" s="541" t="s">
        <v>132</v>
      </c>
      <c r="E698" s="537"/>
      <c r="F698" s="537"/>
      <c r="G698" s="537"/>
      <c r="H698" s="537"/>
      <c r="I698" s="537"/>
      <c r="J698" s="537"/>
      <c r="K698" s="537"/>
      <c r="L698" s="537"/>
      <c r="M698" s="537"/>
      <c r="N698" s="377" t="s">
        <v>1524</v>
      </c>
      <c r="O698" s="538" t="s">
        <v>2481</v>
      </c>
      <c r="P698" s="539" t="s">
        <v>3438</v>
      </c>
      <c r="Q698" s="540">
        <v>5.0</v>
      </c>
      <c r="R698" s="537" t="s">
        <v>2536</v>
      </c>
    </row>
    <row r="699">
      <c r="A699" s="535" t="s">
        <v>3439</v>
      </c>
      <c r="B699" s="541" t="s">
        <v>132</v>
      </c>
      <c r="C699" s="541" t="s">
        <v>132</v>
      </c>
      <c r="D699" s="541" t="s">
        <v>132</v>
      </c>
      <c r="E699" s="537"/>
      <c r="F699" s="537"/>
      <c r="G699" s="537"/>
      <c r="H699" s="537"/>
      <c r="I699" s="537"/>
      <c r="J699" s="537"/>
      <c r="K699" s="537"/>
      <c r="L699" s="537"/>
      <c r="M699" s="537"/>
      <c r="N699" s="377" t="s">
        <v>1524</v>
      </c>
      <c r="O699" s="538" t="s">
        <v>2481</v>
      </c>
      <c r="P699" s="539" t="s">
        <v>3440</v>
      </c>
      <c r="Q699" s="540">
        <v>5.0</v>
      </c>
      <c r="R699" s="537" t="s">
        <v>2536</v>
      </c>
    </row>
    <row r="700">
      <c r="A700" s="535" t="s">
        <v>3441</v>
      </c>
      <c r="B700" s="541" t="s">
        <v>132</v>
      </c>
      <c r="C700" s="541" t="s">
        <v>132</v>
      </c>
      <c r="D700" s="541" t="s">
        <v>132</v>
      </c>
      <c r="E700" s="537"/>
      <c r="F700" s="537"/>
      <c r="G700" s="537"/>
      <c r="H700" s="537"/>
      <c r="I700" s="537"/>
      <c r="J700" s="537"/>
      <c r="K700" s="537"/>
      <c r="L700" s="537"/>
      <c r="M700" s="537"/>
      <c r="N700" s="377" t="s">
        <v>1524</v>
      </c>
      <c r="O700" s="538" t="s">
        <v>2481</v>
      </c>
      <c r="P700" s="539" t="s">
        <v>3442</v>
      </c>
      <c r="Q700" s="540">
        <v>5.0</v>
      </c>
      <c r="R700" s="537" t="s">
        <v>2536</v>
      </c>
    </row>
    <row r="701">
      <c r="A701" s="535" t="s">
        <v>3443</v>
      </c>
      <c r="B701" s="541" t="s">
        <v>132</v>
      </c>
      <c r="C701" s="541" t="s">
        <v>132</v>
      </c>
      <c r="D701" s="541" t="s">
        <v>132</v>
      </c>
      <c r="E701" s="537"/>
      <c r="F701" s="537"/>
      <c r="G701" s="537"/>
      <c r="H701" s="537"/>
      <c r="I701" s="537"/>
      <c r="J701" s="537"/>
      <c r="K701" s="537"/>
      <c r="L701" s="537"/>
      <c r="M701" s="537"/>
      <c r="N701" s="377" t="s">
        <v>1524</v>
      </c>
      <c r="O701" s="538" t="s">
        <v>2481</v>
      </c>
      <c r="P701" s="539" t="s">
        <v>3444</v>
      </c>
      <c r="Q701" s="540">
        <v>5.0</v>
      </c>
      <c r="R701" s="537" t="s">
        <v>2536</v>
      </c>
    </row>
    <row r="702">
      <c r="A702" s="535" t="s">
        <v>3445</v>
      </c>
      <c r="B702" s="541" t="s">
        <v>132</v>
      </c>
      <c r="C702" s="541" t="s">
        <v>132</v>
      </c>
      <c r="D702" s="541" t="s">
        <v>132</v>
      </c>
      <c r="E702" s="537"/>
      <c r="F702" s="537"/>
      <c r="G702" s="537"/>
      <c r="H702" s="537"/>
      <c r="I702" s="537"/>
      <c r="J702" s="537"/>
      <c r="K702" s="537"/>
      <c r="L702" s="537"/>
      <c r="M702" s="537"/>
      <c r="N702" s="377" t="s">
        <v>1524</v>
      </c>
      <c r="O702" s="538" t="s">
        <v>2481</v>
      </c>
      <c r="P702" s="539" t="s">
        <v>3446</v>
      </c>
      <c r="Q702" s="540">
        <v>5.0</v>
      </c>
      <c r="R702" s="537" t="s">
        <v>2536</v>
      </c>
    </row>
    <row r="703">
      <c r="A703" s="535" t="s">
        <v>3447</v>
      </c>
      <c r="B703" s="541" t="s">
        <v>132</v>
      </c>
      <c r="C703" s="541" t="s">
        <v>132</v>
      </c>
      <c r="D703" s="541" t="s">
        <v>132</v>
      </c>
      <c r="E703" s="537"/>
      <c r="F703" s="537"/>
      <c r="G703" s="537"/>
      <c r="H703" s="537"/>
      <c r="I703" s="537"/>
      <c r="J703" s="537"/>
      <c r="K703" s="537"/>
      <c r="L703" s="537"/>
      <c r="M703" s="537"/>
      <c r="N703" s="377" t="s">
        <v>1524</v>
      </c>
      <c r="O703" s="538" t="s">
        <v>3448</v>
      </c>
      <c r="P703" s="539" t="s">
        <v>3449</v>
      </c>
      <c r="Q703" s="540">
        <v>5.0</v>
      </c>
      <c r="R703" s="537" t="s">
        <v>2536</v>
      </c>
    </row>
    <row r="704">
      <c r="A704" s="535" t="s">
        <v>3450</v>
      </c>
      <c r="B704" s="541" t="s">
        <v>132</v>
      </c>
      <c r="C704" s="541" t="s">
        <v>132</v>
      </c>
      <c r="D704" s="541" t="s">
        <v>132</v>
      </c>
      <c r="E704" s="537"/>
      <c r="F704" s="537"/>
      <c r="G704" s="537"/>
      <c r="H704" s="537"/>
      <c r="I704" s="537"/>
      <c r="J704" s="537"/>
      <c r="K704" s="537"/>
      <c r="L704" s="537"/>
      <c r="M704" s="537"/>
      <c r="N704" s="377" t="s">
        <v>1524</v>
      </c>
      <c r="O704" s="538" t="s">
        <v>3451</v>
      </c>
      <c r="P704" s="539" t="s">
        <v>3452</v>
      </c>
      <c r="Q704" s="540">
        <v>5.0</v>
      </c>
      <c r="R704" s="537" t="s">
        <v>2536</v>
      </c>
    </row>
    <row r="705">
      <c r="A705" s="535" t="s">
        <v>3453</v>
      </c>
      <c r="B705" s="541" t="s">
        <v>132</v>
      </c>
      <c r="C705" s="541" t="s">
        <v>132</v>
      </c>
      <c r="D705" s="541" t="s">
        <v>132</v>
      </c>
      <c r="E705" s="537"/>
      <c r="F705" s="537"/>
      <c r="G705" s="537"/>
      <c r="H705" s="537"/>
      <c r="I705" s="537"/>
      <c r="J705" s="537"/>
      <c r="K705" s="537"/>
      <c r="L705" s="537"/>
      <c r="M705" s="537"/>
      <c r="N705" s="377" t="s">
        <v>1524</v>
      </c>
      <c r="O705" s="538" t="s">
        <v>3454</v>
      </c>
      <c r="P705" s="539" t="s">
        <v>3455</v>
      </c>
      <c r="Q705" s="540">
        <v>100.0</v>
      </c>
      <c r="R705" s="537" t="s">
        <v>2536</v>
      </c>
    </row>
    <row r="706">
      <c r="A706" s="535" t="s">
        <v>3456</v>
      </c>
      <c r="B706" s="541" t="s">
        <v>132</v>
      </c>
      <c r="C706" s="541" t="s">
        <v>132</v>
      </c>
      <c r="D706" s="541" t="s">
        <v>132</v>
      </c>
      <c r="E706" s="537"/>
      <c r="F706" s="537"/>
      <c r="G706" s="537"/>
      <c r="H706" s="537"/>
      <c r="I706" s="537"/>
      <c r="J706" s="537"/>
      <c r="K706" s="537"/>
      <c r="L706" s="537"/>
      <c r="M706" s="537"/>
      <c r="N706" s="377" t="s">
        <v>1524</v>
      </c>
      <c r="O706" s="538" t="s">
        <v>2481</v>
      </c>
      <c r="P706" s="539" t="s">
        <v>3457</v>
      </c>
      <c r="Q706" s="540">
        <v>5.0</v>
      </c>
      <c r="R706" s="537" t="s">
        <v>2536</v>
      </c>
    </row>
    <row r="707">
      <c r="A707" s="535" t="s">
        <v>3458</v>
      </c>
      <c r="B707" s="541" t="s">
        <v>132</v>
      </c>
      <c r="C707" s="541" t="s">
        <v>132</v>
      </c>
      <c r="D707" s="541" t="s">
        <v>132</v>
      </c>
      <c r="E707" s="537"/>
      <c r="F707" s="537"/>
      <c r="G707" s="537"/>
      <c r="H707" s="537"/>
      <c r="I707" s="537"/>
      <c r="J707" s="537"/>
      <c r="K707" s="537"/>
      <c r="L707" s="537"/>
      <c r="M707" s="537"/>
      <c r="N707" s="377" t="s">
        <v>1524</v>
      </c>
      <c r="O707" s="538" t="s">
        <v>2481</v>
      </c>
      <c r="P707" s="539" t="s">
        <v>3459</v>
      </c>
      <c r="Q707" s="540">
        <v>5.0</v>
      </c>
      <c r="R707" s="537" t="s">
        <v>2536</v>
      </c>
    </row>
    <row r="708">
      <c r="A708" s="535" t="s">
        <v>3460</v>
      </c>
      <c r="B708" s="541" t="s">
        <v>132</v>
      </c>
      <c r="C708" s="541" t="s">
        <v>132</v>
      </c>
      <c r="D708" s="541" t="s">
        <v>132</v>
      </c>
      <c r="E708" s="537"/>
      <c r="F708" s="537"/>
      <c r="G708" s="537"/>
      <c r="H708" s="537"/>
      <c r="I708" s="537"/>
      <c r="J708" s="537"/>
      <c r="K708" s="537"/>
      <c r="L708" s="537"/>
      <c r="M708" s="537"/>
      <c r="N708" s="377" t="s">
        <v>1524</v>
      </c>
      <c r="O708" s="538" t="s">
        <v>2481</v>
      </c>
      <c r="P708" s="539" t="s">
        <v>3461</v>
      </c>
      <c r="Q708" s="540">
        <v>2.0</v>
      </c>
      <c r="R708" s="537" t="s">
        <v>2440</v>
      </c>
    </row>
    <row r="709">
      <c r="A709" s="535" t="s">
        <v>3462</v>
      </c>
      <c r="B709" s="541" t="s">
        <v>132</v>
      </c>
      <c r="C709" s="541" t="s">
        <v>132</v>
      </c>
      <c r="D709" s="541" t="s">
        <v>132</v>
      </c>
      <c r="E709" s="537"/>
      <c r="F709" s="537"/>
      <c r="G709" s="537"/>
      <c r="H709" s="537"/>
      <c r="I709" s="537"/>
      <c r="J709" s="537"/>
      <c r="K709" s="537"/>
      <c r="L709" s="537"/>
      <c r="M709" s="537"/>
      <c r="N709" s="377" t="s">
        <v>1524</v>
      </c>
      <c r="O709" s="538" t="s">
        <v>3463</v>
      </c>
      <c r="P709" s="539" t="s">
        <v>3464</v>
      </c>
      <c r="Q709" s="540">
        <v>0.0</v>
      </c>
      <c r="R709" s="537" t="s">
        <v>2536</v>
      </c>
    </row>
    <row r="710">
      <c r="A710" s="535" t="s">
        <v>3465</v>
      </c>
      <c r="B710" s="541" t="s">
        <v>132</v>
      </c>
      <c r="C710" s="541" t="s">
        <v>132</v>
      </c>
      <c r="D710" s="541" t="s">
        <v>132</v>
      </c>
      <c r="E710" s="537"/>
      <c r="F710" s="537"/>
      <c r="G710" s="537"/>
      <c r="H710" s="537"/>
      <c r="I710" s="537"/>
      <c r="J710" s="537"/>
      <c r="K710" s="537"/>
      <c r="L710" s="537"/>
      <c r="M710" s="537"/>
      <c r="N710" s="377" t="s">
        <v>1524</v>
      </c>
      <c r="O710" s="538" t="s">
        <v>3466</v>
      </c>
      <c r="P710" s="539" t="s">
        <v>3467</v>
      </c>
      <c r="Q710" s="540">
        <v>5.0</v>
      </c>
      <c r="R710" s="537" t="s">
        <v>2536</v>
      </c>
    </row>
    <row r="711">
      <c r="A711" s="535" t="s">
        <v>3468</v>
      </c>
      <c r="B711" s="541" t="s">
        <v>132</v>
      </c>
      <c r="C711" s="541" t="s">
        <v>132</v>
      </c>
      <c r="D711" s="541" t="s">
        <v>132</v>
      </c>
      <c r="E711" s="537"/>
      <c r="F711" s="537"/>
      <c r="G711" s="537"/>
      <c r="H711" s="537"/>
      <c r="I711" s="537"/>
      <c r="J711" s="537"/>
      <c r="K711" s="537"/>
      <c r="L711" s="537"/>
      <c r="M711" s="537"/>
      <c r="N711" s="377" t="s">
        <v>1524</v>
      </c>
      <c r="O711" s="538" t="s">
        <v>3469</v>
      </c>
      <c r="P711" s="539" t="s">
        <v>3470</v>
      </c>
      <c r="Q711" s="540">
        <v>0.0</v>
      </c>
      <c r="R711" s="537" t="s">
        <v>2536</v>
      </c>
    </row>
    <row r="712">
      <c r="A712" s="535" t="s">
        <v>3471</v>
      </c>
      <c r="B712" s="541" t="s">
        <v>132</v>
      </c>
      <c r="C712" s="541" t="s">
        <v>132</v>
      </c>
      <c r="D712" s="541" t="s">
        <v>132</v>
      </c>
      <c r="E712" s="537"/>
      <c r="F712" s="537"/>
      <c r="G712" s="537"/>
      <c r="H712" s="537"/>
      <c r="I712" s="537"/>
      <c r="J712" s="537"/>
      <c r="K712" s="537"/>
      <c r="L712" s="537"/>
      <c r="M712" s="537"/>
      <c r="N712" s="377" t="s">
        <v>1524</v>
      </c>
      <c r="O712" s="538" t="s">
        <v>3472</v>
      </c>
      <c r="P712" s="539" t="s">
        <v>3473</v>
      </c>
      <c r="Q712" s="540">
        <v>0.0</v>
      </c>
      <c r="R712" s="537" t="s">
        <v>2536</v>
      </c>
    </row>
    <row r="713">
      <c r="A713" s="535" t="s">
        <v>3474</v>
      </c>
      <c r="B713" s="541" t="s">
        <v>132</v>
      </c>
      <c r="C713" s="541" t="s">
        <v>132</v>
      </c>
      <c r="D713" s="541" t="s">
        <v>132</v>
      </c>
      <c r="E713" s="537"/>
      <c r="F713" s="537"/>
      <c r="G713" s="537"/>
      <c r="H713" s="537"/>
      <c r="I713" s="537"/>
      <c r="J713" s="537"/>
      <c r="K713" s="537"/>
      <c r="L713" s="537"/>
      <c r="M713" s="537"/>
      <c r="N713" s="377" t="s">
        <v>1524</v>
      </c>
      <c r="O713" s="538" t="s">
        <v>3475</v>
      </c>
      <c r="P713" s="539" t="s">
        <v>3476</v>
      </c>
      <c r="Q713" s="540">
        <v>1.0</v>
      </c>
      <c r="R713" s="537" t="s">
        <v>2536</v>
      </c>
    </row>
    <row r="714">
      <c r="A714" s="535" t="s">
        <v>3477</v>
      </c>
      <c r="B714" s="541" t="s">
        <v>132</v>
      </c>
      <c r="C714" s="541" t="s">
        <v>132</v>
      </c>
      <c r="D714" s="541" t="s">
        <v>132</v>
      </c>
      <c r="E714" s="537"/>
      <c r="F714" s="537"/>
      <c r="G714" s="537"/>
      <c r="H714" s="537"/>
      <c r="I714" s="537"/>
      <c r="J714" s="537"/>
      <c r="K714" s="537"/>
      <c r="L714" s="537"/>
      <c r="M714" s="537"/>
      <c r="N714" s="377" t="s">
        <v>1524</v>
      </c>
      <c r="O714" s="538" t="s">
        <v>3478</v>
      </c>
      <c r="P714" s="539" t="s">
        <v>3479</v>
      </c>
      <c r="Q714" s="540">
        <v>0.0</v>
      </c>
      <c r="R714" s="537" t="s">
        <v>2536</v>
      </c>
    </row>
    <row r="715">
      <c r="A715" s="535" t="s">
        <v>3480</v>
      </c>
      <c r="B715" s="541" t="s">
        <v>132</v>
      </c>
      <c r="C715" s="541" t="s">
        <v>132</v>
      </c>
      <c r="D715" s="541" t="s">
        <v>132</v>
      </c>
      <c r="E715" s="537"/>
      <c r="F715" s="537"/>
      <c r="G715" s="537"/>
      <c r="H715" s="537"/>
      <c r="I715" s="537"/>
      <c r="J715" s="537"/>
      <c r="K715" s="537"/>
      <c r="L715" s="537"/>
      <c r="M715" s="537"/>
      <c r="N715" s="377" t="s">
        <v>1524</v>
      </c>
      <c r="O715" s="538" t="s">
        <v>3481</v>
      </c>
      <c r="P715" s="539" t="s">
        <v>3482</v>
      </c>
      <c r="Q715" s="540">
        <v>0.0</v>
      </c>
      <c r="R715" s="537" t="s">
        <v>2536</v>
      </c>
    </row>
    <row r="716">
      <c r="A716" s="535" t="s">
        <v>3483</v>
      </c>
      <c r="B716" s="541" t="s">
        <v>132</v>
      </c>
      <c r="C716" s="541" t="s">
        <v>132</v>
      </c>
      <c r="D716" s="541" t="s">
        <v>132</v>
      </c>
      <c r="E716" s="537"/>
      <c r="F716" s="537"/>
      <c r="G716" s="537"/>
      <c r="H716" s="537"/>
      <c r="I716" s="537"/>
      <c r="J716" s="537"/>
      <c r="K716" s="537"/>
      <c r="L716" s="537"/>
      <c r="M716" s="537"/>
      <c r="N716" s="377" t="s">
        <v>1524</v>
      </c>
      <c r="O716" s="538" t="s">
        <v>3484</v>
      </c>
      <c r="P716" s="539" t="s">
        <v>3485</v>
      </c>
      <c r="Q716" s="540">
        <v>30.0</v>
      </c>
      <c r="R716" s="537" t="s">
        <v>2440</v>
      </c>
    </row>
    <row r="717">
      <c r="A717" s="535" t="s">
        <v>3486</v>
      </c>
      <c r="B717" s="541" t="s">
        <v>132</v>
      </c>
      <c r="C717" s="541" t="s">
        <v>132</v>
      </c>
      <c r="D717" s="541" t="s">
        <v>132</v>
      </c>
      <c r="E717" s="537"/>
      <c r="F717" s="537"/>
      <c r="G717" s="537"/>
      <c r="H717" s="537"/>
      <c r="I717" s="537"/>
      <c r="J717" s="537"/>
      <c r="K717" s="537"/>
      <c r="L717" s="537"/>
      <c r="M717" s="537"/>
      <c r="N717" s="377" t="s">
        <v>1524</v>
      </c>
      <c r="O717" s="538" t="s">
        <v>3487</v>
      </c>
      <c r="P717" s="539" t="s">
        <v>3488</v>
      </c>
      <c r="Q717" s="540">
        <v>4.0</v>
      </c>
      <c r="R717" s="537" t="s">
        <v>2440</v>
      </c>
    </row>
    <row r="718">
      <c r="A718" s="535" t="s">
        <v>3489</v>
      </c>
      <c r="B718" s="541" t="s">
        <v>132</v>
      </c>
      <c r="C718" s="541" t="s">
        <v>132</v>
      </c>
      <c r="D718" s="541" t="s">
        <v>132</v>
      </c>
      <c r="E718" s="537"/>
      <c r="F718" s="537"/>
      <c r="G718" s="537"/>
      <c r="H718" s="537"/>
      <c r="I718" s="537"/>
      <c r="J718" s="537"/>
      <c r="K718" s="537"/>
      <c r="L718" s="537"/>
      <c r="M718" s="537"/>
      <c r="N718" s="377" t="s">
        <v>1524</v>
      </c>
      <c r="O718" s="538" t="s">
        <v>3490</v>
      </c>
      <c r="P718" s="539" t="s">
        <v>3491</v>
      </c>
      <c r="Q718" s="540">
        <v>5.0</v>
      </c>
      <c r="R718" s="537" t="s">
        <v>2536</v>
      </c>
    </row>
    <row r="719">
      <c r="A719" s="535" t="s">
        <v>3492</v>
      </c>
      <c r="B719" s="541" t="s">
        <v>132</v>
      </c>
      <c r="C719" s="541" t="s">
        <v>132</v>
      </c>
      <c r="D719" s="541" t="s">
        <v>132</v>
      </c>
      <c r="E719" s="537"/>
      <c r="F719" s="537"/>
      <c r="G719" s="537"/>
      <c r="H719" s="537"/>
      <c r="I719" s="537"/>
      <c r="J719" s="537"/>
      <c r="K719" s="537"/>
      <c r="L719" s="537"/>
      <c r="M719" s="537"/>
      <c r="N719" s="377" t="s">
        <v>1524</v>
      </c>
      <c r="O719" s="538" t="s">
        <v>3490</v>
      </c>
      <c r="P719" s="539" t="s">
        <v>3493</v>
      </c>
      <c r="Q719" s="540">
        <v>5.0</v>
      </c>
      <c r="R719" s="537" t="s">
        <v>2536</v>
      </c>
    </row>
    <row r="720">
      <c r="A720" s="535" t="s">
        <v>3494</v>
      </c>
      <c r="B720" s="541" t="s">
        <v>132</v>
      </c>
      <c r="C720" s="541" t="s">
        <v>132</v>
      </c>
      <c r="D720" s="541" t="s">
        <v>132</v>
      </c>
      <c r="E720" s="537"/>
      <c r="F720" s="537"/>
      <c r="G720" s="537"/>
      <c r="H720" s="537"/>
      <c r="I720" s="537"/>
      <c r="J720" s="537"/>
      <c r="K720" s="537"/>
      <c r="L720" s="537"/>
      <c r="M720" s="537"/>
      <c r="N720" s="377" t="s">
        <v>1524</v>
      </c>
      <c r="O720" s="538" t="s">
        <v>3490</v>
      </c>
      <c r="P720" s="539" t="s">
        <v>3495</v>
      </c>
      <c r="Q720" s="540">
        <v>5.0</v>
      </c>
      <c r="R720" s="537" t="s">
        <v>2536</v>
      </c>
    </row>
    <row r="721">
      <c r="A721" s="535" t="s">
        <v>3496</v>
      </c>
      <c r="B721" s="541" t="s">
        <v>132</v>
      </c>
      <c r="C721" s="541" t="s">
        <v>132</v>
      </c>
      <c r="D721" s="541" t="s">
        <v>132</v>
      </c>
      <c r="E721" s="537"/>
      <c r="F721" s="537"/>
      <c r="G721" s="537"/>
      <c r="H721" s="537"/>
      <c r="I721" s="537"/>
      <c r="J721" s="537"/>
      <c r="K721" s="537"/>
      <c r="L721" s="537"/>
      <c r="M721" s="537"/>
      <c r="N721" s="377" t="s">
        <v>1524</v>
      </c>
      <c r="O721" s="538" t="s">
        <v>3490</v>
      </c>
      <c r="P721" s="539" t="s">
        <v>3497</v>
      </c>
      <c r="Q721" s="540">
        <v>5.0</v>
      </c>
      <c r="R721" s="537" t="s">
        <v>2536</v>
      </c>
    </row>
    <row r="722">
      <c r="A722" s="535" t="s">
        <v>3498</v>
      </c>
      <c r="B722" s="541" t="s">
        <v>132</v>
      </c>
      <c r="C722" s="541" t="s">
        <v>132</v>
      </c>
      <c r="D722" s="541" t="s">
        <v>132</v>
      </c>
      <c r="E722" s="537"/>
      <c r="F722" s="537"/>
      <c r="G722" s="537"/>
      <c r="H722" s="537"/>
      <c r="I722" s="537"/>
      <c r="J722" s="537"/>
      <c r="K722" s="537"/>
      <c r="L722" s="537"/>
      <c r="M722" s="537"/>
      <c r="N722" s="377" t="s">
        <v>1524</v>
      </c>
      <c r="O722" s="538" t="s">
        <v>3499</v>
      </c>
      <c r="P722" s="539" t="s">
        <v>3500</v>
      </c>
      <c r="Q722" s="540">
        <v>5.0</v>
      </c>
      <c r="R722" s="537" t="s">
        <v>2536</v>
      </c>
    </row>
    <row r="723">
      <c r="A723" s="535" t="s">
        <v>3501</v>
      </c>
      <c r="B723" s="541" t="s">
        <v>132</v>
      </c>
      <c r="C723" s="541" t="s">
        <v>132</v>
      </c>
      <c r="D723" s="541" t="s">
        <v>132</v>
      </c>
      <c r="E723" s="537"/>
      <c r="F723" s="537"/>
      <c r="G723" s="537"/>
      <c r="H723" s="537"/>
      <c r="I723" s="537"/>
      <c r="J723" s="537"/>
      <c r="K723" s="537"/>
      <c r="L723" s="537"/>
      <c r="M723" s="537"/>
      <c r="N723" s="377" t="s">
        <v>1524</v>
      </c>
      <c r="O723" s="538" t="s">
        <v>3502</v>
      </c>
      <c r="P723" s="539" t="s">
        <v>3503</v>
      </c>
      <c r="Q723" s="540">
        <v>0.0</v>
      </c>
      <c r="R723" s="537" t="s">
        <v>2536</v>
      </c>
    </row>
    <row r="724">
      <c r="A724" s="535" t="s">
        <v>3504</v>
      </c>
      <c r="B724" s="541" t="s">
        <v>132</v>
      </c>
      <c r="C724" s="541" t="s">
        <v>132</v>
      </c>
      <c r="D724" s="541" t="s">
        <v>132</v>
      </c>
      <c r="E724" s="537"/>
      <c r="F724" s="537"/>
      <c r="G724" s="537"/>
      <c r="H724" s="537"/>
      <c r="I724" s="537"/>
      <c r="J724" s="537"/>
      <c r="K724" s="537"/>
      <c r="L724" s="537"/>
      <c r="M724" s="537"/>
      <c r="N724" s="377" t="s">
        <v>1524</v>
      </c>
      <c r="O724" s="538" t="s">
        <v>3505</v>
      </c>
      <c r="P724" s="539" t="s">
        <v>3506</v>
      </c>
      <c r="Q724" s="540">
        <v>5.0</v>
      </c>
      <c r="R724" s="537" t="s">
        <v>2536</v>
      </c>
    </row>
    <row r="725">
      <c r="A725" s="535" t="s">
        <v>3507</v>
      </c>
      <c r="B725" s="541" t="s">
        <v>132</v>
      </c>
      <c r="C725" s="541" t="s">
        <v>132</v>
      </c>
      <c r="D725" s="541" t="s">
        <v>132</v>
      </c>
      <c r="E725" s="537"/>
      <c r="F725" s="537"/>
      <c r="G725" s="537"/>
      <c r="H725" s="537"/>
      <c r="I725" s="537"/>
      <c r="J725" s="537"/>
      <c r="K725" s="537"/>
      <c r="L725" s="537"/>
      <c r="M725" s="537"/>
      <c r="N725" s="377" t="s">
        <v>1524</v>
      </c>
      <c r="O725" s="538" t="s">
        <v>2481</v>
      </c>
      <c r="P725" s="539" t="s">
        <v>3508</v>
      </c>
      <c r="Q725" s="540">
        <v>5.0</v>
      </c>
      <c r="R725" s="537" t="s">
        <v>2536</v>
      </c>
    </row>
    <row r="726">
      <c r="A726" s="535" t="s">
        <v>3509</v>
      </c>
      <c r="B726" s="541" t="s">
        <v>132</v>
      </c>
      <c r="C726" s="541" t="s">
        <v>132</v>
      </c>
      <c r="D726" s="541" t="s">
        <v>132</v>
      </c>
      <c r="E726" s="537"/>
      <c r="F726" s="537"/>
      <c r="G726" s="537"/>
      <c r="H726" s="537"/>
      <c r="I726" s="537"/>
      <c r="J726" s="537"/>
      <c r="K726" s="537"/>
      <c r="L726" s="537"/>
      <c r="M726" s="537"/>
      <c r="N726" s="377" t="s">
        <v>1524</v>
      </c>
      <c r="O726" s="538" t="s">
        <v>2481</v>
      </c>
      <c r="P726" s="539" t="s">
        <v>3510</v>
      </c>
      <c r="Q726" s="540">
        <v>5.0</v>
      </c>
      <c r="R726" s="537" t="s">
        <v>3511</v>
      </c>
    </row>
    <row r="727">
      <c r="A727" s="535" t="s">
        <v>3512</v>
      </c>
      <c r="B727" s="541" t="s">
        <v>132</v>
      </c>
      <c r="C727" s="541" t="s">
        <v>132</v>
      </c>
      <c r="D727" s="541" t="s">
        <v>132</v>
      </c>
      <c r="E727" s="537"/>
      <c r="F727" s="537"/>
      <c r="G727" s="537"/>
      <c r="H727" s="537"/>
      <c r="I727" s="537"/>
      <c r="J727" s="537"/>
      <c r="K727" s="537"/>
      <c r="L727" s="537"/>
      <c r="M727" s="537"/>
      <c r="N727" s="377" t="s">
        <v>1524</v>
      </c>
      <c r="O727" s="538" t="s">
        <v>3513</v>
      </c>
      <c r="P727" s="539" t="s">
        <v>3514</v>
      </c>
      <c r="Q727" s="540">
        <v>100.0</v>
      </c>
      <c r="R727" s="537" t="s">
        <v>2536</v>
      </c>
    </row>
    <row r="728">
      <c r="A728" s="535" t="s">
        <v>3515</v>
      </c>
      <c r="B728" s="541" t="s">
        <v>132</v>
      </c>
      <c r="C728" s="541" t="s">
        <v>132</v>
      </c>
      <c r="D728" s="541" t="s">
        <v>132</v>
      </c>
      <c r="E728" s="537"/>
      <c r="F728" s="537"/>
      <c r="G728" s="537"/>
      <c r="H728" s="537"/>
      <c r="I728" s="537"/>
      <c r="J728" s="537"/>
      <c r="K728" s="537"/>
      <c r="L728" s="537"/>
      <c r="M728" s="537"/>
      <c r="N728" s="377" t="s">
        <v>1524</v>
      </c>
      <c r="O728" s="538" t="s">
        <v>2481</v>
      </c>
      <c r="P728" s="539" t="s">
        <v>3516</v>
      </c>
      <c r="Q728" s="540">
        <v>25.0</v>
      </c>
      <c r="R728" s="537" t="s">
        <v>2536</v>
      </c>
    </row>
    <row r="729">
      <c r="A729" s="535" t="s">
        <v>3517</v>
      </c>
      <c r="B729" s="541" t="s">
        <v>132</v>
      </c>
      <c r="C729" s="541" t="s">
        <v>132</v>
      </c>
      <c r="D729" s="541" t="s">
        <v>132</v>
      </c>
      <c r="E729" s="537"/>
      <c r="F729" s="537"/>
      <c r="G729" s="537"/>
      <c r="H729" s="537"/>
      <c r="I729" s="537"/>
      <c r="J729" s="537"/>
      <c r="K729" s="537"/>
      <c r="L729" s="537"/>
      <c r="M729" s="537"/>
      <c r="N729" s="377" t="s">
        <v>1524</v>
      </c>
      <c r="O729" s="538" t="s">
        <v>3518</v>
      </c>
      <c r="P729" s="539" t="s">
        <v>3519</v>
      </c>
      <c r="Q729" s="540">
        <v>5.0</v>
      </c>
      <c r="R729" s="537" t="s">
        <v>2536</v>
      </c>
    </row>
    <row r="730">
      <c r="A730" s="535" t="s">
        <v>3520</v>
      </c>
      <c r="B730" s="541" t="s">
        <v>132</v>
      </c>
      <c r="C730" s="541" t="s">
        <v>132</v>
      </c>
      <c r="D730" s="541" t="s">
        <v>132</v>
      </c>
      <c r="E730" s="537"/>
      <c r="F730" s="537"/>
      <c r="G730" s="537"/>
      <c r="H730" s="537"/>
      <c r="I730" s="537"/>
      <c r="J730" s="537"/>
      <c r="K730" s="537"/>
      <c r="L730" s="537"/>
      <c r="M730" s="537"/>
      <c r="N730" s="377" t="s">
        <v>1524</v>
      </c>
      <c r="O730" s="538" t="s">
        <v>2481</v>
      </c>
      <c r="P730" s="539" t="s">
        <v>3521</v>
      </c>
      <c r="Q730" s="540">
        <v>5.0</v>
      </c>
      <c r="R730" s="537" t="s">
        <v>2536</v>
      </c>
    </row>
    <row r="731">
      <c r="A731" s="535" t="s">
        <v>3522</v>
      </c>
      <c r="B731" s="541" t="s">
        <v>132</v>
      </c>
      <c r="C731" s="541" t="s">
        <v>132</v>
      </c>
      <c r="D731" s="541" t="s">
        <v>132</v>
      </c>
      <c r="E731" s="537"/>
      <c r="F731" s="537"/>
      <c r="G731" s="537"/>
      <c r="H731" s="537"/>
      <c r="I731" s="537"/>
      <c r="J731" s="537"/>
      <c r="K731" s="537"/>
      <c r="L731" s="537"/>
      <c r="M731" s="537"/>
      <c r="N731" s="377" t="s">
        <v>1524</v>
      </c>
      <c r="O731" s="538" t="s">
        <v>2481</v>
      </c>
      <c r="P731" s="539" t="s">
        <v>3523</v>
      </c>
      <c r="Q731" s="540">
        <v>5.0</v>
      </c>
      <c r="R731" s="537" t="s">
        <v>2536</v>
      </c>
    </row>
    <row r="732">
      <c r="A732" s="535" t="s">
        <v>3524</v>
      </c>
      <c r="B732" s="541" t="s">
        <v>132</v>
      </c>
      <c r="C732" s="541" t="s">
        <v>132</v>
      </c>
      <c r="D732" s="541" t="s">
        <v>132</v>
      </c>
      <c r="E732" s="537"/>
      <c r="F732" s="537"/>
      <c r="G732" s="537"/>
      <c r="H732" s="537"/>
      <c r="I732" s="537"/>
      <c r="J732" s="537"/>
      <c r="K732" s="537"/>
      <c r="L732" s="537"/>
      <c r="M732" s="537"/>
      <c r="N732" s="377" t="s">
        <v>1524</v>
      </c>
      <c r="O732" s="538" t="s">
        <v>3525</v>
      </c>
      <c r="P732" s="539" t="s">
        <v>3526</v>
      </c>
      <c r="Q732" s="540">
        <v>5.0</v>
      </c>
      <c r="R732" s="537" t="s">
        <v>2536</v>
      </c>
    </row>
    <row r="733">
      <c r="A733" s="535" t="s">
        <v>3527</v>
      </c>
      <c r="B733" s="541" t="s">
        <v>132</v>
      </c>
      <c r="C733" s="541" t="s">
        <v>132</v>
      </c>
      <c r="D733" s="541" t="s">
        <v>132</v>
      </c>
      <c r="E733" s="537"/>
      <c r="F733" s="537"/>
      <c r="G733" s="537"/>
      <c r="H733" s="537"/>
      <c r="I733" s="537"/>
      <c r="J733" s="537"/>
      <c r="K733" s="537"/>
      <c r="L733" s="537"/>
      <c r="M733" s="537"/>
      <c r="N733" s="377" t="s">
        <v>1524</v>
      </c>
      <c r="O733" s="538" t="s">
        <v>2481</v>
      </c>
      <c r="P733" s="539" t="s">
        <v>3528</v>
      </c>
      <c r="Q733" s="540">
        <v>5.0</v>
      </c>
      <c r="R733" s="537" t="s">
        <v>2536</v>
      </c>
    </row>
    <row r="734">
      <c r="A734" s="535" t="s">
        <v>3529</v>
      </c>
      <c r="B734" s="541" t="s">
        <v>132</v>
      </c>
      <c r="C734" s="541" t="s">
        <v>132</v>
      </c>
      <c r="D734" s="541" t="s">
        <v>132</v>
      </c>
      <c r="E734" s="537"/>
      <c r="F734" s="537"/>
      <c r="G734" s="537"/>
      <c r="H734" s="537"/>
      <c r="I734" s="537"/>
      <c r="J734" s="537"/>
      <c r="K734" s="537"/>
      <c r="L734" s="537"/>
      <c r="M734" s="537"/>
      <c r="N734" s="377" t="s">
        <v>1524</v>
      </c>
      <c r="O734" s="538" t="s">
        <v>3530</v>
      </c>
      <c r="P734" s="539" t="s">
        <v>3531</v>
      </c>
      <c r="Q734" s="540">
        <v>0.0</v>
      </c>
      <c r="R734" s="537" t="s">
        <v>2536</v>
      </c>
    </row>
    <row r="735">
      <c r="A735" s="535" t="s">
        <v>3532</v>
      </c>
      <c r="B735" s="541" t="s">
        <v>132</v>
      </c>
      <c r="C735" s="541" t="s">
        <v>132</v>
      </c>
      <c r="D735" s="541" t="s">
        <v>132</v>
      </c>
      <c r="E735" s="537"/>
      <c r="F735" s="537"/>
      <c r="G735" s="537"/>
      <c r="H735" s="537"/>
      <c r="I735" s="537"/>
      <c r="J735" s="537"/>
      <c r="K735" s="537"/>
      <c r="L735" s="537"/>
      <c r="M735" s="537"/>
      <c r="N735" s="377" t="s">
        <v>1524</v>
      </c>
      <c r="O735" s="538" t="s">
        <v>2481</v>
      </c>
      <c r="P735" s="539" t="s">
        <v>3533</v>
      </c>
      <c r="Q735" s="540">
        <v>3.0</v>
      </c>
      <c r="R735" s="537" t="s">
        <v>2440</v>
      </c>
    </row>
    <row r="736">
      <c r="A736" s="535" t="s">
        <v>3534</v>
      </c>
      <c r="B736" s="541" t="s">
        <v>132</v>
      </c>
      <c r="C736" s="541" t="s">
        <v>132</v>
      </c>
      <c r="D736" s="541" t="s">
        <v>132</v>
      </c>
      <c r="E736" s="537"/>
      <c r="F736" s="537"/>
      <c r="G736" s="537"/>
      <c r="H736" s="537"/>
      <c r="I736" s="537"/>
      <c r="J736" s="537"/>
      <c r="K736" s="537"/>
      <c r="L736" s="537"/>
      <c r="M736" s="537"/>
      <c r="N736" s="377" t="s">
        <v>1524</v>
      </c>
      <c r="O736" s="538" t="s">
        <v>3535</v>
      </c>
      <c r="P736" s="539" t="s">
        <v>3536</v>
      </c>
      <c r="Q736" s="540">
        <v>1.0</v>
      </c>
      <c r="R736" s="537" t="s">
        <v>2536</v>
      </c>
    </row>
    <row r="737">
      <c r="A737" s="535" t="s">
        <v>3537</v>
      </c>
      <c r="B737" s="541" t="s">
        <v>132</v>
      </c>
      <c r="C737" s="541" t="s">
        <v>132</v>
      </c>
      <c r="D737" s="541" t="s">
        <v>132</v>
      </c>
      <c r="E737" s="537"/>
      <c r="F737" s="537"/>
      <c r="G737" s="537"/>
      <c r="H737" s="537"/>
      <c r="I737" s="537"/>
      <c r="J737" s="537"/>
      <c r="K737" s="537"/>
      <c r="L737" s="537"/>
      <c r="M737" s="537"/>
      <c r="N737" s="377" t="s">
        <v>1524</v>
      </c>
      <c r="O737" s="538" t="s">
        <v>3538</v>
      </c>
      <c r="P737" s="539" t="s">
        <v>3539</v>
      </c>
      <c r="Q737" s="540">
        <v>0.0</v>
      </c>
      <c r="R737" s="537" t="s">
        <v>2536</v>
      </c>
    </row>
    <row r="738">
      <c r="A738" s="535" t="s">
        <v>3540</v>
      </c>
      <c r="B738" s="541" t="s">
        <v>132</v>
      </c>
      <c r="C738" s="541" t="s">
        <v>132</v>
      </c>
      <c r="D738" s="541" t="s">
        <v>132</v>
      </c>
      <c r="E738" s="537"/>
      <c r="F738" s="537"/>
      <c r="G738" s="537"/>
      <c r="H738" s="537"/>
      <c r="I738" s="537"/>
      <c r="J738" s="537"/>
      <c r="K738" s="537"/>
      <c r="L738" s="537"/>
      <c r="M738" s="537"/>
      <c r="N738" s="377" t="s">
        <v>1524</v>
      </c>
      <c r="O738" s="538" t="s">
        <v>3541</v>
      </c>
      <c r="P738" s="539" t="s">
        <v>3542</v>
      </c>
      <c r="Q738" s="540">
        <v>0.0</v>
      </c>
      <c r="R738" s="537" t="s">
        <v>2536</v>
      </c>
    </row>
    <row r="739">
      <c r="A739" s="535" t="s">
        <v>3543</v>
      </c>
      <c r="B739" s="541" t="s">
        <v>132</v>
      </c>
      <c r="C739" s="541" t="s">
        <v>132</v>
      </c>
      <c r="D739" s="541" t="s">
        <v>132</v>
      </c>
      <c r="E739" s="537"/>
      <c r="F739" s="537"/>
      <c r="G739" s="537"/>
      <c r="H739" s="537"/>
      <c r="I739" s="537"/>
      <c r="J739" s="537"/>
      <c r="K739" s="537"/>
      <c r="L739" s="537"/>
      <c r="M739" s="537"/>
      <c r="N739" s="377" t="s">
        <v>1524</v>
      </c>
      <c r="O739" s="538" t="s">
        <v>3544</v>
      </c>
      <c r="P739" s="539" t="s">
        <v>3545</v>
      </c>
      <c r="Q739" s="540">
        <v>5.0</v>
      </c>
      <c r="R739" s="537" t="s">
        <v>2536</v>
      </c>
    </row>
    <row r="740">
      <c r="A740" s="535" t="s">
        <v>3546</v>
      </c>
      <c r="B740" s="541" t="s">
        <v>132</v>
      </c>
      <c r="C740" s="541" t="s">
        <v>132</v>
      </c>
      <c r="D740" s="541" t="s">
        <v>132</v>
      </c>
      <c r="E740" s="537"/>
      <c r="F740" s="537"/>
      <c r="G740" s="537"/>
      <c r="H740" s="537"/>
      <c r="I740" s="537"/>
      <c r="J740" s="537"/>
      <c r="K740" s="537"/>
      <c r="L740" s="537"/>
      <c r="M740" s="537"/>
      <c r="N740" s="377" t="s">
        <v>1524</v>
      </c>
      <c r="O740" s="538" t="s">
        <v>3547</v>
      </c>
      <c r="P740" s="539" t="s">
        <v>3548</v>
      </c>
      <c r="Q740" s="540">
        <v>0.0</v>
      </c>
      <c r="R740" s="537" t="s">
        <v>2536</v>
      </c>
    </row>
    <row r="741">
      <c r="A741" s="535" t="s">
        <v>3549</v>
      </c>
      <c r="B741" s="541" t="s">
        <v>132</v>
      </c>
      <c r="C741" s="541" t="s">
        <v>132</v>
      </c>
      <c r="D741" s="541" t="s">
        <v>132</v>
      </c>
      <c r="E741" s="537"/>
      <c r="F741" s="537"/>
      <c r="G741" s="537"/>
      <c r="H741" s="537"/>
      <c r="I741" s="537"/>
      <c r="J741" s="537"/>
      <c r="K741" s="537"/>
      <c r="L741" s="537"/>
      <c r="M741" s="537"/>
      <c r="N741" s="377" t="s">
        <v>1524</v>
      </c>
      <c r="O741" s="538" t="s">
        <v>3550</v>
      </c>
      <c r="P741" s="539" t="s">
        <v>3551</v>
      </c>
      <c r="Q741" s="540">
        <v>5.0</v>
      </c>
      <c r="R741" s="537" t="s">
        <v>2536</v>
      </c>
    </row>
    <row r="742">
      <c r="A742" s="535" t="s">
        <v>3552</v>
      </c>
      <c r="B742" s="541" t="s">
        <v>132</v>
      </c>
      <c r="C742" s="541" t="s">
        <v>132</v>
      </c>
      <c r="D742" s="541" t="s">
        <v>132</v>
      </c>
      <c r="E742" s="537"/>
      <c r="F742" s="537"/>
      <c r="G742" s="537"/>
      <c r="H742" s="537"/>
      <c r="I742" s="537"/>
      <c r="J742" s="537"/>
      <c r="K742" s="537"/>
      <c r="L742" s="537"/>
      <c r="M742" s="537"/>
      <c r="N742" s="377" t="s">
        <v>1524</v>
      </c>
      <c r="O742" s="538" t="s">
        <v>3550</v>
      </c>
      <c r="P742" s="539" t="s">
        <v>3553</v>
      </c>
      <c r="Q742" s="540">
        <v>5.0</v>
      </c>
      <c r="R742" s="537" t="s">
        <v>2536</v>
      </c>
    </row>
    <row r="743">
      <c r="A743" s="535" t="s">
        <v>3554</v>
      </c>
      <c r="B743" s="541" t="s">
        <v>132</v>
      </c>
      <c r="C743" s="541" t="s">
        <v>132</v>
      </c>
      <c r="D743" s="541" t="s">
        <v>132</v>
      </c>
      <c r="E743" s="537"/>
      <c r="F743" s="537"/>
      <c r="G743" s="537"/>
      <c r="H743" s="537"/>
      <c r="I743" s="537"/>
      <c r="J743" s="537"/>
      <c r="K743" s="537"/>
      <c r="L743" s="537"/>
      <c r="M743" s="537"/>
      <c r="N743" s="377" t="s">
        <v>1524</v>
      </c>
      <c r="O743" s="538" t="s">
        <v>3555</v>
      </c>
      <c r="P743" s="539" t="s">
        <v>3556</v>
      </c>
      <c r="Q743" s="540">
        <v>0.0</v>
      </c>
      <c r="R743" s="537" t="s">
        <v>2536</v>
      </c>
    </row>
    <row r="744">
      <c r="A744" s="535" t="s">
        <v>3557</v>
      </c>
      <c r="B744" s="541" t="s">
        <v>132</v>
      </c>
      <c r="C744" s="541" t="s">
        <v>132</v>
      </c>
      <c r="D744" s="541" t="s">
        <v>132</v>
      </c>
      <c r="E744" s="537"/>
      <c r="F744" s="537"/>
      <c r="G744" s="537"/>
      <c r="H744" s="537"/>
      <c r="I744" s="537"/>
      <c r="J744" s="537"/>
      <c r="K744" s="537"/>
      <c r="L744" s="537"/>
      <c r="M744" s="537"/>
      <c r="N744" s="377" t="s">
        <v>1524</v>
      </c>
      <c r="O744" s="538" t="s">
        <v>3555</v>
      </c>
      <c r="P744" s="539" t="s">
        <v>3558</v>
      </c>
      <c r="Q744" s="540">
        <v>5.0</v>
      </c>
      <c r="R744" s="537" t="s">
        <v>2536</v>
      </c>
    </row>
    <row r="745">
      <c r="A745" s="535" t="s">
        <v>3559</v>
      </c>
      <c r="B745" s="541" t="s">
        <v>132</v>
      </c>
      <c r="C745" s="541" t="s">
        <v>132</v>
      </c>
      <c r="D745" s="541" t="s">
        <v>132</v>
      </c>
      <c r="E745" s="537"/>
      <c r="F745" s="537"/>
      <c r="G745" s="537"/>
      <c r="H745" s="537"/>
      <c r="I745" s="537"/>
      <c r="J745" s="537"/>
      <c r="K745" s="537"/>
      <c r="L745" s="537"/>
      <c r="M745" s="537"/>
      <c r="N745" s="377" t="s">
        <v>1524</v>
      </c>
      <c r="O745" s="538" t="s">
        <v>3555</v>
      </c>
      <c r="P745" s="539" t="s">
        <v>3560</v>
      </c>
      <c r="Q745" s="540">
        <v>5.0</v>
      </c>
      <c r="R745" s="537" t="s">
        <v>2536</v>
      </c>
    </row>
    <row r="746">
      <c r="A746" s="535" t="s">
        <v>3561</v>
      </c>
      <c r="B746" s="541" t="s">
        <v>132</v>
      </c>
      <c r="C746" s="541" t="s">
        <v>132</v>
      </c>
      <c r="D746" s="541" t="s">
        <v>132</v>
      </c>
      <c r="E746" s="537"/>
      <c r="F746" s="537"/>
      <c r="G746" s="537"/>
      <c r="H746" s="537"/>
      <c r="I746" s="537"/>
      <c r="J746" s="537"/>
      <c r="K746" s="537"/>
      <c r="L746" s="537"/>
      <c r="M746" s="537"/>
      <c r="N746" s="377" t="s">
        <v>1524</v>
      </c>
      <c r="O746" s="538" t="s">
        <v>3555</v>
      </c>
      <c r="P746" s="539" t="s">
        <v>3562</v>
      </c>
      <c r="Q746" s="540">
        <v>5.0</v>
      </c>
      <c r="R746" s="537" t="s">
        <v>2536</v>
      </c>
    </row>
    <row r="747">
      <c r="A747" s="535" t="s">
        <v>3563</v>
      </c>
      <c r="B747" s="541" t="s">
        <v>132</v>
      </c>
      <c r="C747" s="541" t="s">
        <v>132</v>
      </c>
      <c r="D747" s="541" t="s">
        <v>132</v>
      </c>
      <c r="E747" s="537"/>
      <c r="F747" s="537"/>
      <c r="G747" s="537"/>
      <c r="H747" s="537"/>
      <c r="I747" s="537"/>
      <c r="J747" s="537"/>
      <c r="K747" s="537"/>
      <c r="L747" s="537"/>
      <c r="M747" s="537"/>
      <c r="N747" s="377" t="s">
        <v>1524</v>
      </c>
      <c r="O747" s="538" t="s">
        <v>3564</v>
      </c>
      <c r="P747" s="539" t="s">
        <v>3565</v>
      </c>
      <c r="Q747" s="540">
        <v>0.0</v>
      </c>
      <c r="R747" s="537" t="s">
        <v>2536</v>
      </c>
    </row>
    <row r="748">
      <c r="A748" s="535" t="s">
        <v>3566</v>
      </c>
      <c r="B748" s="541" t="s">
        <v>132</v>
      </c>
      <c r="C748" s="541" t="s">
        <v>132</v>
      </c>
      <c r="D748" s="541" t="s">
        <v>132</v>
      </c>
      <c r="E748" s="537"/>
      <c r="F748" s="537"/>
      <c r="G748" s="537"/>
      <c r="H748" s="537"/>
      <c r="I748" s="537"/>
      <c r="J748" s="537"/>
      <c r="K748" s="537"/>
      <c r="L748" s="537"/>
      <c r="M748" s="537"/>
      <c r="N748" s="377" t="s">
        <v>1524</v>
      </c>
      <c r="O748" s="538" t="s">
        <v>3567</v>
      </c>
      <c r="P748" s="539" t="s">
        <v>3568</v>
      </c>
      <c r="Q748" s="540">
        <v>10.0</v>
      </c>
      <c r="R748" s="537" t="s">
        <v>2536</v>
      </c>
    </row>
    <row r="749">
      <c r="A749" s="535" t="s">
        <v>3569</v>
      </c>
      <c r="B749" s="541" t="s">
        <v>132</v>
      </c>
      <c r="C749" s="541" t="s">
        <v>132</v>
      </c>
      <c r="D749" s="541" t="s">
        <v>132</v>
      </c>
      <c r="E749" s="537"/>
      <c r="F749" s="537"/>
      <c r="G749" s="537"/>
      <c r="H749" s="537"/>
      <c r="I749" s="537"/>
      <c r="J749" s="537"/>
      <c r="K749" s="537"/>
      <c r="L749" s="537"/>
      <c r="M749" s="537"/>
      <c r="N749" s="377" t="s">
        <v>1524</v>
      </c>
      <c r="O749" s="538" t="s">
        <v>3570</v>
      </c>
      <c r="P749" s="539" t="s">
        <v>3571</v>
      </c>
      <c r="Q749" s="540">
        <v>0.0</v>
      </c>
      <c r="R749" s="537" t="s">
        <v>2536</v>
      </c>
    </row>
    <row r="750">
      <c r="A750" s="535" t="s">
        <v>3572</v>
      </c>
      <c r="B750" s="541" t="s">
        <v>132</v>
      </c>
      <c r="C750" s="541" t="s">
        <v>132</v>
      </c>
      <c r="D750" s="541" t="s">
        <v>132</v>
      </c>
      <c r="E750" s="537"/>
      <c r="F750" s="537"/>
      <c r="G750" s="537"/>
      <c r="H750" s="537"/>
      <c r="I750" s="537"/>
      <c r="J750" s="537"/>
      <c r="K750" s="537"/>
      <c r="L750" s="537"/>
      <c r="M750" s="537"/>
      <c r="N750" s="377" t="s">
        <v>1524</v>
      </c>
      <c r="O750" s="538" t="s">
        <v>3573</v>
      </c>
      <c r="P750" s="539" t="s">
        <v>3574</v>
      </c>
      <c r="Q750" s="540">
        <v>8.0</v>
      </c>
      <c r="R750" s="537" t="s">
        <v>2536</v>
      </c>
    </row>
    <row r="751">
      <c r="A751" s="535" t="s">
        <v>3575</v>
      </c>
      <c r="B751" s="541" t="s">
        <v>132</v>
      </c>
      <c r="C751" s="541" t="s">
        <v>132</v>
      </c>
      <c r="D751" s="541" t="s">
        <v>132</v>
      </c>
      <c r="E751" s="537"/>
      <c r="F751" s="537"/>
      <c r="G751" s="537"/>
      <c r="H751" s="537"/>
      <c r="I751" s="537"/>
      <c r="J751" s="537"/>
      <c r="K751" s="537"/>
      <c r="L751" s="537"/>
      <c r="M751" s="537"/>
      <c r="N751" s="377" t="s">
        <v>1524</v>
      </c>
      <c r="O751" s="538" t="s">
        <v>3576</v>
      </c>
      <c r="P751" s="539" t="s">
        <v>3577</v>
      </c>
      <c r="Q751" s="540">
        <v>100.0</v>
      </c>
      <c r="R751" s="537" t="s">
        <v>2536</v>
      </c>
    </row>
    <row r="752">
      <c r="A752" s="535" t="s">
        <v>3578</v>
      </c>
      <c r="B752" s="541" t="s">
        <v>132</v>
      </c>
      <c r="C752" s="541" t="s">
        <v>132</v>
      </c>
      <c r="D752" s="541" t="s">
        <v>132</v>
      </c>
      <c r="E752" s="537"/>
      <c r="F752" s="537"/>
      <c r="G752" s="537"/>
      <c r="H752" s="537"/>
      <c r="I752" s="537"/>
      <c r="J752" s="537"/>
      <c r="K752" s="537"/>
      <c r="L752" s="537"/>
      <c r="M752" s="537"/>
      <c r="N752" s="377" t="s">
        <v>1524</v>
      </c>
      <c r="O752" s="538" t="s">
        <v>3579</v>
      </c>
      <c r="P752" s="539" t="s">
        <v>3580</v>
      </c>
      <c r="Q752" s="540">
        <v>0.0</v>
      </c>
      <c r="R752" s="537" t="s">
        <v>2536</v>
      </c>
    </row>
    <row r="753">
      <c r="A753" s="535" t="s">
        <v>3581</v>
      </c>
      <c r="B753" s="541" t="s">
        <v>132</v>
      </c>
      <c r="C753" s="541" t="s">
        <v>132</v>
      </c>
      <c r="D753" s="541" t="s">
        <v>132</v>
      </c>
      <c r="E753" s="537"/>
      <c r="F753" s="537"/>
      <c r="G753" s="537"/>
      <c r="H753" s="537"/>
      <c r="I753" s="537"/>
      <c r="J753" s="537"/>
      <c r="K753" s="537"/>
      <c r="L753" s="537"/>
      <c r="M753" s="537"/>
      <c r="N753" s="377" t="s">
        <v>1524</v>
      </c>
      <c r="O753" s="538" t="s">
        <v>2481</v>
      </c>
      <c r="P753" s="539" t="s">
        <v>3582</v>
      </c>
      <c r="Q753" s="540">
        <v>5.0</v>
      </c>
      <c r="R753" s="537" t="s">
        <v>2536</v>
      </c>
    </row>
    <row r="754">
      <c r="A754" s="535" t="s">
        <v>3583</v>
      </c>
      <c r="B754" s="536" t="s">
        <v>132</v>
      </c>
      <c r="C754" s="541" t="s">
        <v>132</v>
      </c>
      <c r="D754" s="541" t="s">
        <v>132</v>
      </c>
      <c r="E754" s="537"/>
      <c r="F754" s="537"/>
      <c r="G754" s="537"/>
      <c r="H754" s="537"/>
      <c r="I754" s="537"/>
      <c r="J754" s="537"/>
      <c r="K754" s="537"/>
      <c r="L754" s="537"/>
      <c r="M754" s="537"/>
      <c r="N754" s="377" t="s">
        <v>1524</v>
      </c>
      <c r="O754" s="538" t="s">
        <v>3530</v>
      </c>
      <c r="P754" s="539" t="s">
        <v>3584</v>
      </c>
      <c r="Q754" s="540">
        <v>0.0</v>
      </c>
      <c r="R754" s="537" t="s">
        <v>2536</v>
      </c>
    </row>
    <row r="755">
      <c r="A755" s="535" t="s">
        <v>3585</v>
      </c>
      <c r="B755" s="541" t="s">
        <v>132</v>
      </c>
      <c r="C755" s="541" t="s">
        <v>132</v>
      </c>
      <c r="D755" s="541" t="s">
        <v>132</v>
      </c>
      <c r="E755" s="537"/>
      <c r="F755" s="537"/>
      <c r="G755" s="537"/>
      <c r="H755" s="537"/>
      <c r="I755" s="537"/>
      <c r="J755" s="537"/>
      <c r="K755" s="537"/>
      <c r="L755" s="537"/>
      <c r="M755" s="537"/>
      <c r="N755" s="377" t="s">
        <v>1524</v>
      </c>
      <c r="O755" s="538" t="s">
        <v>3530</v>
      </c>
      <c r="P755" s="539" t="s">
        <v>3586</v>
      </c>
      <c r="Q755" s="540">
        <v>0.0</v>
      </c>
      <c r="R755" s="537" t="s">
        <v>2536</v>
      </c>
    </row>
    <row r="756">
      <c r="A756" s="535" t="s">
        <v>3587</v>
      </c>
      <c r="B756" s="541" t="s">
        <v>132</v>
      </c>
      <c r="C756" s="541" t="s">
        <v>132</v>
      </c>
      <c r="D756" s="541" t="s">
        <v>132</v>
      </c>
      <c r="E756" s="537"/>
      <c r="F756" s="537"/>
      <c r="G756" s="537"/>
      <c r="H756" s="537"/>
      <c r="I756" s="537"/>
      <c r="J756" s="537"/>
      <c r="K756" s="537"/>
      <c r="L756" s="537"/>
      <c r="M756" s="537"/>
      <c r="N756" s="377" t="s">
        <v>1524</v>
      </c>
      <c r="O756" s="538" t="s">
        <v>3530</v>
      </c>
      <c r="P756" s="539" t="s">
        <v>3588</v>
      </c>
      <c r="Q756" s="540">
        <v>0.0</v>
      </c>
      <c r="R756" s="537" t="s">
        <v>2536</v>
      </c>
    </row>
    <row r="757">
      <c r="A757" s="535" t="s">
        <v>3589</v>
      </c>
      <c r="B757" s="541" t="s">
        <v>132</v>
      </c>
      <c r="C757" s="541" t="s">
        <v>132</v>
      </c>
      <c r="D757" s="541" t="s">
        <v>132</v>
      </c>
      <c r="E757" s="537"/>
      <c r="F757" s="537"/>
      <c r="G757" s="537"/>
      <c r="H757" s="537"/>
      <c r="I757" s="537"/>
      <c r="J757" s="537"/>
      <c r="K757" s="537"/>
      <c r="L757" s="537"/>
      <c r="M757" s="537"/>
      <c r="N757" s="377" t="s">
        <v>1524</v>
      </c>
      <c r="O757" s="538" t="s">
        <v>3590</v>
      </c>
      <c r="P757" s="539" t="s">
        <v>3591</v>
      </c>
      <c r="Q757" s="540">
        <v>30.0</v>
      </c>
      <c r="R757" s="537" t="s">
        <v>2440</v>
      </c>
    </row>
    <row r="758">
      <c r="A758" s="535" t="s">
        <v>3592</v>
      </c>
      <c r="B758" s="541" t="s">
        <v>132</v>
      </c>
      <c r="C758" s="541" t="s">
        <v>132</v>
      </c>
      <c r="D758" s="541" t="s">
        <v>132</v>
      </c>
      <c r="E758" s="537"/>
      <c r="F758" s="537"/>
      <c r="G758" s="537"/>
      <c r="H758" s="537"/>
      <c r="I758" s="537"/>
      <c r="J758" s="537"/>
      <c r="K758" s="537"/>
      <c r="L758" s="537"/>
      <c r="M758" s="537"/>
      <c r="N758" s="377" t="s">
        <v>1524</v>
      </c>
      <c r="O758" s="538" t="s">
        <v>3593</v>
      </c>
      <c r="P758" s="539" t="s">
        <v>3594</v>
      </c>
      <c r="Q758" s="540">
        <v>0.0</v>
      </c>
      <c r="R758" s="537" t="s">
        <v>2536</v>
      </c>
    </row>
    <row r="759">
      <c r="A759" s="535" t="s">
        <v>3595</v>
      </c>
      <c r="B759" s="541" t="s">
        <v>132</v>
      </c>
      <c r="C759" s="541" t="s">
        <v>132</v>
      </c>
      <c r="D759" s="541" t="s">
        <v>132</v>
      </c>
      <c r="E759" s="537"/>
      <c r="F759" s="537"/>
      <c r="G759" s="537"/>
      <c r="H759" s="537"/>
      <c r="I759" s="537"/>
      <c r="J759" s="537"/>
      <c r="K759" s="537"/>
      <c r="L759" s="537"/>
      <c r="M759" s="537"/>
      <c r="N759" s="377" t="s">
        <v>1524</v>
      </c>
      <c r="O759" s="538" t="s">
        <v>3596</v>
      </c>
      <c r="P759" s="539" t="s">
        <v>3597</v>
      </c>
      <c r="Q759" s="540">
        <v>5.0</v>
      </c>
      <c r="R759" s="537" t="s">
        <v>2536</v>
      </c>
    </row>
    <row r="760">
      <c r="A760" s="535" t="s">
        <v>3598</v>
      </c>
      <c r="B760" s="541" t="s">
        <v>132</v>
      </c>
      <c r="C760" s="541" t="s">
        <v>132</v>
      </c>
      <c r="D760" s="541" t="s">
        <v>132</v>
      </c>
      <c r="E760" s="537"/>
      <c r="F760" s="537"/>
      <c r="G760" s="537"/>
      <c r="H760" s="537"/>
      <c r="I760" s="537"/>
      <c r="J760" s="537"/>
      <c r="K760" s="537"/>
      <c r="L760" s="537"/>
      <c r="M760" s="537"/>
      <c r="N760" s="377" t="s">
        <v>1524</v>
      </c>
      <c r="O760" s="538" t="s">
        <v>2481</v>
      </c>
      <c r="P760" s="539" t="s">
        <v>3599</v>
      </c>
      <c r="Q760" s="540">
        <v>40.0</v>
      </c>
      <c r="R760" s="537" t="s">
        <v>2536</v>
      </c>
    </row>
    <row r="761">
      <c r="A761" s="535" t="s">
        <v>3600</v>
      </c>
      <c r="B761" s="541" t="s">
        <v>132</v>
      </c>
      <c r="C761" s="541" t="s">
        <v>132</v>
      </c>
      <c r="D761" s="541" t="s">
        <v>132</v>
      </c>
      <c r="E761" s="537"/>
      <c r="F761" s="537"/>
      <c r="G761" s="537"/>
      <c r="H761" s="537"/>
      <c r="I761" s="537"/>
      <c r="J761" s="537"/>
      <c r="K761" s="537"/>
      <c r="L761" s="537"/>
      <c r="M761" s="537"/>
      <c r="N761" s="377" t="s">
        <v>1524</v>
      </c>
      <c r="O761" s="538" t="s">
        <v>3601</v>
      </c>
      <c r="P761" s="539" t="s">
        <v>3602</v>
      </c>
      <c r="Q761" s="540">
        <v>0.0</v>
      </c>
      <c r="R761" s="537" t="s">
        <v>2536</v>
      </c>
    </row>
    <row r="762">
      <c r="A762" s="535" t="s">
        <v>3603</v>
      </c>
      <c r="B762" s="541" t="s">
        <v>132</v>
      </c>
      <c r="C762" s="541" t="s">
        <v>132</v>
      </c>
      <c r="D762" s="541" t="s">
        <v>132</v>
      </c>
      <c r="E762" s="537"/>
      <c r="F762" s="537"/>
      <c r="G762" s="537"/>
      <c r="H762" s="537"/>
      <c r="I762" s="537"/>
      <c r="J762" s="537"/>
      <c r="K762" s="537"/>
      <c r="L762" s="537"/>
      <c r="M762" s="537"/>
      <c r="N762" s="377" t="s">
        <v>1524</v>
      </c>
      <c r="O762" s="538" t="s">
        <v>3604</v>
      </c>
      <c r="P762" s="539" t="s">
        <v>3605</v>
      </c>
      <c r="Q762" s="540">
        <v>10.0</v>
      </c>
      <c r="R762" s="537" t="s">
        <v>2536</v>
      </c>
    </row>
    <row r="763">
      <c r="A763" s="535" t="s">
        <v>3606</v>
      </c>
      <c r="B763" s="541" t="s">
        <v>132</v>
      </c>
      <c r="C763" s="541" t="s">
        <v>132</v>
      </c>
      <c r="D763" s="541" t="s">
        <v>132</v>
      </c>
      <c r="E763" s="537"/>
      <c r="F763" s="537"/>
      <c r="G763" s="537"/>
      <c r="H763" s="537"/>
      <c r="I763" s="537"/>
      <c r="J763" s="537"/>
      <c r="K763" s="537"/>
      <c r="L763" s="537"/>
      <c r="M763" s="537"/>
      <c r="N763" s="377" t="s">
        <v>1524</v>
      </c>
      <c r="O763" s="538" t="s">
        <v>3607</v>
      </c>
      <c r="P763" s="539" t="s">
        <v>3608</v>
      </c>
      <c r="Q763" s="540">
        <v>5.0</v>
      </c>
      <c r="R763" s="537" t="s">
        <v>2536</v>
      </c>
    </row>
    <row r="764">
      <c r="A764" s="535" t="s">
        <v>3609</v>
      </c>
      <c r="B764" s="541" t="s">
        <v>132</v>
      </c>
      <c r="C764" s="541" t="s">
        <v>132</v>
      </c>
      <c r="D764" s="541" t="s">
        <v>132</v>
      </c>
      <c r="E764" s="537"/>
      <c r="F764" s="537"/>
      <c r="G764" s="537"/>
      <c r="H764" s="537"/>
      <c r="I764" s="537"/>
      <c r="J764" s="537"/>
      <c r="K764" s="537"/>
      <c r="L764" s="537"/>
      <c r="M764" s="537"/>
      <c r="N764" s="377" t="s">
        <v>1524</v>
      </c>
      <c r="O764" s="538" t="s">
        <v>3610</v>
      </c>
      <c r="P764" s="539" t="s">
        <v>3611</v>
      </c>
      <c r="Q764" s="540">
        <v>5.0</v>
      </c>
      <c r="R764" s="537" t="s">
        <v>2536</v>
      </c>
    </row>
    <row r="765">
      <c r="A765" s="535" t="s">
        <v>3612</v>
      </c>
      <c r="B765" s="541" t="s">
        <v>132</v>
      </c>
      <c r="C765" s="541" t="s">
        <v>132</v>
      </c>
      <c r="D765" s="541" t="s">
        <v>132</v>
      </c>
      <c r="E765" s="537"/>
      <c r="F765" s="537"/>
      <c r="G765" s="537"/>
      <c r="H765" s="537"/>
      <c r="I765" s="537"/>
      <c r="J765" s="537"/>
      <c r="K765" s="537"/>
      <c r="L765" s="537"/>
      <c r="M765" s="537"/>
      <c r="N765" s="377" t="s">
        <v>1524</v>
      </c>
      <c r="O765" s="538" t="s">
        <v>2481</v>
      </c>
      <c r="P765" s="539" t="s">
        <v>3613</v>
      </c>
      <c r="Q765" s="540">
        <v>0.0</v>
      </c>
      <c r="R765" s="537" t="s">
        <v>2536</v>
      </c>
    </row>
    <row r="766">
      <c r="A766" s="535" t="s">
        <v>3614</v>
      </c>
      <c r="B766" s="541" t="s">
        <v>132</v>
      </c>
      <c r="C766" s="541" t="s">
        <v>132</v>
      </c>
      <c r="D766" s="541" t="s">
        <v>132</v>
      </c>
      <c r="E766" s="537"/>
      <c r="F766" s="537"/>
      <c r="G766" s="537"/>
      <c r="H766" s="537"/>
      <c r="I766" s="537"/>
      <c r="J766" s="537"/>
      <c r="K766" s="537"/>
      <c r="L766" s="537"/>
      <c r="M766" s="537"/>
      <c r="N766" s="377" t="s">
        <v>1524</v>
      </c>
      <c r="O766" s="538" t="s">
        <v>2481</v>
      </c>
      <c r="P766" s="539" t="s">
        <v>3615</v>
      </c>
      <c r="Q766" s="540">
        <v>5.0</v>
      </c>
      <c r="R766" s="537" t="s">
        <v>2536</v>
      </c>
    </row>
    <row r="767">
      <c r="A767" s="535" t="s">
        <v>3616</v>
      </c>
      <c r="B767" s="541" t="s">
        <v>132</v>
      </c>
      <c r="C767" s="541" t="s">
        <v>132</v>
      </c>
      <c r="D767" s="541" t="s">
        <v>132</v>
      </c>
      <c r="E767" s="537"/>
      <c r="F767" s="537"/>
      <c r="G767" s="537"/>
      <c r="H767" s="537"/>
      <c r="I767" s="537"/>
      <c r="J767" s="537"/>
      <c r="K767" s="537"/>
      <c r="L767" s="537"/>
      <c r="M767" s="537"/>
      <c r="N767" s="377" t="s">
        <v>1524</v>
      </c>
      <c r="O767" s="538" t="s">
        <v>3617</v>
      </c>
      <c r="P767" s="539" t="s">
        <v>3618</v>
      </c>
      <c r="Q767" s="540">
        <v>100.0</v>
      </c>
      <c r="R767" s="537" t="s">
        <v>2536</v>
      </c>
    </row>
    <row r="768">
      <c r="A768" s="535" t="s">
        <v>3619</v>
      </c>
      <c r="B768" s="541" t="s">
        <v>132</v>
      </c>
      <c r="C768" s="541" t="s">
        <v>132</v>
      </c>
      <c r="D768" s="541" t="s">
        <v>132</v>
      </c>
      <c r="E768" s="537"/>
      <c r="F768" s="537"/>
      <c r="G768" s="537"/>
      <c r="H768" s="537"/>
      <c r="I768" s="537"/>
      <c r="J768" s="537"/>
      <c r="K768" s="537"/>
      <c r="L768" s="537"/>
      <c r="M768" s="537"/>
      <c r="N768" s="377" t="s">
        <v>1524</v>
      </c>
      <c r="O768" s="538" t="s">
        <v>3620</v>
      </c>
      <c r="P768" s="539" t="s">
        <v>3621</v>
      </c>
      <c r="Q768" s="540">
        <v>0.0</v>
      </c>
      <c r="R768" s="537" t="s">
        <v>2536</v>
      </c>
    </row>
    <row r="769">
      <c r="A769" s="535" t="s">
        <v>3622</v>
      </c>
      <c r="B769" s="541" t="s">
        <v>132</v>
      </c>
      <c r="C769" s="541" t="s">
        <v>132</v>
      </c>
      <c r="D769" s="541" t="s">
        <v>132</v>
      </c>
      <c r="E769" s="537"/>
      <c r="F769" s="537"/>
      <c r="G769" s="537"/>
      <c r="H769" s="537"/>
      <c r="I769" s="537"/>
      <c r="J769" s="537"/>
      <c r="K769" s="537"/>
      <c r="L769" s="537"/>
      <c r="M769" s="537"/>
      <c r="N769" s="377" t="s">
        <v>1524</v>
      </c>
      <c r="O769" s="538" t="s">
        <v>2481</v>
      </c>
      <c r="P769" s="539" t="s">
        <v>3623</v>
      </c>
      <c r="Q769" s="540">
        <v>8.0</v>
      </c>
      <c r="R769" s="537" t="s">
        <v>2536</v>
      </c>
    </row>
    <row r="770">
      <c r="A770" s="535" t="s">
        <v>3624</v>
      </c>
      <c r="B770" s="541" t="s">
        <v>132</v>
      </c>
      <c r="C770" s="541" t="s">
        <v>132</v>
      </c>
      <c r="D770" s="541" t="s">
        <v>132</v>
      </c>
      <c r="E770" s="537"/>
      <c r="F770" s="537"/>
      <c r="G770" s="537"/>
      <c r="H770" s="537"/>
      <c r="I770" s="537"/>
      <c r="J770" s="537"/>
      <c r="K770" s="537"/>
      <c r="L770" s="537"/>
      <c r="M770" s="537"/>
      <c r="N770" s="377" t="s">
        <v>1524</v>
      </c>
      <c r="O770" s="538" t="s">
        <v>3625</v>
      </c>
      <c r="P770" s="539" t="s">
        <v>3626</v>
      </c>
      <c r="Q770" s="540">
        <v>100.0</v>
      </c>
      <c r="R770" s="537" t="s">
        <v>2536</v>
      </c>
    </row>
  </sheetData>
  <autoFilter ref="$A$3:$R$499">
    <sortState ref="A3:R499">
      <sortCondition ref="A3:A499"/>
    </sortState>
  </autoFilter>
  <conditionalFormatting sqref="B4:D599 B602:D770">
    <cfRule type="cellIs" dxfId="1" priority="1" operator="equal">
      <formula>"Y"</formula>
    </cfRule>
  </conditionalFormatting>
  <conditionalFormatting sqref="B4:D599 B602:D770">
    <cfRule type="cellIs" dxfId="4" priority="2" operator="equal">
      <formula>"N"</formula>
    </cfRule>
  </conditionalFormatting>
  <conditionalFormatting sqref="B4:D599 B602:D770">
    <cfRule type="cellIs" dxfId="5" priority="3" operator="equal">
      <formula>"*"</formula>
    </cfRule>
  </conditionalFormatting>
  <conditionalFormatting sqref="A652:A770">
    <cfRule type="containsText" dxfId="2" priority="4" operator="containsText" text="(AE)">
      <formula>NOT(ISERROR(SEARCH(("(AE)"),(A652))))</formula>
    </cfRule>
  </conditionalFormatting>
  <hyperlinks>
    <hyperlink r:id="rId2" location="Book_Types" ref="N1"/>
    <hyperlink r:id="rId3" ref="A652"/>
    <hyperlink r:id="rId4" ref="A653"/>
    <hyperlink r:id="rId5" ref="A654"/>
    <hyperlink r:id="rId6" ref="A655"/>
    <hyperlink r:id="rId7" ref="A656"/>
    <hyperlink r:id="rId8" ref="A657"/>
    <hyperlink r:id="rId9" ref="A658"/>
    <hyperlink r:id="rId10" ref="A659"/>
    <hyperlink r:id="rId11" ref="A660"/>
    <hyperlink r:id="rId12" ref="A661"/>
    <hyperlink r:id="rId13" ref="A662"/>
    <hyperlink r:id="rId14" ref="A663"/>
    <hyperlink r:id="rId15" ref="A664"/>
    <hyperlink r:id="rId16" ref="A665"/>
    <hyperlink r:id="rId17" ref="A666"/>
    <hyperlink r:id="rId18" ref="A667"/>
    <hyperlink r:id="rId19" ref="A668"/>
    <hyperlink r:id="rId20" ref="A669"/>
    <hyperlink r:id="rId21" ref="A670"/>
    <hyperlink r:id="rId22" ref="A671"/>
    <hyperlink r:id="rId23" ref="A672"/>
    <hyperlink r:id="rId24" ref="A673"/>
    <hyperlink r:id="rId25" ref="A674"/>
    <hyperlink r:id="rId26" ref="A675"/>
    <hyperlink r:id="rId27" ref="A676"/>
    <hyperlink r:id="rId28" ref="A677"/>
    <hyperlink r:id="rId29" ref="A678"/>
    <hyperlink r:id="rId30" ref="A679"/>
    <hyperlink r:id="rId31" ref="A680"/>
    <hyperlink r:id="rId32" ref="A681"/>
    <hyperlink r:id="rId33" ref="A682"/>
    <hyperlink r:id="rId34" ref="A683"/>
    <hyperlink r:id="rId35" ref="A684"/>
    <hyperlink r:id="rId36" ref="A685"/>
    <hyperlink r:id="rId37" ref="A686"/>
    <hyperlink r:id="rId38" ref="A687"/>
    <hyperlink r:id="rId39" ref="A688"/>
    <hyperlink r:id="rId40" ref="A689"/>
    <hyperlink r:id="rId41" ref="A690"/>
    <hyperlink r:id="rId42" ref="A691"/>
    <hyperlink r:id="rId43" ref="A692"/>
    <hyperlink r:id="rId44" ref="A693"/>
    <hyperlink r:id="rId45" ref="A694"/>
    <hyperlink r:id="rId46" ref="A695"/>
    <hyperlink r:id="rId47" ref="A696"/>
    <hyperlink r:id="rId48" ref="A697"/>
    <hyperlink r:id="rId49" ref="A698"/>
    <hyperlink r:id="rId50" ref="A699"/>
    <hyperlink r:id="rId51" ref="A700"/>
    <hyperlink r:id="rId52" ref="A701"/>
    <hyperlink r:id="rId53" ref="A702"/>
    <hyperlink r:id="rId54" ref="A703"/>
    <hyperlink r:id="rId55" ref="A704"/>
    <hyperlink r:id="rId56" ref="A705"/>
    <hyperlink r:id="rId57" ref="A706"/>
    <hyperlink r:id="rId58" ref="A707"/>
    <hyperlink r:id="rId59" ref="A708"/>
    <hyperlink r:id="rId60" ref="A709"/>
    <hyperlink r:id="rId61" ref="A710"/>
    <hyperlink r:id="rId62" ref="A711"/>
    <hyperlink r:id="rId63" ref="A712"/>
    <hyperlink r:id="rId64" ref="A713"/>
    <hyperlink r:id="rId65" ref="A714"/>
    <hyperlink r:id="rId66" ref="A715"/>
    <hyperlink r:id="rId67" ref="A716"/>
    <hyperlink r:id="rId68" ref="A717"/>
    <hyperlink r:id="rId69" ref="A718"/>
    <hyperlink r:id="rId70" ref="A719"/>
    <hyperlink r:id="rId71" ref="A720"/>
    <hyperlink r:id="rId72" ref="A721"/>
    <hyperlink r:id="rId73" ref="A722"/>
    <hyperlink r:id="rId74" ref="A723"/>
    <hyperlink r:id="rId75" ref="A724"/>
    <hyperlink r:id="rId76" ref="A725"/>
    <hyperlink r:id="rId77" ref="A726"/>
    <hyperlink r:id="rId78" ref="A727"/>
    <hyperlink r:id="rId79" ref="A728"/>
    <hyperlink r:id="rId80" ref="A729"/>
    <hyperlink r:id="rId81" ref="A730"/>
    <hyperlink r:id="rId82" ref="A731"/>
    <hyperlink r:id="rId83" ref="A732"/>
    <hyperlink r:id="rId84" ref="A733"/>
    <hyperlink r:id="rId85" ref="A734"/>
    <hyperlink r:id="rId86" ref="A735"/>
    <hyperlink r:id="rId87" ref="A736"/>
    <hyperlink r:id="rId88" ref="A737"/>
    <hyperlink r:id="rId89" ref="A738"/>
    <hyperlink r:id="rId90" ref="A739"/>
    <hyperlink r:id="rId91" ref="A740"/>
    <hyperlink r:id="rId92" ref="A741"/>
    <hyperlink r:id="rId93" ref="A742"/>
    <hyperlink r:id="rId94" ref="A743"/>
    <hyperlink r:id="rId95" ref="A744"/>
    <hyperlink r:id="rId96" ref="A745"/>
    <hyperlink r:id="rId97" ref="A746"/>
    <hyperlink r:id="rId98" ref="A747"/>
    <hyperlink r:id="rId99" ref="A748"/>
    <hyperlink r:id="rId100" ref="A749"/>
    <hyperlink r:id="rId101" ref="A750"/>
    <hyperlink r:id="rId102" ref="A751"/>
    <hyperlink r:id="rId103" ref="A752"/>
    <hyperlink r:id="rId104" ref="A753"/>
    <hyperlink r:id="rId105" ref="A754"/>
    <hyperlink r:id="rId106" ref="A755"/>
    <hyperlink r:id="rId107" ref="A756"/>
    <hyperlink r:id="rId108" ref="A757"/>
    <hyperlink r:id="rId109" ref="A758"/>
    <hyperlink r:id="rId110" ref="A759"/>
    <hyperlink r:id="rId111" ref="A760"/>
    <hyperlink r:id="rId112" ref="A761"/>
    <hyperlink r:id="rId113" ref="A762"/>
    <hyperlink r:id="rId114" ref="A763"/>
    <hyperlink r:id="rId115" ref="A764"/>
    <hyperlink r:id="rId116" ref="A765"/>
    <hyperlink r:id="rId117" ref="A766"/>
    <hyperlink r:id="rId118" ref="A767"/>
    <hyperlink r:id="rId119" ref="A768"/>
    <hyperlink r:id="rId120" ref="A769"/>
    <hyperlink r:id="rId121" ref="A770"/>
  </hyperlinks>
  <drawing r:id="rId122"/>
  <legacyDrawing r:id="rId12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 width="13.0"/>
    <col customWidth="1" min="3" max="3" width="19.0"/>
    <col customWidth="1" min="4" max="4" width="11.57"/>
    <col customWidth="1" min="5" max="5" width="14.14"/>
    <col customWidth="1" min="6" max="6" width="14.43"/>
    <col customWidth="1" min="7" max="7" width="11.57"/>
    <col customWidth="1" min="8" max="8" width="17.86"/>
    <col customWidth="1" min="9" max="9" width="29.14"/>
    <col customWidth="1" min="10" max="10" width="11.57"/>
    <col customWidth="1" min="11" max="11" width="18.86"/>
    <col customWidth="1" min="12" max="12" width="24.29"/>
    <col customWidth="1" min="13" max="13" width="11.57"/>
    <col customWidth="1" min="14" max="14" width="19.71"/>
    <col customWidth="1" min="15" max="15" width="16.29"/>
  </cols>
  <sheetData>
    <row r="1" ht="22.5" customHeight="1">
      <c r="A1" s="37" t="s">
        <v>3627</v>
      </c>
      <c r="B1" s="38"/>
      <c r="C1" s="39"/>
      <c r="D1" s="37" t="s">
        <v>3628</v>
      </c>
      <c r="E1" s="38"/>
      <c r="F1" s="39"/>
      <c r="G1" s="37" t="s">
        <v>3629</v>
      </c>
      <c r="H1" s="38"/>
      <c r="I1" s="39"/>
      <c r="J1" s="542" t="s">
        <v>3630</v>
      </c>
      <c r="K1" s="38"/>
      <c r="L1" s="39"/>
      <c r="M1" s="542" t="s">
        <v>3631</v>
      </c>
      <c r="N1" s="38"/>
      <c r="O1" s="39"/>
    </row>
    <row r="2">
      <c r="A2" s="322" t="s">
        <v>2466</v>
      </c>
      <c r="B2" s="322" t="s">
        <v>3632</v>
      </c>
      <c r="C2" s="322" t="s">
        <v>1623</v>
      </c>
      <c r="D2" s="322" t="s">
        <v>2466</v>
      </c>
      <c r="E2" s="322" t="s">
        <v>3632</v>
      </c>
      <c r="F2" s="322" t="s">
        <v>3633</v>
      </c>
      <c r="G2" s="322" t="s">
        <v>2466</v>
      </c>
      <c r="H2" s="322" t="s">
        <v>3632</v>
      </c>
      <c r="I2" s="322" t="s">
        <v>1623</v>
      </c>
      <c r="J2" s="543" t="s">
        <v>2466</v>
      </c>
      <c r="K2" s="544" t="s">
        <v>3632</v>
      </c>
      <c r="L2" s="544" t="s">
        <v>1623</v>
      </c>
      <c r="M2" s="543" t="s">
        <v>2466</v>
      </c>
      <c r="N2" s="544" t="s">
        <v>3632</v>
      </c>
      <c r="O2" s="544" t="s">
        <v>1623</v>
      </c>
    </row>
    <row r="3">
      <c r="A3" s="323">
        <f>((countif(A4:A8,"Y")/5))</f>
        <v>0</v>
      </c>
      <c r="B3" s="322" t="s">
        <v>1524</v>
      </c>
      <c r="C3" s="545" t="s">
        <v>1524</v>
      </c>
      <c r="D3" s="323">
        <f>((countif(D4:D13,"Y")/10))</f>
        <v>0</v>
      </c>
      <c r="E3" s="322" t="s">
        <v>1524</v>
      </c>
      <c r="F3" s="545" t="s">
        <v>1524</v>
      </c>
      <c r="G3" s="323">
        <f>((countif(G4:G15,"Y")/12))</f>
        <v>0</v>
      </c>
      <c r="H3" s="322" t="s">
        <v>1524</v>
      </c>
      <c r="I3" s="545" t="s">
        <v>1524</v>
      </c>
      <c r="J3" s="546">
        <f>((countif(J4:J31,"Y")/ROWS(J4:J31)))</f>
        <v>0</v>
      </c>
      <c r="K3" s="544" t="s">
        <v>1524</v>
      </c>
      <c r="L3" s="544" t="s">
        <v>1524</v>
      </c>
      <c r="M3" s="546">
        <f>((countif(M4:M8,"Y")/5))</f>
        <v>0</v>
      </c>
      <c r="N3" s="544" t="s">
        <v>1524</v>
      </c>
      <c r="O3" s="544" t="s">
        <v>1524</v>
      </c>
    </row>
    <row r="4" ht="22.5" customHeight="1">
      <c r="A4" s="63" t="s">
        <v>132</v>
      </c>
      <c r="B4" s="547" t="str">
        <f>HYPERLINK("https://en.uesp.net/wiki/Skyrim:Miscellaneous_Items#Bee_in_a_Jar","Bee in a Jar")</f>
        <v>Bee in a Jar</v>
      </c>
      <c r="C4" s="548" t="str">
        <f>HYPERLINK("https://en.uesp.net/wiki/Skyrim:Goldenglow_Estate","Goldenglow Estate")</f>
        <v>Goldenglow Estate</v>
      </c>
      <c r="D4" s="63" t="s">
        <v>132</v>
      </c>
      <c r="E4" s="549" t="str">
        <f>HYPERLINK("https://en.uesp.net/wiki/Skyrim:Quest_Items#Coral_Dragon_Claw","Coral Dragon Claw")</f>
        <v>Coral Dragon Claw</v>
      </c>
      <c r="F4" s="550" t="str">
        <f>HYPERLINK("https://en.uesp.net/wiki/Skyrim:Yngol%27s_Barrow","Yngol's Barrow ")</f>
        <v>Yngol's Barrow </v>
      </c>
      <c r="G4" s="63" t="s">
        <v>132</v>
      </c>
      <c r="H4" s="551" t="str">
        <f>HYPERLINK("https://en.uesp.net/wiki/Skyrim:Treasure_Map_I","Treasure Map I")</f>
        <v>Treasure Map I</v>
      </c>
      <c r="I4" s="552" t="s">
        <v>3634</v>
      </c>
      <c r="J4" s="63" t="s">
        <v>132</v>
      </c>
      <c r="K4" s="553" t="str">
        <f>HYPERLINK("https://en.uesp.net/wiki/Skyrim:Quest_Items#Amethyst_Claw.2C_Left_Half","Amethyst Claw, Left Half (DB)")</f>
        <v>Amethyst Claw, Left Half (DB)</v>
      </c>
      <c r="L4" s="553" t="str">
        <f t="shared" ref="L4:L5" si="1">HYPERLINK("https://en.uesp.net/wiki/Skyrim:Lost_Legacy","""Lost Legacy"" quest")</f>
        <v>"Lost Legacy" quest</v>
      </c>
      <c r="M4" s="63" t="s">
        <v>132</v>
      </c>
      <c r="N4" s="554" t="str">
        <f>HYPERLINK("https://en.uesp.net/wiki/Skyrim:Amethyst_Paragon","Amethyst Paragon")</f>
        <v>Amethyst Paragon</v>
      </c>
      <c r="O4" s="554" t="str">
        <f t="shared" ref="O4:O8" si="2">HYPERLINK("https://en.uesp.net/wiki/Skyrim:Forgotten_Vale","Forgotten Vale")</f>
        <v>Forgotten Vale</v>
      </c>
    </row>
    <row r="5" ht="22.5" customHeight="1">
      <c r="A5" s="63" t="s">
        <v>132</v>
      </c>
      <c r="B5" s="547" t="str">
        <f>HYPERLINK("https://en.uesp.net/wiki/Skyrim:Miscellaneous_Items#Butterfly_in_a_Jar","Butterfly in a Jar")</f>
        <v>Butterfly in a Jar</v>
      </c>
      <c r="C5" s="548" t="str">
        <f>HYPERLINK("https://en.uesp.net/wiki/Skyrim:Alchemist%27s_Shack","Alchemist's Shack")</f>
        <v>Alchemist's Shack</v>
      </c>
      <c r="D5" s="63" t="s">
        <v>132</v>
      </c>
      <c r="E5" s="549" t="str">
        <f>HYPERLINK("https://en.uesp.net/wiki/Skyrim:Quest_Items#Diamond_Claw","Diamond Claw")</f>
        <v>Diamond Claw</v>
      </c>
      <c r="F5" s="550" t="str">
        <f>HYPERLINK("https://en.uesp.net/wiki/Skyrim:The_World-Eater%27s_Eyrie","The World-Eater's Eyrie")</f>
        <v>The World-Eater's Eyrie</v>
      </c>
      <c r="G5" s="63" t="s">
        <v>132</v>
      </c>
      <c r="H5" s="551" t="str">
        <f>HYPERLINK("https://en.uesp.net/wiki/Skyrim:Treasure_Map_II","Treasure Map II")</f>
        <v>Treasure Map II</v>
      </c>
      <c r="I5" s="80" t="s">
        <v>3635</v>
      </c>
      <c r="J5" s="63" t="s">
        <v>132</v>
      </c>
      <c r="K5" s="553" t="str">
        <f>HYPERLINK("https://en.uesp.net/wiki/Skyrim:Quest_Items#Amethyst_Claw.2C_Right_Half","Amethyst Claw, Right Half (DB)")</f>
        <v>Amethyst Claw, Right Half (DB)</v>
      </c>
      <c r="L5" s="553" t="str">
        <f t="shared" si="1"/>
        <v>"Lost Legacy" quest</v>
      </c>
      <c r="M5" s="63" t="s">
        <v>132</v>
      </c>
      <c r="N5" s="554" t="str">
        <f>HYPERLINK("https://en.uesp.net/wiki/Skyrim:Diamond_Paragon","Diamond Paragon")</f>
        <v>Diamond Paragon</v>
      </c>
      <c r="O5" s="554" t="str">
        <f t="shared" si="2"/>
        <v>Forgotten Vale</v>
      </c>
    </row>
    <row r="6" ht="22.5" customHeight="1">
      <c r="A6" s="63" t="s">
        <v>132</v>
      </c>
      <c r="B6" s="547" t="str">
        <f>HYPERLINK("https://en.uesp.net/wiki/Skyrim:Miscellaneous_Items#Dragonfly_in_a_Jar","Dragonfly in a Jar")</f>
        <v>Dragonfly in a Jar</v>
      </c>
      <c r="C6" s="548" t="str">
        <f>HYPERLINK("https://en.uesp.net/wiki/Skyrim:Burguk%27s_Longhouse","Burguk's Longhouse")</f>
        <v>Burguk's Longhouse</v>
      </c>
      <c r="D6" s="63" t="s">
        <v>132</v>
      </c>
      <c r="E6" s="549" t="str">
        <f>HYPERLINK("https://en.uesp.net/wiki/Skyrim:Quest_Items#Ebony_Claw","Ebony Claw")</f>
        <v>Ebony Claw</v>
      </c>
      <c r="F6" s="550" t="str">
        <f>HYPERLINK("https://en.uesp.net/wiki/Skyrim:The_Jagged_Crown_(Imperial)","The Jagged Crown")</f>
        <v>The Jagged Crown</v>
      </c>
      <c r="G6" s="63" t="s">
        <v>132</v>
      </c>
      <c r="H6" s="551" t="str">
        <f>HYPERLINK("https://en.uesp.net/wiki/Skyrim:Treasure_Map_III","Treasure Map III")</f>
        <v>Treasure Map III</v>
      </c>
      <c r="I6" s="80" t="s">
        <v>3636</v>
      </c>
      <c r="J6" s="63" t="s">
        <v>132</v>
      </c>
      <c r="K6" s="555" t="str">
        <f>HYPERLINK("https://en.uesp.net/wiki/Skyrim:Ancient_Traveler%27s_Skull","Ancient Traveler's Skull")</f>
        <v>Ancient Traveler's Skull</v>
      </c>
      <c r="L6" s="556" t="str">
        <f>HYPERLINK("https://en.uesp.net/wiki/Skyrim:Wayward_Pass","Wayward Pass")</f>
        <v>Wayward Pass</v>
      </c>
      <c r="M6" s="63" t="s">
        <v>132</v>
      </c>
      <c r="N6" s="554" t="str">
        <f>HYPERLINK("https://en.uesp.net/wiki/Skyrim:Emerald_Paragon","Emerald Paragon")</f>
        <v>Emerald Paragon</v>
      </c>
      <c r="O6" s="554" t="str">
        <f t="shared" si="2"/>
        <v>Forgotten Vale</v>
      </c>
    </row>
    <row r="7" ht="22.5" customHeight="1">
      <c r="A7" s="63" t="s">
        <v>132</v>
      </c>
      <c r="B7" s="547" t="str">
        <f>HYPERLINK("https://en.uesp.net/wiki/Skyrim:Miscellaneous_Items#Moth_in_a_Jar","Moth in a Jar")</f>
        <v>Moth in a Jar</v>
      </c>
      <c r="C7" s="548" t="str">
        <f>HYPERLINK("https://en.uesp.net/wiki/Skyrim:Duskglow_Crevice","Duskglow Crevice")</f>
        <v>Duskglow Crevice</v>
      </c>
      <c r="D7" s="63" t="s">
        <v>132</v>
      </c>
      <c r="E7" s="549" t="str">
        <f>HYPERLINK("https://en.uesp.net/wiki/Skyrim:Quest_Items#Emerald_Dragon_Claw","Emerald Dragon Claw")</f>
        <v>Emerald Dragon Claw</v>
      </c>
      <c r="F7" s="550" t="str">
        <f>HYPERLINK("https://en.uesp.net/wiki/Skyrim:Forbidden_Legend","Forbidden Legend")</f>
        <v>Forbidden Legend</v>
      </c>
      <c r="G7" s="63" t="s">
        <v>132</v>
      </c>
      <c r="H7" s="551" t="str">
        <f>HYPERLINK("https://en.uesp.net/wiki/Skyrim:Treasure_Map_IV","Treasure Map IV")</f>
        <v>Treasure Map IV</v>
      </c>
      <c r="I7" s="80" t="s">
        <v>3637</v>
      </c>
      <c r="J7" s="63" t="s">
        <v>132</v>
      </c>
      <c r="K7" s="547" t="str">
        <f>HYPERLINK("https://en.uesp.net/wiki/Skyrim:Aretino_Family_Heirloom","Aretino Family Heirloom")</f>
        <v>Aretino Family Heirloom</v>
      </c>
      <c r="L7" s="557" t="str">
        <f>HYPERLINK("https://en.uesp.net/wiki/Skyrim:Innocence_Lost", """Innocence Lost"" quest")</f>
        <v>"Innocence Lost" quest</v>
      </c>
      <c r="M7" s="63" t="s">
        <v>132</v>
      </c>
      <c r="N7" s="554" t="str">
        <f>HYPERLINK("https://en.uesp.net/wiki/Skyrim:Ruby_Paragon","Ruby Paragon")</f>
        <v>Ruby Paragon</v>
      </c>
      <c r="O7" s="554" t="str">
        <f t="shared" si="2"/>
        <v>Forgotten Vale</v>
      </c>
    </row>
    <row r="8" ht="22.5" customHeight="1">
      <c r="A8" s="63" t="s">
        <v>132</v>
      </c>
      <c r="B8" s="547" t="str">
        <f>HYPERLINK("https://en.uesp.net/wiki/Skyrim:Miscellaneous_Items#Torchbug_in_a_Jar","Torchbug in a Jar")</f>
        <v>Torchbug in a Jar</v>
      </c>
      <c r="C8" s="548" t="str">
        <f>HYPERLINK("https://en.uesp.net/wiki/Skyrim:Frostflow_Lighthouse","Frostflow Lighthouse")</f>
        <v>Frostflow Lighthouse</v>
      </c>
      <c r="D8" s="63" t="s">
        <v>132</v>
      </c>
      <c r="E8" s="549" t="str">
        <f>HYPERLINK("https://en.uesp.net/wiki/Skyrim:Quest_Items#Glass_Claw","Glass Claw")</f>
        <v>Glass Claw</v>
      </c>
      <c r="F8" s="550" t="str">
        <f>HYPERLINK("https://en.uesp.net/wiki/Skyrim:Siege_on_the_Dragon_Cult","Siege on the Dragon Cult")</f>
        <v>Siege on the Dragon Cult</v>
      </c>
      <c r="G8" s="63" t="s">
        <v>132</v>
      </c>
      <c r="H8" s="551" t="str">
        <f>HYPERLINK("https://en.uesp.net/wiki/Skyrim:Treasure_Map_V","Treasure Map V")</f>
        <v>Treasure Map V</v>
      </c>
      <c r="I8" s="558" t="s">
        <v>3638</v>
      </c>
      <c r="J8" s="63" t="s">
        <v>132</v>
      </c>
      <c r="K8" s="553" t="str">
        <f>HYPERLINK("https://en.uesp.net/wiki/Skyrim:Quest_Items#Attunement_Sphere","Attunement Sphere")</f>
        <v>Attunement Sphere</v>
      </c>
      <c r="L8" s="553" t="str">
        <f>HYPERLINK("https://en.uesp.net/wiki/Skyrim:Discerning_the_Transmundane","""Discerning the Transmundane"" quest")</f>
        <v>"Discerning the Transmundane" quest</v>
      </c>
      <c r="M8" s="63" t="s">
        <v>132</v>
      </c>
      <c r="N8" s="554" t="str">
        <f>HYPERLINK("https://en.uesp.net/wiki/Skyrim:Sapphire_Paragon","Sapphire Paragon")</f>
        <v>Sapphire Paragon</v>
      </c>
      <c r="O8" s="554" t="str">
        <f t="shared" si="2"/>
        <v>Forgotten Vale</v>
      </c>
    </row>
    <row r="9" ht="22.5" customHeight="1">
      <c r="A9" s="559"/>
      <c r="B9" s="559"/>
      <c r="C9" s="559"/>
      <c r="D9" s="63" t="s">
        <v>132</v>
      </c>
      <c r="E9" s="549" t="str">
        <f>HYPERLINK("https://en.uesp.net/wiki/Skyrim:Quest_Items#Golden_Claw","Golden Claw")</f>
        <v>Golden Claw</v>
      </c>
      <c r="F9" s="550" t="str">
        <f>HYPERLINK("https://en.uesp.net/wiki/Skyrim:The_Golden_Claw","The Golden Claw")</f>
        <v>The Golden Claw</v>
      </c>
      <c r="G9" s="63" t="s">
        <v>132</v>
      </c>
      <c r="H9" s="560" t="str">
        <f>HYPERLINK("https://en.uesp.net/wiki/Skyrim:Treasure_Map_VI","Treasure Map VI")</f>
        <v>Treasure Map VI</v>
      </c>
      <c r="I9" s="561" t="s">
        <v>3639</v>
      </c>
      <c r="J9" s="63" t="s">
        <v>132</v>
      </c>
      <c r="K9" s="547" t="str">
        <f>HYPERLINK("https://en.uesp.net/wiki/Skyrim:Balbus%27s_Fork", "Balbus's Fork")</f>
        <v>Balbus's Fork</v>
      </c>
      <c r="L9" s="562" t="s">
        <v>3640</v>
      </c>
      <c r="M9" s="563"/>
      <c r="N9" s="564"/>
      <c r="O9" s="564"/>
    </row>
    <row r="10" ht="22.5" customHeight="1">
      <c r="A10" s="559"/>
      <c r="B10" s="559"/>
      <c r="C10" s="559"/>
      <c r="D10" s="63" t="s">
        <v>132</v>
      </c>
      <c r="E10" s="549" t="str">
        <f>HYPERLINK("https://en.uesp.net/wiki/Skyrim:Quest_Items#Iron_Claw","Iron Claw")</f>
        <v>Iron Claw</v>
      </c>
      <c r="F10" s="550" t="str">
        <f>HYPERLINK("https://en.uesp.net/wiki/Skyrim:Evil_in_Waiting","Evil in Waiting")</f>
        <v>Evil in Waiting</v>
      </c>
      <c r="G10" s="63" t="s">
        <v>132</v>
      </c>
      <c r="H10" s="560" t="str">
        <f>HYPERLINK("https://en.uesp.net/wiki/Skyrim:Treasure_Map_VII","Treasure Map VII")</f>
        <v>Treasure Map VII</v>
      </c>
      <c r="I10" s="561" t="s">
        <v>3641</v>
      </c>
      <c r="J10" s="63" t="s">
        <v>132</v>
      </c>
      <c r="K10" s="553" t="str">
        <f>HYPERLINK("https://en.uesp.net/wiki/Skyrim:Quest_Items#Canticle_Bark","Canticle Bark (DG)")</f>
        <v>Canticle Bark (DG)</v>
      </c>
      <c r="L10" s="553" t="str">
        <f>HYPERLINK("https://en.uesp.net/wiki/Skyrim:Unseen_Visions","""Unseen Visions"" quest")</f>
        <v>"Unseen Visions" quest</v>
      </c>
      <c r="M10" s="565"/>
      <c r="N10" s="566"/>
      <c r="O10" s="566"/>
    </row>
    <row r="11" ht="22.5" customHeight="1">
      <c r="A11" s="559"/>
      <c r="B11" s="559"/>
      <c r="C11" s="559"/>
      <c r="D11" s="63" t="s">
        <v>132</v>
      </c>
      <c r="E11" s="549" t="str">
        <f>HYPERLINK("https://en.uesp.net/wiki/Skyrim:Quest_Items#Ivory_Dragon_Claw","Ivory Dragon Claw")</f>
        <v>Ivory Dragon Claw</v>
      </c>
      <c r="F11" s="550" t="str">
        <f>HYPERLINK("https://en.uesp.net/wiki/Skyrim:Forbidden_Legend","Forbidden Legend")</f>
        <v>Forbidden Legend</v>
      </c>
      <c r="G11" s="63" t="s">
        <v>132</v>
      </c>
      <c r="H11" s="560" t="str">
        <f>HYPERLINK("https://en.uesp.net/wiki/Skyrim:Treasure_Map_VIII","Treasure Map VIII")</f>
        <v>Treasure Map VIII</v>
      </c>
      <c r="I11" s="561" t="s">
        <v>3642</v>
      </c>
      <c r="J11" s="63" t="s">
        <v>132</v>
      </c>
      <c r="K11" s="553" t="str">
        <f>HYPERLINK("https://en.uesp.net/wiki/Skyrim:Quest_Items#Control_Cube","Control Cube (DB)")</f>
        <v>Control Cube (DB)</v>
      </c>
      <c r="L11" s="553" t="str">
        <f>HYPERLINK("https://en.uesp.net/wiki/Skyrim:The_Path_of_Knowledge","""The Path of Knowledge"" quest. 5 copies.")</f>
        <v>"The Path of Knowledge" quest. 5 copies.</v>
      </c>
      <c r="M11" s="565"/>
      <c r="N11" s="566"/>
      <c r="O11" s="566"/>
    </row>
    <row r="12" ht="22.5" customHeight="1">
      <c r="A12" s="559"/>
      <c r="B12" s="559"/>
      <c r="C12" s="559"/>
      <c r="D12" s="63" t="s">
        <v>132</v>
      </c>
      <c r="E12" s="549" t="str">
        <f>HYPERLINK("https://en.uesp.net/wiki/Skyrim:Quest_Items#Ruby_Dragon_Claw","Ruby Dragon Claw")</f>
        <v>Ruby Dragon Claw</v>
      </c>
      <c r="F12" s="550" t="str">
        <f>HYPERLINK("https://en.uesp.net/wiki/Skyrim:Tending_the_Flames","Tending the Flames")</f>
        <v>Tending the Flames</v>
      </c>
      <c r="G12" s="63" t="s">
        <v>132</v>
      </c>
      <c r="H12" s="560" t="str">
        <f>HYPERLINK("https://en.uesp.net/wiki/Skyrim:Treasure_Map_IX","Treasure Map IX")</f>
        <v>Treasure Map IX</v>
      </c>
      <c r="I12" s="561" t="s">
        <v>3643</v>
      </c>
      <c r="J12" s="63" t="s">
        <v>132</v>
      </c>
      <c r="K12" s="553" t="str">
        <f>HYPERLINK("https://en.uesp.net/wiki/Skyrim:Quest_Items#Deathbrand_Treasure_Map","Deathbrand Treasure Map (DB)")</f>
        <v>Deathbrand Treasure Map (DB)</v>
      </c>
      <c r="L12" s="553" t="str">
        <f>HYPERLINK("https://en.uesp.net/wiki/Skyrim:Deathbrand_(quest)","""Deathbrand"" quest")</f>
        <v>"Deathbrand" quest</v>
      </c>
      <c r="M12" s="565"/>
      <c r="N12" s="566"/>
      <c r="O12" s="566"/>
    </row>
    <row r="13" ht="33.75" customHeight="1">
      <c r="A13" s="559"/>
      <c r="B13" s="559"/>
      <c r="C13" s="559"/>
      <c r="D13" s="63" t="s">
        <v>132</v>
      </c>
      <c r="E13" s="549" t="str">
        <f>HYPERLINK("https://en.uesp.net/wiki/Skyrim:Quest_Items#Sapphire_Dragon_Claw","Sapphire Dragon Claw")</f>
        <v>Sapphire Dragon Claw</v>
      </c>
      <c r="F13" s="550" t="str">
        <f>HYPERLINK("https://en.uesp.net/wiki/Skyrim:Lifting_the_Shroud","Lifting the Shroud")</f>
        <v>Lifting the Shroud</v>
      </c>
      <c r="G13" s="63" t="s">
        <v>132</v>
      </c>
      <c r="H13" s="560" t="str">
        <f>HYPERLINK("https://en.uesp.net/wiki/Skyrim:Treasure_Map_X","Treasure Map X")</f>
        <v>Treasure Map X</v>
      </c>
      <c r="I13" s="561" t="s">
        <v>3644</v>
      </c>
      <c r="J13" s="63" t="s">
        <v>132</v>
      </c>
      <c r="K13" s="553" t="str">
        <f>HYPERLINK("https://en.uesp.net/wiki/Skyrim:Quest_Items#Draw_Knife","Draw Knife (DG)")</f>
        <v>Draw Knife (DG)</v>
      </c>
      <c r="L13" s="553" t="str">
        <f>HYPERLINK("https://en.uesp.net/wiki/Skyrim:Unseen_Visions","""Unseen Visions"" quest")</f>
        <v>"Unseen Visions" quest</v>
      </c>
      <c r="M13" s="565"/>
      <c r="N13" s="566"/>
      <c r="O13" s="566"/>
    </row>
    <row r="14" ht="33.75" customHeight="1">
      <c r="A14" s="559"/>
      <c r="B14" s="559"/>
      <c r="C14" s="559"/>
      <c r="D14" s="559"/>
      <c r="E14" s="559"/>
      <c r="F14" s="559"/>
      <c r="G14" s="63" t="s">
        <v>132</v>
      </c>
      <c r="H14" s="560" t="str">
        <f>HYPERLINK("https://en.uesp.net/wiki/Skyrim:Fort_Neugrad_Treasure_Map","Fort Neugrad Treasure Map")</f>
        <v>Fort Neugrad Treasure Map</v>
      </c>
      <c r="I14" s="561" t="s">
        <v>3645</v>
      </c>
      <c r="J14" s="63" t="s">
        <v>132</v>
      </c>
      <c r="K14" s="553" t="str">
        <f>HYPERLINK("https://en.uesp.net/wiki/Skyrim:Quest_Items#Essence_Extractor","Essence Extractor")</f>
        <v>Essence Extractor</v>
      </c>
      <c r="L14" s="553" t="str">
        <f>HYPERLINK("https://en.uesp.net/wiki/Skyrim:Discerning_the_Transmundane","""Discerning the Transmundane"" quest")</f>
        <v>"Discerning the Transmundane" quest</v>
      </c>
      <c r="M14" s="565"/>
      <c r="N14" s="566"/>
      <c r="O14" s="566"/>
    </row>
    <row r="15" ht="43.5" customHeight="1">
      <c r="A15" s="567"/>
      <c r="B15" s="567"/>
      <c r="C15" s="567"/>
      <c r="D15" s="567"/>
      <c r="E15" s="567"/>
      <c r="F15" s="567"/>
      <c r="G15" s="63" t="s">
        <v>132</v>
      </c>
      <c r="H15" s="560" t="str">
        <f>HYPERLINK("https://en.uesp.net/wiki/Skyrim:Velehk_Sain%27s_Treasure_Map","Velehk Sain's Treasure Map")</f>
        <v>Velehk Sain's Treasure Map</v>
      </c>
      <c r="I15" s="561" t="s">
        <v>3646</v>
      </c>
      <c r="J15" s="63" t="s">
        <v>132</v>
      </c>
      <c r="K15" s="547" t="str">
        <f>HYPERLINK("https://en.uesp.net/wiki/Skyrim:Exquisite_Sapphire","Exquisite Sapphire (DB)")</f>
        <v>Exquisite Sapphire (DB)</v>
      </c>
      <c r="L15" s="562" t="s">
        <v>3647</v>
      </c>
      <c r="M15" s="568"/>
      <c r="N15" s="569"/>
      <c r="O15" s="569"/>
    </row>
    <row r="16" ht="33.75" customHeight="1">
      <c r="A16" s="570"/>
      <c r="B16" s="570"/>
      <c r="C16" s="570"/>
      <c r="D16" s="570"/>
      <c r="E16" s="570"/>
      <c r="F16" s="570"/>
      <c r="G16" s="571"/>
      <c r="H16" s="572"/>
      <c r="I16" s="573"/>
      <c r="J16" s="63" t="s">
        <v>132</v>
      </c>
      <c r="K16" s="553" t="str">
        <f>HYPERLINK("https://en.uesp.net/wiki/Skyrim:Quest_Items#Firebrand_Wine_Case","Firebrand Wine Case")</f>
        <v>Firebrand Wine Case</v>
      </c>
      <c r="L16" s="553" t="str">
        <f>HYPERLINK("https://en.uesp.net/wiki/Skyrim:Blue_Palace","Blue Palace")</f>
        <v>Blue Palace</v>
      </c>
      <c r="M16" s="574"/>
      <c r="N16" s="575"/>
      <c r="O16" s="575"/>
    </row>
    <row r="17" ht="33.75" customHeight="1">
      <c r="A17" s="570"/>
      <c r="B17" s="570"/>
      <c r="C17" s="570"/>
      <c r="D17" s="570"/>
      <c r="E17" s="570"/>
      <c r="F17" s="570"/>
      <c r="G17" s="576"/>
      <c r="H17" s="577"/>
      <c r="I17" s="578"/>
      <c r="J17" s="63" t="s">
        <v>132</v>
      </c>
      <c r="K17" s="553" t="str">
        <f>HYPERLINK("https://en.uesp.net/wiki/Skyrim:Quest_Items#Glenmoril_Witch_Head","Glenmoril Witch Head")</f>
        <v>Glenmoril Witch Head</v>
      </c>
      <c r="L17" s="553" t="str">
        <f>HYPERLINK("https://en.uesp.net/wiki/Skyrim:Blood%27s_Honor","""Blood's Honor"" quest")</f>
        <v>"Blood's Honor" quest</v>
      </c>
      <c r="M17" s="574"/>
      <c r="N17" s="575"/>
      <c r="O17" s="575"/>
    </row>
    <row r="18" ht="33.75" customHeight="1">
      <c r="A18" s="570"/>
      <c r="B18" s="570"/>
      <c r="C18" s="570"/>
      <c r="D18" s="570"/>
      <c r="E18" s="570"/>
      <c r="F18" s="570"/>
      <c r="G18" s="576"/>
      <c r="H18" s="577"/>
      <c r="I18" s="578"/>
      <c r="J18" s="63" t="s">
        <v>132</v>
      </c>
      <c r="K18" s="553" t="str">
        <f>HYPERLINK("https://en.uesp.net/wiki/Skyrim:Quest_Items#Initiate.27s_Ewer","Initiate's Ewer (DG)")</f>
        <v>Initiate's Ewer (DG)</v>
      </c>
      <c r="L18" s="553" t="str">
        <f>HYPERLINK("https://en.uesp.net/wiki/Skyrim:Touching_the_Sky","""Touching the Sky"" quest")</f>
        <v>"Touching the Sky" quest</v>
      </c>
      <c r="M18" s="574"/>
      <c r="N18" s="575"/>
      <c r="O18" s="575"/>
    </row>
    <row r="19" ht="33.75" customHeight="1">
      <c r="A19" s="570"/>
      <c r="B19" s="570"/>
      <c r="C19" s="570"/>
      <c r="D19" s="570"/>
      <c r="E19" s="570"/>
      <c r="F19" s="570"/>
      <c r="G19" s="576"/>
      <c r="H19" s="577"/>
      <c r="I19" s="578"/>
      <c r="J19" s="63" t="s">
        <v>132</v>
      </c>
      <c r="K19" s="553" t="str">
        <f>HYPERLINK("https://en.uesp.net/wiki/Skyrim:Quest_Items#Kagrumez_Resonance_Gem","Kagrumez Resonance Gem")</f>
        <v>Kagrumez Resonance Gem</v>
      </c>
      <c r="L19" s="553" t="str">
        <f>HYPERLINK("https://en.uesp.net/wiki/Skyrim:The_Kagrumez_Gauntlet","""The Kagrumez Gauntlet"" quest. 5 copies.")</f>
        <v>"The Kagrumez Gauntlet" quest. 5 copies.</v>
      </c>
      <c r="M19" s="574"/>
      <c r="N19" s="575"/>
      <c r="O19" s="575"/>
    </row>
    <row r="20" ht="33.75" customHeight="1">
      <c r="A20" s="570"/>
      <c r="B20" s="570"/>
      <c r="C20" s="570"/>
      <c r="D20" s="570"/>
      <c r="E20" s="570"/>
      <c r="F20" s="570"/>
      <c r="G20" s="576"/>
      <c r="H20" s="577"/>
      <c r="I20" s="578"/>
      <c r="J20" s="63" t="s">
        <v>132</v>
      </c>
      <c r="K20" s="553" t="str">
        <f>HYPERLINK("https://en.uesp.net/wiki/Skyrim:Quest_Items#Map_of_Dragon_Burials","Map of Dragon Burials")</f>
        <v>Map of Dragon Burials</v>
      </c>
      <c r="L20" s="553" t="str">
        <f>HYPERLINK("https://en.uesp.net/wiki/Skyrim:Sleeping_Giant_Inn","Secret quest room in Sleeping Giant Inn")</f>
        <v>Secret quest room in Sleeping Giant Inn</v>
      </c>
      <c r="M20" s="574"/>
      <c r="N20" s="575"/>
      <c r="O20" s="575"/>
    </row>
    <row r="21" ht="33.75" customHeight="1">
      <c r="A21" s="570"/>
      <c r="B21" s="570"/>
      <c r="C21" s="570"/>
      <c r="D21" s="570"/>
      <c r="E21" s="570"/>
      <c r="F21" s="570"/>
      <c r="G21" s="576"/>
      <c r="H21" s="577"/>
      <c r="I21" s="578"/>
      <c r="J21" s="63" t="s">
        <v>132</v>
      </c>
      <c r="K21" s="553" t="str">
        <f>HYPERLINK("https://en.uesp.net/wiki/Skyrim:Michaela%27s_Flagon","Michaela's Flagon")</f>
        <v>Michaela's Flagon</v>
      </c>
      <c r="L21" s="553" t="str">
        <f>HYPERLINK("https://en.uesp.net/wiki/Skyrim:Thonnir%27s_House","Thonnir's House")</f>
        <v>Thonnir's House</v>
      </c>
      <c r="M21" s="574"/>
      <c r="N21" s="575"/>
      <c r="O21" s="575"/>
    </row>
    <row r="22" ht="33.75" customHeight="1">
      <c r="A22" s="570"/>
      <c r="B22" s="570"/>
      <c r="C22" s="570"/>
      <c r="D22" s="570"/>
      <c r="E22" s="570"/>
      <c r="F22" s="570"/>
      <c r="G22" s="576"/>
      <c r="H22" s="577"/>
      <c r="I22" s="578"/>
      <c r="J22" s="63" t="s">
        <v>132</v>
      </c>
      <c r="K22" s="553" t="str">
        <f>HYPERLINK("https://en.uesp.net/wiki/Skyrim:Quest_Items#Olava.27s_Token","Olava's Token")</f>
        <v>Olava's Token</v>
      </c>
      <c r="L22" s="553" t="str">
        <f>HYPERLINK("https://en.uesp.net/wiki/Skyrim:Locate_the_Assassin_of_Old","""Locate the Assassin of Old"" quest")</f>
        <v>"Locate the Assassin of Old" quest</v>
      </c>
      <c r="M22" s="574"/>
      <c r="N22" s="575"/>
      <c r="O22" s="575"/>
    </row>
    <row r="23" ht="33.75" customHeight="1">
      <c r="A23" s="570"/>
      <c r="B23" s="570"/>
      <c r="C23" s="570"/>
      <c r="D23" s="570"/>
      <c r="E23" s="570"/>
      <c r="F23" s="570"/>
      <c r="G23" s="576"/>
      <c r="H23" s="577"/>
      <c r="I23" s="578"/>
      <c r="J23" s="63" t="s">
        <v>132</v>
      </c>
      <c r="K23" s="553" t="str">
        <f>HYPERLINK("https://en.uesp.net/wiki/Skyrim:Quest_Items#Pelagius.27_Hip_Bone","Pelagius' Hip Bone")</f>
        <v>Pelagius' Hip Bone</v>
      </c>
      <c r="L23" s="553" t="str">
        <f>HYPERLINK("https://en.uesp.net/wiki/Skyrim:The_Mind_of_Madness","""The Mind of Madness"" quest")</f>
        <v>"The Mind of Madness" quest</v>
      </c>
      <c r="M23" s="574"/>
      <c r="N23" s="575"/>
      <c r="O23" s="575"/>
    </row>
    <row r="24" ht="33.75" customHeight="1">
      <c r="A24" s="570"/>
      <c r="B24" s="570"/>
      <c r="C24" s="570"/>
      <c r="D24" s="570"/>
      <c r="E24" s="570"/>
      <c r="F24" s="570"/>
      <c r="G24" s="576"/>
      <c r="H24" s="577"/>
      <c r="I24" s="578"/>
      <c r="J24" s="63" t="s">
        <v>132</v>
      </c>
      <c r="K24" s="553" t="str">
        <f>HYPERLINK("https://en.uesp.net/wiki/Skyrim:Gems#Right_Eye_of_the_Falmer","Right Eye of the Falmer")</f>
        <v>Right Eye of the Falmer</v>
      </c>
      <c r="L24" s="553" t="str">
        <f>HYPERLINK("https://en.uesp.net/wiki/Skyrim:Blindsighted","""Blindsighted"" quest")</f>
        <v>"Blindsighted" quest</v>
      </c>
      <c r="M24" s="574"/>
      <c r="N24" s="575"/>
      <c r="O24" s="575"/>
    </row>
    <row r="25" ht="33.75" customHeight="1">
      <c r="A25" s="570"/>
      <c r="B25" s="570"/>
      <c r="C25" s="570"/>
      <c r="D25" s="570"/>
      <c r="E25" s="570"/>
      <c r="F25" s="570"/>
      <c r="G25" s="576"/>
      <c r="H25" s="577"/>
      <c r="I25" s="578"/>
      <c r="J25" s="63" t="s">
        <v>132</v>
      </c>
      <c r="K25" s="553" t="str">
        <f>HYPERLINK("https://en.uesp.net/wiki/Skyrim:Quest_Items#Runed_Lexicon","Runed Lexicon")</f>
        <v>Runed Lexicon</v>
      </c>
      <c r="L25" s="553" t="str">
        <f>HYPERLINK("https://en.uesp.net/wiki/Skyrim:Discerning_the_Transmundane","""Discerning the Transmundane"" quest")</f>
        <v>"Discerning the Transmundane" quest</v>
      </c>
      <c r="M25" s="574"/>
      <c r="N25" s="575"/>
      <c r="O25" s="575"/>
    </row>
    <row r="26" ht="33.75" customHeight="1">
      <c r="A26" s="570"/>
      <c r="B26" s="570"/>
      <c r="C26" s="570"/>
      <c r="D26" s="570"/>
      <c r="E26" s="570"/>
      <c r="F26" s="570"/>
      <c r="G26" s="576"/>
      <c r="H26" s="577"/>
      <c r="I26" s="578"/>
      <c r="J26" s="63" t="s">
        <v>132</v>
      </c>
      <c r="K26" s="553" t="str">
        <f>HYPERLINK("https://en.uesp.net/wiki/Skyrim:Quest_Items#Saerek.27s_Skull_Key","Saerek's Skull Key")</f>
        <v>Saerek's Skull Key</v>
      </c>
      <c r="L26" s="553" t="str">
        <f>HYPERLINK("https://en.uesp.net/wiki/Skyrim:Ragnvald_(quest)","""Ragnvald"" quest")</f>
        <v>"Ragnvald" quest</v>
      </c>
      <c r="M26" s="574"/>
      <c r="N26" s="575"/>
      <c r="O26" s="575"/>
    </row>
    <row r="27" ht="33.75" customHeight="1">
      <c r="A27" s="570"/>
      <c r="B27" s="570"/>
      <c r="C27" s="570"/>
      <c r="D27" s="570"/>
      <c r="E27" s="570"/>
      <c r="F27" s="570"/>
      <c r="G27" s="576"/>
      <c r="H27" s="577"/>
      <c r="I27" s="578"/>
      <c r="J27" s="63" t="s">
        <v>132</v>
      </c>
      <c r="K27" s="553" t="str">
        <f>HYPERLINK("https://en.uesp.net/wiki/Skyrim:Quest_Items#Sigil_Stone","Sigil Stone")</f>
        <v>Sigil Stone</v>
      </c>
      <c r="L27" s="553" t="str">
        <f>HYPERLINK("https://en.uesp.net/wiki/Skyrim:Conjuration_Ritual_Spell","""Conjuration Ritual Spell"" quest")</f>
        <v>"Conjuration Ritual Spell" quest</v>
      </c>
      <c r="M27" s="574"/>
      <c r="N27" s="575"/>
      <c r="O27" s="575"/>
    </row>
    <row r="28" ht="33.75" customHeight="1">
      <c r="A28" s="570"/>
      <c r="B28" s="570"/>
      <c r="C28" s="570"/>
      <c r="D28" s="570"/>
      <c r="E28" s="570"/>
      <c r="F28" s="570"/>
      <c r="G28" s="576"/>
      <c r="H28" s="577"/>
      <c r="I28" s="578"/>
      <c r="J28" s="63" t="s">
        <v>132</v>
      </c>
      <c r="K28" s="553" t="str">
        <f>HYPERLINK("https://en.uesp.net/wiki/Skyrim:Skull_(Dragonborn)","Skull (DB)")</f>
        <v>Skull (DB)</v>
      </c>
      <c r="L28" s="553" t="str">
        <f>HYPERLINK("https://en.uesp.net/wiki/Skyrim:Kolbjorn_Barrow","Kolbjorn Barrow")</f>
        <v>Kolbjorn Barrow</v>
      </c>
      <c r="M28" s="574"/>
      <c r="N28" s="575"/>
      <c r="O28" s="575"/>
    </row>
    <row r="29" ht="33.75" customHeight="1">
      <c r="A29" s="570"/>
      <c r="B29" s="570"/>
      <c r="C29" s="570"/>
      <c r="D29" s="570"/>
      <c r="E29" s="570"/>
      <c r="F29" s="570"/>
      <c r="G29" s="576"/>
      <c r="H29" s="577"/>
      <c r="I29" s="578"/>
      <c r="J29" s="63" t="s">
        <v>132</v>
      </c>
      <c r="K29" s="547" t="str">
        <f>HYPERLINK("https://en.uesp.net/wiki/Skyrim:The_Dancer%27s_Flute","The Dancer's Flute")</f>
        <v>The Dancer's Flute</v>
      </c>
      <c r="L29" s="547" t="str">
        <f>HYPERLINK("https://en.uesp.net/wiki/Skyrim:Calixto%27s_House_of_Curiosities","Calixto's House of Curiosities")</f>
        <v>Calixto's House of Curiosities</v>
      </c>
      <c r="M29" s="574"/>
      <c r="N29" s="575"/>
      <c r="O29" s="575"/>
    </row>
    <row r="30" ht="33.75" customHeight="1">
      <c r="A30" s="570"/>
      <c r="B30" s="570"/>
      <c r="C30" s="570"/>
      <c r="D30" s="570"/>
      <c r="E30" s="570"/>
      <c r="F30" s="570"/>
      <c r="G30" s="576"/>
      <c r="H30" s="577"/>
      <c r="I30" s="578"/>
      <c r="J30" s="63" t="s">
        <v>132</v>
      </c>
      <c r="K30" s="553" t="str">
        <f>HYPERLINK("https://en.uesp.net/wiki/Skyrim:Quest_Items#Torsten.27s_Skull_Key","Torsten's Skull Key")</f>
        <v>Torsten's Skull Key</v>
      </c>
      <c r="L30" s="553" t="str">
        <f>HYPERLINK("https://en.uesp.net/wiki/Skyrim:Ragnvald_(quest)","""Ragnvald"" quest")</f>
        <v>"Ragnvald" quest</v>
      </c>
      <c r="M30" s="574"/>
      <c r="N30" s="575"/>
      <c r="O30" s="575"/>
    </row>
    <row r="31" ht="33.75" customHeight="1">
      <c r="A31" s="579">
        <f>(A3+D3+G3+J3+M3)/5</f>
        <v>0</v>
      </c>
      <c r="B31" s="570"/>
      <c r="C31" s="570"/>
      <c r="D31" s="570"/>
      <c r="E31" s="570"/>
      <c r="F31" s="570"/>
      <c r="G31" s="576"/>
      <c r="H31" s="577"/>
      <c r="I31" s="578"/>
      <c r="J31" s="63" t="s">
        <v>132</v>
      </c>
      <c r="K31" s="553" t="str">
        <f>HYPERLINK("https://en.uesp.net/wiki/Skyrim:Ysgramor%27s_Soup_Spoon","Ysgramor's Soup Spoon")</f>
        <v>Ysgramor's Soup Spoon</v>
      </c>
      <c r="L31" s="547" t="str">
        <f>HYPERLINK("https://en.uesp.net/wiki/Skyrim:Calixto%27s_House_of_Curiosities","Calixto's House of Curiosities")</f>
        <v>Calixto's House of Curiosities</v>
      </c>
      <c r="M31" s="574"/>
      <c r="N31" s="575"/>
      <c r="O31" s="575"/>
    </row>
  </sheetData>
  <mergeCells count="5">
    <mergeCell ref="A1:C1"/>
    <mergeCell ref="D1:F1"/>
    <mergeCell ref="G1:I1"/>
    <mergeCell ref="J1:L1"/>
    <mergeCell ref="M1:O1"/>
  </mergeCells>
  <conditionalFormatting sqref="A1:O31">
    <cfRule type="cellIs" dxfId="1" priority="1" operator="equal">
      <formula>"Y"</formula>
    </cfRule>
  </conditionalFormatting>
  <conditionalFormatting sqref="A1:O31">
    <cfRule type="cellIs" dxfId="4" priority="2" operator="equal">
      <formula>"N"</formula>
    </cfRule>
  </conditionalFormatting>
  <printOptions horizontalCentered="1"/>
  <pageMargins bottom="0.75" footer="0.0" header="0.0" left="0.25" right="0.25" top="0.75"/>
  <pageSetup orientation="portrait"/>
  <headerFooter>
    <oddFooter>&amp;CS K Y R I M    Q U E S T    C H E C K L I S T&amp;Rpage &amp;P of </oddFooter>
  </headerFooter>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43"/>
    <col customWidth="1" min="2" max="3" width="15.86"/>
    <col customWidth="1" min="4" max="6" width="57.29"/>
    <col customWidth="1" min="7" max="7" width="14.86"/>
    <col customWidth="1" min="8" max="8" width="10.57"/>
    <col customWidth="1" min="9" max="9" width="11.14"/>
    <col customWidth="1" min="10" max="10" width="18.0"/>
    <col customWidth="1" min="11" max="11" width="7.57"/>
    <col customWidth="1" min="12" max="12" width="12.57"/>
  </cols>
  <sheetData>
    <row r="1">
      <c r="A1" s="425" t="s">
        <v>89</v>
      </c>
      <c r="B1" s="580" t="s">
        <v>3648</v>
      </c>
      <c r="C1" s="580" t="s">
        <v>2308</v>
      </c>
      <c r="D1" s="425" t="s">
        <v>129</v>
      </c>
      <c r="E1" s="425" t="s">
        <v>3649</v>
      </c>
      <c r="F1" s="425" t="s">
        <v>3650</v>
      </c>
      <c r="G1" s="425" t="s">
        <v>3651</v>
      </c>
      <c r="H1" s="425" t="s">
        <v>3652</v>
      </c>
      <c r="I1" s="425" t="s">
        <v>231</v>
      </c>
      <c r="J1" s="425" t="s">
        <v>3653</v>
      </c>
      <c r="K1" s="425" t="s">
        <v>3654</v>
      </c>
      <c r="L1" s="581" t="s">
        <v>3655</v>
      </c>
    </row>
    <row r="2">
      <c r="A2" s="428" t="s">
        <v>1524</v>
      </c>
      <c r="B2" s="582">
        <f t="shared" ref="B2:C2" si="1">(countif(B3:B77,"Y")/74)</f>
        <v>0</v>
      </c>
      <c r="C2" s="582">
        <f t="shared" si="1"/>
        <v>1</v>
      </c>
      <c r="D2" s="428" t="s">
        <v>1524</v>
      </c>
      <c r="E2" s="428" t="s">
        <v>1524</v>
      </c>
      <c r="F2" s="428" t="s">
        <v>1524</v>
      </c>
      <c r="G2" s="428" t="s">
        <v>1524</v>
      </c>
      <c r="H2" s="428" t="s">
        <v>1524</v>
      </c>
      <c r="I2" s="428" t="s">
        <v>1524</v>
      </c>
      <c r="J2" s="428" t="s">
        <v>1524</v>
      </c>
      <c r="K2" s="428" t="s">
        <v>1524</v>
      </c>
      <c r="L2" s="583" t="s">
        <v>1524</v>
      </c>
    </row>
    <row r="3" ht="30.0" customHeight="1">
      <c r="A3" s="584" t="str">
        <f>HYPERLINK("https://en.uesp.net/wiki/Skyrim:Adelaisa_Vendicci", "Adelaisa Vendicci")</f>
        <v>Adelaisa Vendicci</v>
      </c>
      <c r="B3" s="63" t="s">
        <v>132</v>
      </c>
      <c r="C3" s="63" t="s">
        <v>76</v>
      </c>
      <c r="D3" s="585" t="s">
        <v>3656</v>
      </c>
      <c r="E3" s="585" t="s">
        <v>3657</v>
      </c>
      <c r="F3" s="585" t="s">
        <v>3658</v>
      </c>
      <c r="G3" s="586">
        <v>25.0</v>
      </c>
      <c r="H3" s="586"/>
      <c r="I3" s="586" t="s">
        <v>1525</v>
      </c>
      <c r="J3" s="586" t="s">
        <v>1525</v>
      </c>
      <c r="K3" s="586"/>
      <c r="L3" s="587"/>
    </row>
    <row r="4" ht="30.0" customHeight="1">
      <c r="A4" s="584" t="str">
        <f>HYPERLINK("https://en.uesp.net/wiki/Skyrim:Aela_the_Huntress", "Aela the Huntress")</f>
        <v>Aela the Huntress</v>
      </c>
      <c r="B4" s="63" t="s">
        <v>132</v>
      </c>
      <c r="C4" s="63" t="s">
        <v>76</v>
      </c>
      <c r="D4" s="585" t="s">
        <v>3659</v>
      </c>
      <c r="E4" s="585" t="s">
        <v>3660</v>
      </c>
      <c r="F4" s="585" t="s">
        <v>3661</v>
      </c>
      <c r="G4" s="586">
        <v>50.0</v>
      </c>
      <c r="H4" s="586" t="s">
        <v>1525</v>
      </c>
      <c r="I4" s="586" t="s">
        <v>1525</v>
      </c>
      <c r="J4" s="586" t="s">
        <v>1525</v>
      </c>
      <c r="K4" s="586"/>
      <c r="L4" s="587" t="s">
        <v>3662</v>
      </c>
    </row>
    <row r="5" ht="30.0" customHeight="1">
      <c r="A5" s="584" t="str">
        <f>HYPERLINK("https://en.uesp.net/wiki/Skyrim:Agmaer", "Agmaer")</f>
        <v>Agmaer</v>
      </c>
      <c r="B5" s="63" t="s">
        <v>132</v>
      </c>
      <c r="C5" s="63" t="s">
        <v>76</v>
      </c>
      <c r="D5" s="585" t="s">
        <v>3663</v>
      </c>
      <c r="E5" s="585" t="s">
        <v>3664</v>
      </c>
      <c r="F5" s="585" t="s">
        <v>3665</v>
      </c>
      <c r="G5" s="586">
        <v>25.0</v>
      </c>
      <c r="H5" s="588"/>
      <c r="I5" s="586" t="s">
        <v>1525</v>
      </c>
      <c r="J5" s="586" t="s">
        <v>1525</v>
      </c>
      <c r="K5" s="586"/>
      <c r="L5" s="587"/>
    </row>
    <row r="6" ht="30.0" customHeight="1">
      <c r="A6" s="584" t="str">
        <f>HYPERLINK("https://en.uesp.net/wiki/Skyrim:Ahtar", "Ahtar")</f>
        <v>Ahtar</v>
      </c>
      <c r="B6" s="63" t="s">
        <v>132</v>
      </c>
      <c r="C6" s="63" t="s">
        <v>76</v>
      </c>
      <c r="D6" s="585" t="s">
        <v>3666</v>
      </c>
      <c r="E6" s="585" t="s">
        <v>3667</v>
      </c>
      <c r="F6" s="585" t="s">
        <v>3668</v>
      </c>
      <c r="G6" s="586">
        <v>30.0</v>
      </c>
      <c r="H6" s="586"/>
      <c r="I6" s="586" t="s">
        <v>1525</v>
      </c>
      <c r="J6" s="588"/>
      <c r="K6" s="586"/>
      <c r="L6" s="587"/>
    </row>
    <row r="7" ht="30.0" customHeight="1">
      <c r="A7" s="584" t="str">
        <f>HYPERLINK("https://en.uesp.net/wiki/Skyrim:Annekke_Crag-Jumper", "Annekke Crag-Jumper")</f>
        <v>Annekke Crag-Jumper</v>
      </c>
      <c r="B7" s="63" t="s">
        <v>132</v>
      </c>
      <c r="C7" s="63" t="s">
        <v>76</v>
      </c>
      <c r="D7" s="585" t="s">
        <v>3669</v>
      </c>
      <c r="E7" s="585" t="s">
        <v>3667</v>
      </c>
      <c r="F7" s="585" t="s">
        <v>3670</v>
      </c>
      <c r="G7" s="586">
        <v>30.0</v>
      </c>
      <c r="H7" s="586"/>
      <c r="I7" s="586" t="s">
        <v>1525</v>
      </c>
      <c r="J7" s="586" t="s">
        <v>1525</v>
      </c>
      <c r="K7" s="586"/>
      <c r="L7" s="587"/>
    </row>
    <row r="8" ht="30.0" customHeight="1">
      <c r="A8" s="584" t="str">
        <f>HYPERLINK("https://en.uesp.net/wiki/Skyrim:Aranea_Ienith", "Aranea Ienith")</f>
        <v>Aranea Ienith</v>
      </c>
      <c r="B8" s="63" t="s">
        <v>132</v>
      </c>
      <c r="C8" s="63" t="s">
        <v>76</v>
      </c>
      <c r="D8" s="585" t="s">
        <v>3671</v>
      </c>
      <c r="E8" s="585" t="s">
        <v>3672</v>
      </c>
      <c r="F8" s="585" t="s">
        <v>3673</v>
      </c>
      <c r="G8" s="586">
        <v>30.0</v>
      </c>
      <c r="H8" s="586"/>
      <c r="I8" s="586" t="s">
        <v>1525</v>
      </c>
      <c r="J8" s="588"/>
      <c r="K8" s="586"/>
      <c r="L8" s="587"/>
    </row>
    <row r="9" ht="30.0" customHeight="1">
      <c r="A9" s="584" t="str">
        <f>HYPERLINK("https://en.uesp.net/wiki/Skyrim:Argis_the_Bulwark", "Argis the Bulwark")</f>
        <v>Argis the Bulwark</v>
      </c>
      <c r="B9" s="63" t="s">
        <v>132</v>
      </c>
      <c r="C9" s="63" t="s">
        <v>76</v>
      </c>
      <c r="D9" s="585" t="s">
        <v>3674</v>
      </c>
      <c r="E9" s="585" t="s">
        <v>3675</v>
      </c>
      <c r="F9" s="585" t="s">
        <v>3676</v>
      </c>
      <c r="G9" s="586">
        <v>50.0</v>
      </c>
      <c r="H9" s="586" t="s">
        <v>1525</v>
      </c>
      <c r="I9" s="586" t="s">
        <v>1525</v>
      </c>
      <c r="J9" s="588"/>
      <c r="K9" s="588"/>
      <c r="L9" s="589"/>
    </row>
    <row r="10" ht="30.0" customHeight="1">
      <c r="A10" s="584" t="str">
        <f>HYPERLINK("https://en.uesp.net/wiki/Skyrim:Armored_Frost_Troll", "Armored Frost Troll")</f>
        <v>Armored Frost Troll</v>
      </c>
      <c r="B10" s="63" t="s">
        <v>132</v>
      </c>
      <c r="C10" s="63" t="s">
        <v>76</v>
      </c>
      <c r="D10" s="585" t="s">
        <v>3677</v>
      </c>
      <c r="E10" s="585" t="s">
        <v>3677</v>
      </c>
      <c r="F10" s="585" t="s">
        <v>134</v>
      </c>
      <c r="G10" s="586">
        <v>22.0</v>
      </c>
      <c r="H10" s="588"/>
      <c r="I10" s="588"/>
      <c r="J10" s="588"/>
      <c r="K10" s="588"/>
      <c r="L10" s="589"/>
    </row>
    <row r="11" ht="30.0" customHeight="1">
      <c r="A11" s="584" t="str">
        <f>HYPERLINK("https://en.uesp.net/wiki/Skyrim:Armored_Troll", "Armored Troll")</f>
        <v>Armored Troll</v>
      </c>
      <c r="B11" s="63" t="s">
        <v>132</v>
      </c>
      <c r="C11" s="63" t="s">
        <v>76</v>
      </c>
      <c r="D11" s="585" t="s">
        <v>3678</v>
      </c>
      <c r="E11" s="585" t="s">
        <v>3678</v>
      </c>
      <c r="F11" s="585" t="s">
        <v>134</v>
      </c>
      <c r="G11" s="586">
        <v>14.0</v>
      </c>
      <c r="H11" s="588"/>
      <c r="I11" s="588"/>
      <c r="J11" s="588"/>
      <c r="K11" s="588"/>
      <c r="L11" s="589"/>
    </row>
    <row r="12" ht="30.0" customHeight="1">
      <c r="A12" s="584" t="str">
        <f>HYPERLINK("https://en.uesp.net/wiki/Skyrim:Athis", "Athis")</f>
        <v>Athis</v>
      </c>
      <c r="B12" s="63" t="s">
        <v>132</v>
      </c>
      <c r="C12" s="63" t="s">
        <v>76</v>
      </c>
      <c r="D12" s="585" t="s">
        <v>3679</v>
      </c>
      <c r="E12" s="585" t="s">
        <v>3660</v>
      </c>
      <c r="F12" s="585" t="s">
        <v>3676</v>
      </c>
      <c r="G12" s="586">
        <v>25.0</v>
      </c>
      <c r="H12" s="586" t="s">
        <v>1525</v>
      </c>
      <c r="I12" s="586" t="s">
        <v>1525</v>
      </c>
      <c r="J12" s="588"/>
      <c r="K12" s="588"/>
      <c r="L12" s="589" t="s">
        <v>3680</v>
      </c>
    </row>
    <row r="13" ht="30.0" customHeight="1">
      <c r="A13" s="584" t="str">
        <f>HYPERLINK("https://en.uesp.net/wiki/Skyrim:Beleval", "Beleval")</f>
        <v>Beleval</v>
      </c>
      <c r="B13" s="63" t="s">
        <v>132</v>
      </c>
      <c r="C13" s="63" t="s">
        <v>76</v>
      </c>
      <c r="D13" s="585" t="s">
        <v>3681</v>
      </c>
      <c r="E13" s="585" t="s">
        <v>3664</v>
      </c>
      <c r="F13" s="585" t="s">
        <v>3665</v>
      </c>
      <c r="G13" s="586">
        <v>25.0</v>
      </c>
      <c r="H13" s="588"/>
      <c r="I13" s="586" t="s">
        <v>1525</v>
      </c>
      <c r="J13" s="586" t="s">
        <v>1525</v>
      </c>
      <c r="K13" s="586"/>
      <c r="L13" s="587"/>
    </row>
    <row r="14" ht="30.0" customHeight="1">
      <c r="A14" s="584" t="str">
        <f>HYPERLINK("https://en.uesp.net/wiki/Skyrim:Belrand", "Belrand")</f>
        <v>Belrand</v>
      </c>
      <c r="B14" s="63" t="s">
        <v>132</v>
      </c>
      <c r="C14" s="63" t="s">
        <v>76</v>
      </c>
      <c r="D14" s="585" t="s">
        <v>3682</v>
      </c>
      <c r="E14" s="585" t="s">
        <v>3683</v>
      </c>
      <c r="F14" s="585" t="s">
        <v>3684</v>
      </c>
      <c r="G14" s="586">
        <v>40.0</v>
      </c>
      <c r="H14" s="586" t="s">
        <v>1525</v>
      </c>
      <c r="I14" s="586" t="s">
        <v>1525</v>
      </c>
      <c r="J14" s="586" t="s">
        <v>1525</v>
      </c>
      <c r="K14" s="586"/>
      <c r="L14" s="587"/>
    </row>
    <row r="15" ht="30.0" customHeight="1">
      <c r="A15" s="584" t="str">
        <f>HYPERLINK("https://en.uesp.net/wiki/Skyrim:Benor", "Benor")</f>
        <v>Benor</v>
      </c>
      <c r="B15" s="63" t="s">
        <v>132</v>
      </c>
      <c r="C15" s="63" t="s">
        <v>76</v>
      </c>
      <c r="D15" s="585" t="s">
        <v>3685</v>
      </c>
      <c r="E15" s="585" t="s">
        <v>3686</v>
      </c>
      <c r="F15" s="585" t="s">
        <v>3668</v>
      </c>
      <c r="G15" s="586">
        <v>30.0</v>
      </c>
      <c r="H15" s="586" t="s">
        <v>1525</v>
      </c>
      <c r="I15" s="586" t="s">
        <v>1525</v>
      </c>
      <c r="J15" s="586"/>
      <c r="K15" s="588"/>
      <c r="L15" s="589"/>
    </row>
    <row r="16" ht="30.0" customHeight="1">
      <c r="A16" s="584" t="str">
        <f>HYPERLINK("https://en.uesp.net/wiki/Skyrim:Borgakh_the_Steel_Heart", "Borgakh the Steel Heart")</f>
        <v>Borgakh the Steel Heart</v>
      </c>
      <c r="B16" s="63" t="s">
        <v>132</v>
      </c>
      <c r="C16" s="63" t="s">
        <v>76</v>
      </c>
      <c r="D16" s="585" t="s">
        <v>3687</v>
      </c>
      <c r="E16" s="585" t="s">
        <v>3688</v>
      </c>
      <c r="F16" s="585" t="s">
        <v>3689</v>
      </c>
      <c r="G16" s="586">
        <v>30.0</v>
      </c>
      <c r="H16" s="586" t="s">
        <v>1525</v>
      </c>
      <c r="I16" s="586" t="s">
        <v>1525</v>
      </c>
      <c r="J16" s="588"/>
      <c r="K16" s="588"/>
      <c r="L16" s="589"/>
    </row>
    <row r="17" ht="30.0" customHeight="1">
      <c r="A17" s="584" t="str">
        <f>HYPERLINK("https://en.uesp.net/wiki/Skyrim:Bran", "Bran")</f>
        <v>Bran</v>
      </c>
      <c r="B17" s="63" t="s">
        <v>132</v>
      </c>
      <c r="C17" s="63" t="s">
        <v>76</v>
      </c>
      <c r="D17" s="585" t="s">
        <v>3690</v>
      </c>
      <c r="E17" s="585" t="s">
        <v>3690</v>
      </c>
      <c r="F17" s="585" t="s">
        <v>134</v>
      </c>
      <c r="G17" s="586">
        <v>25.0</v>
      </c>
      <c r="H17" s="588"/>
      <c r="I17" s="588"/>
      <c r="J17" s="588"/>
      <c r="K17" s="586" t="s">
        <v>1525</v>
      </c>
      <c r="L17" s="587"/>
    </row>
    <row r="18" ht="30.0" customHeight="1">
      <c r="A18" s="584" t="str">
        <f>HYPERLINK("https://en.uesp.net/wiki/Skyrim:Brelyna_Maryon", "Brelyna Maryon")</f>
        <v>Brelyna Maryon</v>
      </c>
      <c r="B18" s="63" t="s">
        <v>132</v>
      </c>
      <c r="C18" s="63" t="s">
        <v>76</v>
      </c>
      <c r="D18" s="585" t="s">
        <v>3691</v>
      </c>
      <c r="E18" s="585" t="s">
        <v>3692</v>
      </c>
      <c r="F18" s="585" t="s">
        <v>3693</v>
      </c>
      <c r="G18" s="586">
        <v>30.0</v>
      </c>
      <c r="H18" s="586" t="s">
        <v>1525</v>
      </c>
      <c r="I18" s="586" t="s">
        <v>1525</v>
      </c>
      <c r="J18" s="586" t="s">
        <v>1525</v>
      </c>
      <c r="K18" s="586"/>
      <c r="L18" s="587"/>
    </row>
    <row r="19" ht="30.0" customHeight="1">
      <c r="A19" s="584" t="str">
        <f>HYPERLINK("https://en.uesp.net/wiki/Skyrim:Calder", "Calder")</f>
        <v>Calder</v>
      </c>
      <c r="B19" s="63" t="s">
        <v>132</v>
      </c>
      <c r="C19" s="63" t="s">
        <v>76</v>
      </c>
      <c r="D19" s="585" t="s">
        <v>3694</v>
      </c>
      <c r="E19" s="585" t="s">
        <v>3695</v>
      </c>
      <c r="F19" s="585" t="s">
        <v>3676</v>
      </c>
      <c r="G19" s="586">
        <v>50.0</v>
      </c>
      <c r="H19" s="586" t="s">
        <v>1525</v>
      </c>
      <c r="I19" s="586" t="s">
        <v>1525</v>
      </c>
      <c r="J19" s="586" t="s">
        <v>1525</v>
      </c>
      <c r="K19" s="586"/>
      <c r="L19" s="587"/>
    </row>
    <row r="20" ht="30.0" customHeight="1">
      <c r="A20" s="584" t="str">
        <f>HYPERLINK("https://en.uesp.net/wiki/Skyrim:Celann", "Celann")</f>
        <v>Celann</v>
      </c>
      <c r="B20" s="63" t="s">
        <v>132</v>
      </c>
      <c r="C20" s="63" t="s">
        <v>76</v>
      </c>
      <c r="D20" s="585" t="s">
        <v>3696</v>
      </c>
      <c r="E20" s="585" t="s">
        <v>3664</v>
      </c>
      <c r="F20" s="585" t="s">
        <v>3676</v>
      </c>
      <c r="G20" s="586" t="s">
        <v>3697</v>
      </c>
      <c r="H20" s="588"/>
      <c r="I20" s="586" t="s">
        <v>1525</v>
      </c>
      <c r="J20" s="586" t="s">
        <v>1525</v>
      </c>
      <c r="K20" s="586"/>
      <c r="L20" s="587"/>
    </row>
    <row r="21" ht="30.0" customHeight="1">
      <c r="A21" s="584" t="str">
        <f>HYPERLINK("https://en.uesp.net/wiki/Skyrim:Cicero", "Cicero")</f>
        <v>Cicero</v>
      </c>
      <c r="B21" s="63" t="s">
        <v>132</v>
      </c>
      <c r="C21" s="63" t="s">
        <v>76</v>
      </c>
      <c r="D21" s="585" t="s">
        <v>3698</v>
      </c>
      <c r="E21" s="585" t="s">
        <v>3699</v>
      </c>
      <c r="F21" s="585" t="s">
        <v>3700</v>
      </c>
      <c r="G21" s="586">
        <v>50.0</v>
      </c>
      <c r="H21" s="588"/>
      <c r="I21" s="588"/>
      <c r="J21" s="588"/>
      <c r="K21" s="588"/>
      <c r="L21" s="589"/>
    </row>
    <row r="22" ht="30.0" customHeight="1">
      <c r="A22" s="584" t="str">
        <f>HYPERLINK("https://en.uesp.net/wiki/Skyrim:Cosnach", "Cosnach")</f>
        <v>Cosnach</v>
      </c>
      <c r="B22" s="63" t="s">
        <v>132</v>
      </c>
      <c r="C22" s="63" t="s">
        <v>76</v>
      </c>
      <c r="D22" s="585" t="s">
        <v>3701</v>
      </c>
      <c r="E22" s="585" t="s">
        <v>3702</v>
      </c>
      <c r="F22" s="585" t="s">
        <v>3676</v>
      </c>
      <c r="G22" s="586">
        <v>30.0</v>
      </c>
      <c r="H22" s="586" t="s">
        <v>1525</v>
      </c>
      <c r="I22" s="586" t="s">
        <v>1525</v>
      </c>
      <c r="J22" s="586"/>
      <c r="K22" s="588"/>
      <c r="L22" s="589"/>
    </row>
    <row r="23" ht="30.0" customHeight="1">
      <c r="A23" s="584" t="str">
        <f>HYPERLINK("https://en.uesp.net/wiki/Skyrim:CuSith", "CuSith")</f>
        <v>CuSith</v>
      </c>
      <c r="B23" s="63" t="s">
        <v>132</v>
      </c>
      <c r="C23" s="63" t="s">
        <v>76</v>
      </c>
      <c r="D23" s="585" t="s">
        <v>3703</v>
      </c>
      <c r="E23" s="585" t="s">
        <v>3703</v>
      </c>
      <c r="F23" s="585" t="s">
        <v>134</v>
      </c>
      <c r="G23" s="586">
        <v>5.0</v>
      </c>
      <c r="H23" s="588"/>
      <c r="I23" s="588"/>
      <c r="J23" s="588"/>
      <c r="K23" s="588"/>
      <c r="L23" s="589"/>
    </row>
    <row r="24" ht="30.0" customHeight="1">
      <c r="A24" s="584" t="str">
        <f>HYPERLINK("https://en.uesp.net/wiki/Skyrim:Dark_Brotherhood_Initiate", "Dark Brotherhood Initiate (female)")</f>
        <v>Dark Brotherhood Initiate (female)</v>
      </c>
      <c r="B24" s="63" t="s">
        <v>132</v>
      </c>
      <c r="C24" s="63" t="s">
        <v>76</v>
      </c>
      <c r="D24" s="585" t="s">
        <v>3704</v>
      </c>
      <c r="E24" s="585" t="s">
        <v>3699</v>
      </c>
      <c r="F24" s="585" t="s">
        <v>3700</v>
      </c>
      <c r="G24" s="586">
        <v>100.0</v>
      </c>
      <c r="H24" s="588"/>
      <c r="I24" s="588"/>
      <c r="J24" s="588"/>
      <c r="K24" s="588"/>
      <c r="L24" s="589"/>
    </row>
    <row r="25" ht="30.0" customHeight="1">
      <c r="A25" s="584" t="str">
        <f>HYPERLINK("https://en.uesp.net/wiki/Skyrim:Dark_Brotherhood_Initiate", "Dark Brotherhood Initiate (male)")</f>
        <v>Dark Brotherhood Initiate (male)</v>
      </c>
      <c r="B25" s="63" t="s">
        <v>132</v>
      </c>
      <c r="C25" s="63" t="s">
        <v>76</v>
      </c>
      <c r="D25" s="585" t="s">
        <v>3704</v>
      </c>
      <c r="E25" s="585" t="s">
        <v>3699</v>
      </c>
      <c r="F25" s="585" t="s">
        <v>3700</v>
      </c>
      <c r="G25" s="586">
        <v>100.0</v>
      </c>
      <c r="H25" s="588"/>
      <c r="I25" s="588"/>
      <c r="J25" s="588"/>
      <c r="K25" s="588"/>
      <c r="L25" s="589"/>
    </row>
    <row r="26" ht="30.0" customHeight="1">
      <c r="A26" s="584" t="str">
        <f>HYPERLINK("https://en.uesp.net/wiki/Skyrim:Derkeethus", "Derkeethus")</f>
        <v>Derkeethus</v>
      </c>
      <c r="B26" s="63" t="s">
        <v>132</v>
      </c>
      <c r="C26" s="63" t="s">
        <v>76</v>
      </c>
      <c r="D26" s="585" t="s">
        <v>3705</v>
      </c>
      <c r="E26" s="585" t="s">
        <v>3706</v>
      </c>
      <c r="F26" s="585" t="s">
        <v>3670</v>
      </c>
      <c r="G26" s="586">
        <v>30.0</v>
      </c>
      <c r="H26" s="586" t="s">
        <v>1525</v>
      </c>
      <c r="I26" s="586" t="s">
        <v>1525</v>
      </c>
      <c r="J26" s="586"/>
      <c r="K26" s="588"/>
      <c r="L26" s="589"/>
    </row>
    <row r="27" ht="30.0" customHeight="1">
      <c r="A27" s="584" t="str">
        <f>HYPERLINK("https://en.uesp.net/wiki/Skyrim:Durak", "Durak")</f>
        <v>Durak</v>
      </c>
      <c r="B27" s="63" t="s">
        <v>132</v>
      </c>
      <c r="C27" s="63" t="s">
        <v>76</v>
      </c>
      <c r="D27" s="585" t="s">
        <v>3707</v>
      </c>
      <c r="E27" s="585" t="s">
        <v>3664</v>
      </c>
      <c r="F27" s="585" t="s">
        <v>3670</v>
      </c>
      <c r="G27" s="586" t="s">
        <v>3697</v>
      </c>
      <c r="H27" s="588"/>
      <c r="I27" s="586" t="s">
        <v>1525</v>
      </c>
      <c r="J27" s="586" t="s">
        <v>1525</v>
      </c>
      <c r="K27" s="586"/>
      <c r="L27" s="587"/>
    </row>
    <row r="28" ht="30.0" customHeight="1">
      <c r="A28" s="584" t="str">
        <f>HYPERLINK("https://en.uesp.net/wiki/Skyrim:Eola", "Eola")</f>
        <v>Eola</v>
      </c>
      <c r="B28" s="63" t="s">
        <v>132</v>
      </c>
      <c r="C28" s="63" t="s">
        <v>76</v>
      </c>
      <c r="D28" s="585" t="s">
        <v>3708</v>
      </c>
      <c r="E28" s="585" t="s">
        <v>3709</v>
      </c>
      <c r="F28" s="585" t="s">
        <v>3710</v>
      </c>
      <c r="G28" s="586">
        <v>30.0</v>
      </c>
      <c r="H28" s="588"/>
      <c r="I28" s="586" t="s">
        <v>1525</v>
      </c>
      <c r="J28" s="586" t="s">
        <v>1525</v>
      </c>
      <c r="K28" s="588"/>
      <c r="L28" s="589"/>
    </row>
    <row r="29" ht="30.0" customHeight="1">
      <c r="A29" s="584" t="str">
        <f>HYPERLINK("https://en.uesp.net/wiki/Skyrim:Erandur", "Erandur")</f>
        <v>Erandur</v>
      </c>
      <c r="B29" s="63" t="s">
        <v>132</v>
      </c>
      <c r="C29" s="63" t="s">
        <v>76</v>
      </c>
      <c r="D29" s="585" t="s">
        <v>3711</v>
      </c>
      <c r="E29" s="585" t="s">
        <v>3712</v>
      </c>
      <c r="F29" s="585" t="s">
        <v>3713</v>
      </c>
      <c r="G29" s="586">
        <v>50.0</v>
      </c>
      <c r="H29" s="588"/>
      <c r="I29" s="586" t="s">
        <v>1525</v>
      </c>
      <c r="J29" s="586"/>
      <c r="K29" s="588"/>
      <c r="L29" s="589"/>
    </row>
    <row r="30" ht="30.0" customHeight="1">
      <c r="A30" s="584" t="str">
        <f>HYPERLINK("https://en.uesp.net/wiki/Skyrim:Erik_the_Slayer", "Erik the Slayer")</f>
        <v>Erik the Slayer</v>
      </c>
      <c r="B30" s="63" t="s">
        <v>132</v>
      </c>
      <c r="C30" s="63" t="s">
        <v>76</v>
      </c>
      <c r="D30" s="585" t="s">
        <v>3714</v>
      </c>
      <c r="E30" s="585" t="s">
        <v>3683</v>
      </c>
      <c r="F30" s="585" t="s">
        <v>3715</v>
      </c>
      <c r="G30" s="586">
        <v>40.0</v>
      </c>
      <c r="H30" s="588"/>
      <c r="I30" s="586" t="s">
        <v>1525</v>
      </c>
      <c r="J30" s="586" t="s">
        <v>1525</v>
      </c>
      <c r="K30" s="586"/>
      <c r="L30" s="587"/>
    </row>
    <row r="31" ht="30.0" customHeight="1">
      <c r="A31" s="590" t="str">
        <f>HYPERLINK("https://en.uesp.net/wiki/Skyrim:Faendal","Faendal")</f>
        <v>Faendal</v>
      </c>
      <c r="B31" s="63" t="s">
        <v>132</v>
      </c>
      <c r="C31" s="63" t="s">
        <v>76</v>
      </c>
      <c r="D31" s="591" t="s">
        <v>3716</v>
      </c>
      <c r="E31" s="592" t="s">
        <v>3717</v>
      </c>
      <c r="F31" s="593" t="s">
        <v>3661</v>
      </c>
      <c r="G31" s="594">
        <v>30.0</v>
      </c>
      <c r="H31" s="589"/>
      <c r="I31" s="594" t="s">
        <v>1525</v>
      </c>
      <c r="J31" s="594" t="s">
        <v>1525</v>
      </c>
      <c r="K31" s="589"/>
      <c r="L31" s="593" t="s">
        <v>3662</v>
      </c>
    </row>
    <row r="32" ht="30.0" customHeight="1">
      <c r="A32" s="584" t="str">
        <f>HYPERLINK("https://en.uesp.net/wiki/Skyrim:Farkas", "Farkas")</f>
        <v>Farkas</v>
      </c>
      <c r="B32" s="63" t="s">
        <v>132</v>
      </c>
      <c r="C32" s="63" t="s">
        <v>76</v>
      </c>
      <c r="D32" s="585" t="s">
        <v>3718</v>
      </c>
      <c r="E32" s="585" t="s">
        <v>3660</v>
      </c>
      <c r="F32" s="585" t="s">
        <v>3719</v>
      </c>
      <c r="G32" s="586">
        <v>50.0</v>
      </c>
      <c r="H32" s="586" t="s">
        <v>1525</v>
      </c>
      <c r="I32" s="586" t="s">
        <v>1525</v>
      </c>
      <c r="J32" s="588"/>
      <c r="K32" s="588"/>
      <c r="L32" s="589" t="s">
        <v>2415</v>
      </c>
    </row>
    <row r="33" ht="30.0" customHeight="1">
      <c r="A33" s="584" t="str">
        <f>HYPERLINK("https://en.uesp.net/wiki/Skyrim:Frea", "Frea")</f>
        <v>Frea</v>
      </c>
      <c r="B33" s="63" t="s">
        <v>132</v>
      </c>
      <c r="C33" s="63" t="s">
        <v>76</v>
      </c>
      <c r="D33" s="585" t="s">
        <v>3720</v>
      </c>
      <c r="E33" s="585" t="s">
        <v>3721</v>
      </c>
      <c r="F33" s="585" t="s">
        <v>3722</v>
      </c>
      <c r="G33" s="586" t="s">
        <v>3697</v>
      </c>
      <c r="H33" s="588"/>
      <c r="I33" s="586" t="s">
        <v>1525</v>
      </c>
      <c r="J33" s="588"/>
      <c r="K33" s="588"/>
      <c r="L33" s="589"/>
    </row>
    <row r="34" ht="30.0" customHeight="1">
      <c r="A34" s="584" t="str">
        <f>HYPERLINK("https://en.uesp.net/wiki/Skyrim:Garmr", "Garmr")</f>
        <v>Garmr</v>
      </c>
      <c r="B34" s="63" t="s">
        <v>132</v>
      </c>
      <c r="C34" s="63" t="s">
        <v>76</v>
      </c>
      <c r="D34" s="585" t="s">
        <v>3703</v>
      </c>
      <c r="E34" s="585" t="s">
        <v>3703</v>
      </c>
      <c r="F34" s="585" t="s">
        <v>134</v>
      </c>
      <c r="G34" s="586">
        <v>5.0</v>
      </c>
      <c r="H34" s="588"/>
      <c r="I34" s="588"/>
      <c r="J34" s="588"/>
      <c r="K34" s="588"/>
      <c r="L34" s="589"/>
    </row>
    <row r="35" ht="30.0" customHeight="1">
      <c r="A35" s="584" t="str">
        <f>HYPERLINK("https://en.uesp.net/wiki/Skyrim:Ghorbash_the_Iron_Hand", "Ghorbash the Iron Hand")</f>
        <v>Ghorbash the Iron Hand</v>
      </c>
      <c r="B35" s="63" t="s">
        <v>132</v>
      </c>
      <c r="C35" s="63" t="s">
        <v>76</v>
      </c>
      <c r="D35" s="585" t="s">
        <v>3723</v>
      </c>
      <c r="E35" s="585" t="s">
        <v>3724</v>
      </c>
      <c r="F35" s="585" t="s">
        <v>3670</v>
      </c>
      <c r="G35" s="586">
        <v>30.0</v>
      </c>
      <c r="H35" s="586" t="s">
        <v>1525</v>
      </c>
      <c r="I35" s="586" t="s">
        <v>1525</v>
      </c>
      <c r="J35" s="586" t="s">
        <v>1525</v>
      </c>
      <c r="K35" s="586"/>
      <c r="L35" s="587"/>
    </row>
    <row r="36" ht="30.0" customHeight="1">
      <c r="A36" s="584" t="str">
        <f>HYPERLINK("https://en.uesp.net/wiki/Skyrim:Golldir", "Golldir")</f>
        <v>Golldir</v>
      </c>
      <c r="B36" s="63" t="s">
        <v>132</v>
      </c>
      <c r="C36" s="63" t="s">
        <v>76</v>
      </c>
      <c r="D36" s="585" t="s">
        <v>3725</v>
      </c>
      <c r="E36" s="585" t="s">
        <v>542</v>
      </c>
      <c r="F36" s="585" t="s">
        <v>3676</v>
      </c>
      <c r="G36" s="586">
        <v>30.0</v>
      </c>
      <c r="H36" s="588"/>
      <c r="I36" s="586" t="s">
        <v>1525</v>
      </c>
      <c r="J36" s="586" t="s">
        <v>1525</v>
      </c>
      <c r="K36" s="586"/>
      <c r="L36" s="587"/>
    </row>
    <row r="37" ht="30.0" customHeight="1">
      <c r="A37" s="584" t="str">
        <f>HYPERLINK("https://en.uesp.net/wiki/Skyrim:Gregor", "Gregor")</f>
        <v>Gregor</v>
      </c>
      <c r="B37" s="63" t="s">
        <v>132</v>
      </c>
      <c r="C37" s="63" t="s">
        <v>76</v>
      </c>
      <c r="D37" s="585" t="s">
        <v>3726</v>
      </c>
      <c r="E37" s="585" t="s">
        <v>3727</v>
      </c>
      <c r="F37" s="585" t="s">
        <v>3676</v>
      </c>
      <c r="G37" s="586">
        <v>50.0</v>
      </c>
      <c r="H37" s="586" t="s">
        <v>1525</v>
      </c>
      <c r="I37" s="586" t="s">
        <v>1525</v>
      </c>
      <c r="J37" s="586" t="s">
        <v>1525</v>
      </c>
      <c r="K37" s="586"/>
      <c r="L37" s="587"/>
    </row>
    <row r="38" ht="30.0" customHeight="1">
      <c r="A38" s="584" t="str">
        <f>HYPERLINK("https://en.uesp.net/wiki/Skyrim:Illia", "Illia")</f>
        <v>Illia</v>
      </c>
      <c r="B38" s="63" t="s">
        <v>132</v>
      </c>
      <c r="C38" s="63" t="s">
        <v>76</v>
      </c>
      <c r="D38" s="585" t="s">
        <v>3728</v>
      </c>
      <c r="E38" s="585" t="s">
        <v>500</v>
      </c>
      <c r="F38" s="585" t="s">
        <v>3673</v>
      </c>
      <c r="G38" s="586">
        <v>40.0</v>
      </c>
      <c r="H38" s="588"/>
      <c r="I38" s="586" t="s">
        <v>1525</v>
      </c>
      <c r="J38" s="586" t="s">
        <v>1525</v>
      </c>
      <c r="K38" s="586"/>
      <c r="L38" s="587"/>
    </row>
    <row r="39" ht="30.0" customHeight="1">
      <c r="A39" s="584" t="str">
        <f>HYPERLINK("https://en.uesp.net/wiki/Skyrim:Ingjard", "Ingjard")</f>
        <v>Ingjard</v>
      </c>
      <c r="B39" s="63" t="s">
        <v>132</v>
      </c>
      <c r="C39" s="63" t="s">
        <v>76</v>
      </c>
      <c r="D39" s="585" t="s">
        <v>3729</v>
      </c>
      <c r="E39" s="585" t="s">
        <v>3664</v>
      </c>
      <c r="F39" s="585" t="s">
        <v>3668</v>
      </c>
      <c r="G39" s="586" t="s">
        <v>3697</v>
      </c>
      <c r="H39" s="588"/>
      <c r="I39" s="586" t="s">
        <v>1525</v>
      </c>
      <c r="J39" s="586" t="s">
        <v>1525</v>
      </c>
      <c r="K39" s="586"/>
      <c r="L39" s="587"/>
    </row>
    <row r="40" ht="30.0" customHeight="1">
      <c r="A40" s="584" t="str">
        <f>HYPERLINK("https://en.uesp.net/wiki/Skyrim:Iona", "Iona")</f>
        <v>Iona</v>
      </c>
      <c r="B40" s="63" t="s">
        <v>132</v>
      </c>
      <c r="C40" s="63" t="s">
        <v>76</v>
      </c>
      <c r="D40" s="585" t="s">
        <v>3730</v>
      </c>
      <c r="E40" s="585" t="s">
        <v>3731</v>
      </c>
      <c r="F40" s="585" t="s">
        <v>3676</v>
      </c>
      <c r="G40" s="586">
        <v>50.0</v>
      </c>
      <c r="H40" s="586" t="s">
        <v>1525</v>
      </c>
      <c r="I40" s="586" t="s">
        <v>1525</v>
      </c>
      <c r="J40" s="586" t="s">
        <v>1525</v>
      </c>
      <c r="K40" s="586"/>
      <c r="L40" s="587"/>
    </row>
    <row r="41" ht="30.0" customHeight="1">
      <c r="A41" s="584" t="str">
        <f>HYPERLINK("https://en.uesp.net/wiki/Skyrim:J'zargo", "J'zargo")</f>
        <v>J'zargo</v>
      </c>
      <c r="B41" s="63" t="s">
        <v>132</v>
      </c>
      <c r="C41" s="63" t="s">
        <v>76</v>
      </c>
      <c r="D41" s="585" t="s">
        <v>3732</v>
      </c>
      <c r="E41" s="585" t="s">
        <v>3733</v>
      </c>
      <c r="F41" s="585" t="s">
        <v>3734</v>
      </c>
      <c r="G41" s="586" t="s">
        <v>3697</v>
      </c>
      <c r="H41" s="588"/>
      <c r="I41" s="586" t="s">
        <v>1525</v>
      </c>
      <c r="J41" s="588"/>
      <c r="K41" s="588"/>
      <c r="L41" s="589"/>
    </row>
    <row r="42" ht="30.0" customHeight="1">
      <c r="A42" s="584" t="str">
        <f>HYPERLINK("https://en.uesp.net/wiki/Skyrim:Jenassa", "Jenassa")</f>
        <v>Jenassa</v>
      </c>
      <c r="B42" s="63" t="s">
        <v>132</v>
      </c>
      <c r="C42" s="63" t="s">
        <v>76</v>
      </c>
      <c r="D42" s="585" t="s">
        <v>3735</v>
      </c>
      <c r="E42" s="585" t="s">
        <v>3683</v>
      </c>
      <c r="F42" s="585" t="s">
        <v>3670</v>
      </c>
      <c r="G42" s="586">
        <v>40.0</v>
      </c>
      <c r="H42" s="586" t="s">
        <v>1525</v>
      </c>
      <c r="I42" s="586" t="s">
        <v>1525</v>
      </c>
      <c r="J42" s="588"/>
      <c r="K42" s="588"/>
      <c r="L42" s="589"/>
    </row>
    <row r="43" ht="30.0" customHeight="1">
      <c r="A43" s="584" t="str">
        <f>HYPERLINK("https://en.uesp.net/wiki/Skyrim:Jordis_the_Sword-Maiden", "Jordis the Sword-Maiden")</f>
        <v>Jordis the Sword-Maiden</v>
      </c>
      <c r="B43" s="63" t="s">
        <v>132</v>
      </c>
      <c r="C43" s="63" t="s">
        <v>76</v>
      </c>
      <c r="D43" s="585" t="s">
        <v>3736</v>
      </c>
      <c r="E43" s="585" t="s">
        <v>3737</v>
      </c>
      <c r="F43" s="585" t="s">
        <v>3676</v>
      </c>
      <c r="G43" s="586">
        <v>50.0</v>
      </c>
      <c r="H43" s="586" t="s">
        <v>1525</v>
      </c>
      <c r="I43" s="586" t="s">
        <v>1525</v>
      </c>
      <c r="J43" s="586" t="s">
        <v>1525</v>
      </c>
      <c r="K43" s="586"/>
      <c r="L43" s="587"/>
    </row>
    <row r="44" ht="30.0" customHeight="1">
      <c r="A44" s="584" t="str">
        <f>HYPERLINK("https://en.uesp.net/wiki/Skyrim:Kharjo", "Kharjo")</f>
        <v>Kharjo</v>
      </c>
      <c r="B44" s="63" t="s">
        <v>132</v>
      </c>
      <c r="C44" s="63" t="s">
        <v>76</v>
      </c>
      <c r="D44" s="585" t="s">
        <v>3738</v>
      </c>
      <c r="E44" s="585" t="s">
        <v>3739</v>
      </c>
      <c r="F44" s="585" t="s">
        <v>3676</v>
      </c>
      <c r="G44" s="586">
        <v>30.0</v>
      </c>
      <c r="H44" s="588"/>
      <c r="I44" s="586" t="s">
        <v>1525</v>
      </c>
      <c r="J44" s="586"/>
      <c r="K44" s="588"/>
      <c r="L44" s="589"/>
    </row>
    <row r="45" ht="30.0" customHeight="1">
      <c r="A45" s="584" t="str">
        <f>HYPERLINK("https://en.uesp.net/wiki/Skyrim:Lob", "Lob")</f>
        <v>Lob</v>
      </c>
      <c r="B45" s="63" t="s">
        <v>132</v>
      </c>
      <c r="C45" s="63" t="s">
        <v>76</v>
      </c>
      <c r="D45" s="585" t="s">
        <v>3740</v>
      </c>
      <c r="E45" s="585" t="s">
        <v>3741</v>
      </c>
      <c r="F45" s="585" t="s">
        <v>3670</v>
      </c>
      <c r="G45" s="586">
        <v>30.0</v>
      </c>
      <c r="H45" s="588"/>
      <c r="I45" s="586" t="s">
        <v>1525</v>
      </c>
      <c r="J45" s="586" t="s">
        <v>1525</v>
      </c>
      <c r="K45" s="586"/>
      <c r="L45" s="587"/>
    </row>
    <row r="46" ht="30.0" customHeight="1">
      <c r="A46" s="584" t="str">
        <f>HYPERLINK("https://en.uesp.net/wiki/Skyrim:Lydia", "Lydia")</f>
        <v>Lydia</v>
      </c>
      <c r="B46" s="63" t="s">
        <v>132</v>
      </c>
      <c r="C46" s="63" t="s">
        <v>76</v>
      </c>
      <c r="D46" s="585" t="s">
        <v>3742</v>
      </c>
      <c r="E46" s="585" t="s">
        <v>3743</v>
      </c>
      <c r="F46" s="585" t="s">
        <v>3676</v>
      </c>
      <c r="G46" s="586">
        <v>50.0</v>
      </c>
      <c r="H46" s="586" t="s">
        <v>1525</v>
      </c>
      <c r="I46" s="586" t="s">
        <v>1525</v>
      </c>
      <c r="J46" s="586" t="s">
        <v>1525</v>
      </c>
      <c r="K46" s="586"/>
      <c r="L46" s="587"/>
    </row>
    <row r="47" ht="30.0" customHeight="1">
      <c r="A47" s="584" t="str">
        <f>HYPERLINK("https://en.uesp.net/wiki/Skyrim:Marcurio", "Marcurio")</f>
        <v>Marcurio</v>
      </c>
      <c r="B47" s="63" t="s">
        <v>132</v>
      </c>
      <c r="C47" s="63" t="s">
        <v>76</v>
      </c>
      <c r="D47" s="585" t="s">
        <v>3744</v>
      </c>
      <c r="E47" s="585" t="s">
        <v>3683</v>
      </c>
      <c r="F47" s="585" t="s">
        <v>3745</v>
      </c>
      <c r="G47" s="586">
        <v>40.0</v>
      </c>
      <c r="H47" s="586" t="s">
        <v>1525</v>
      </c>
      <c r="I47" s="586" t="s">
        <v>1525</v>
      </c>
      <c r="J47" s="586" t="s">
        <v>1525</v>
      </c>
      <c r="K47" s="586"/>
      <c r="L47" s="587"/>
    </row>
    <row r="48" ht="30.0" customHeight="1">
      <c r="A48" s="584" t="str">
        <f>HYPERLINK("https://en.uesp.net/wiki/Skyrim:Meeko", "Meeko")</f>
        <v>Meeko</v>
      </c>
      <c r="B48" s="63" t="s">
        <v>132</v>
      </c>
      <c r="C48" s="63" t="s">
        <v>76</v>
      </c>
      <c r="D48" s="585" t="s">
        <v>3746</v>
      </c>
      <c r="E48" s="585" t="s">
        <v>3746</v>
      </c>
      <c r="F48" s="585" t="s">
        <v>134</v>
      </c>
      <c r="G48" s="586">
        <v>25.0</v>
      </c>
      <c r="H48" s="588"/>
      <c r="I48" s="588"/>
      <c r="J48" s="588"/>
      <c r="K48" s="586" t="s">
        <v>1525</v>
      </c>
      <c r="L48" s="587"/>
    </row>
    <row r="49" ht="30.0" customHeight="1">
      <c r="A49" s="584" t="str">
        <f>HYPERLINK("https://en.uesp.net/wiki/Skyrim:Mjoll_the_Lioness", "Mjoll the Lioness")</f>
        <v>Mjoll the Lioness</v>
      </c>
      <c r="B49" s="63" t="s">
        <v>132</v>
      </c>
      <c r="C49" s="63" t="s">
        <v>76</v>
      </c>
      <c r="D49" s="585" t="s">
        <v>3747</v>
      </c>
      <c r="E49" s="585" t="s">
        <v>3748</v>
      </c>
      <c r="F49" s="585" t="s">
        <v>3668</v>
      </c>
      <c r="G49" s="586">
        <v>40.0</v>
      </c>
      <c r="H49" s="586" t="s">
        <v>1525</v>
      </c>
      <c r="I49" s="586" t="s">
        <v>1525</v>
      </c>
      <c r="J49" s="586"/>
      <c r="K49" s="588"/>
      <c r="L49" s="589"/>
    </row>
    <row r="50" ht="30.0" customHeight="1">
      <c r="A50" s="584" t="str">
        <f>HYPERLINK("https://en.uesp.net/wiki/Skyrim:Njada_Stonearm", "Njada Stonearm")</f>
        <v>Njada Stonearm</v>
      </c>
      <c r="B50" s="63" t="s">
        <v>132</v>
      </c>
      <c r="C50" s="63" t="s">
        <v>76</v>
      </c>
      <c r="D50" s="585" t="s">
        <v>3749</v>
      </c>
      <c r="E50" s="585" t="s">
        <v>3660</v>
      </c>
      <c r="F50" s="585" t="s">
        <v>3750</v>
      </c>
      <c r="G50" s="586">
        <v>25.0</v>
      </c>
      <c r="H50" s="586" t="s">
        <v>1525</v>
      </c>
      <c r="I50" s="586" t="s">
        <v>1525</v>
      </c>
      <c r="J50" s="586" t="s">
        <v>1525</v>
      </c>
      <c r="K50" s="586"/>
      <c r="L50" s="587" t="s">
        <v>3751</v>
      </c>
    </row>
    <row r="51" ht="30.0" customHeight="1">
      <c r="A51" s="584" t="str">
        <f>HYPERLINK("https://en.uesp.net/wiki/Skyrim:Ogol", "Ogol")</f>
        <v>Ogol</v>
      </c>
      <c r="B51" s="63" t="s">
        <v>132</v>
      </c>
      <c r="C51" s="63" t="s">
        <v>76</v>
      </c>
      <c r="D51" s="585" t="s">
        <v>3752</v>
      </c>
      <c r="E51" s="585" t="s">
        <v>3741</v>
      </c>
      <c r="F51" s="585" t="s">
        <v>3689</v>
      </c>
      <c r="G51" s="586">
        <v>30.0</v>
      </c>
      <c r="H51" s="588"/>
      <c r="I51" s="586" t="s">
        <v>1525</v>
      </c>
      <c r="J51" s="586" t="s">
        <v>1525</v>
      </c>
      <c r="K51" s="586"/>
      <c r="L51" s="587"/>
    </row>
    <row r="52" ht="30.0" customHeight="1">
      <c r="A52" s="584" t="str">
        <f>HYPERLINK("https://en.uesp.net/wiki/Skyrim:Onmund", "Onmund")</f>
        <v>Onmund</v>
      </c>
      <c r="B52" s="63" t="s">
        <v>132</v>
      </c>
      <c r="C52" s="63" t="s">
        <v>76</v>
      </c>
      <c r="D52" s="585" t="s">
        <v>3753</v>
      </c>
      <c r="E52" s="585" t="s">
        <v>3754</v>
      </c>
      <c r="F52" s="585" t="s">
        <v>3734</v>
      </c>
      <c r="G52" s="586">
        <v>30.0</v>
      </c>
      <c r="H52" s="586" t="s">
        <v>1525</v>
      </c>
      <c r="I52" s="586" t="s">
        <v>1525</v>
      </c>
      <c r="J52" s="586" t="s">
        <v>1525</v>
      </c>
      <c r="K52" s="586"/>
      <c r="L52" s="587"/>
    </row>
    <row r="53" ht="30.0" customHeight="1">
      <c r="A53" s="584" t="str">
        <f>HYPERLINK("https://en.uesp.net/wiki/Skyrim:Ralis_Sedarys", "Ralis Sedarys")</f>
        <v>Ralis Sedarys</v>
      </c>
      <c r="B53" s="63" t="s">
        <v>132</v>
      </c>
      <c r="C53" s="63" t="s">
        <v>76</v>
      </c>
      <c r="D53" s="585" t="s">
        <v>3755</v>
      </c>
      <c r="E53" s="585" t="s">
        <v>3756</v>
      </c>
      <c r="F53" s="585" t="s">
        <v>3757</v>
      </c>
      <c r="G53" s="586">
        <v>60.0</v>
      </c>
      <c r="H53" s="588"/>
      <c r="I53" s="586" t="s">
        <v>1525</v>
      </c>
      <c r="J53" s="588"/>
      <c r="K53" s="588"/>
      <c r="L53" s="589"/>
    </row>
    <row r="54" ht="30.0" customHeight="1">
      <c r="A54" s="584" t="str">
        <f>HYPERLINK("https://en.uesp.net/wiki/Skyrim:Rayya", "Rayya")</f>
        <v>Rayya</v>
      </c>
      <c r="B54" s="63" t="s">
        <v>132</v>
      </c>
      <c r="C54" s="63" t="s">
        <v>76</v>
      </c>
      <c r="D54" s="585" t="s">
        <v>3758</v>
      </c>
      <c r="E54" s="585" t="s">
        <v>3759</v>
      </c>
      <c r="F54" s="585" t="s">
        <v>3676</v>
      </c>
      <c r="G54" s="586">
        <v>50.0</v>
      </c>
      <c r="H54" s="586" t="s">
        <v>1525</v>
      </c>
      <c r="I54" s="586" t="s">
        <v>1525</v>
      </c>
      <c r="J54" s="586" t="s">
        <v>1525</v>
      </c>
      <c r="K54" s="586"/>
      <c r="L54" s="587"/>
    </row>
    <row r="55" ht="30.0" customHeight="1">
      <c r="A55" s="584" t="str">
        <f>HYPERLINK("https://en.uesp.net/wiki/Skyrim:Ria", "Ria")</f>
        <v>Ria</v>
      </c>
      <c r="B55" s="63" t="s">
        <v>132</v>
      </c>
      <c r="C55" s="63" t="s">
        <v>76</v>
      </c>
      <c r="D55" s="585" t="s">
        <v>3760</v>
      </c>
      <c r="E55" s="585" t="s">
        <v>3660</v>
      </c>
      <c r="F55" s="585" t="s">
        <v>3676</v>
      </c>
      <c r="G55" s="586">
        <v>25.0</v>
      </c>
      <c r="H55" s="586" t="s">
        <v>1525</v>
      </c>
      <c r="I55" s="586" t="s">
        <v>1525</v>
      </c>
      <c r="J55" s="586" t="s">
        <v>1525</v>
      </c>
      <c r="K55" s="586"/>
      <c r="L55" s="587"/>
    </row>
    <row r="56" ht="30.0" customHeight="1">
      <c r="A56" s="584" t="str">
        <f>HYPERLINK("https://en.uesp.net/wiki/Skyrim:Riekling_Warrior", "Riekling Warrior")</f>
        <v>Riekling Warrior</v>
      </c>
      <c r="B56" s="63" t="s">
        <v>132</v>
      </c>
      <c r="C56" s="63" t="s">
        <v>76</v>
      </c>
      <c r="D56" s="585" t="s">
        <v>3761</v>
      </c>
      <c r="E56" s="585" t="s">
        <v>3762</v>
      </c>
      <c r="F56" s="585" t="s">
        <v>134</v>
      </c>
      <c r="G56" s="586">
        <v>23.0</v>
      </c>
      <c r="H56" s="588"/>
      <c r="I56" s="588"/>
      <c r="J56" s="588"/>
      <c r="K56" s="588"/>
      <c r="L56" s="589"/>
    </row>
    <row r="57" ht="30.0" customHeight="1">
      <c r="A57" s="584" t="str">
        <f>HYPERLINK("https://en.uesp.net/wiki/Skyrim:Roggi_Knot-Beard", "Roggi Knot-Beard")</f>
        <v>Roggi Knot-Beard</v>
      </c>
      <c r="B57" s="63" t="s">
        <v>132</v>
      </c>
      <c r="C57" s="63" t="s">
        <v>76</v>
      </c>
      <c r="D57" s="585" t="s">
        <v>3763</v>
      </c>
      <c r="E57" s="585" t="s">
        <v>3764</v>
      </c>
      <c r="F57" s="585" t="s">
        <v>3765</v>
      </c>
      <c r="G57" s="586">
        <v>20.0</v>
      </c>
      <c r="H57" s="586" t="s">
        <v>1525</v>
      </c>
      <c r="I57" s="586" t="s">
        <v>1525</v>
      </c>
      <c r="J57" s="586" t="s">
        <v>1525</v>
      </c>
      <c r="K57" s="588"/>
      <c r="L57" s="589"/>
    </row>
    <row r="58" ht="30.0" customHeight="1">
      <c r="A58" s="584" t="str">
        <f>HYPERLINK("https://en.uesp.net/wiki/Skyrim:Sceolang", "Sceolang")</f>
        <v>Sceolang</v>
      </c>
      <c r="B58" s="63" t="s">
        <v>132</v>
      </c>
      <c r="C58" s="63" t="s">
        <v>76</v>
      </c>
      <c r="D58" s="585" t="s">
        <v>3690</v>
      </c>
      <c r="E58" s="585" t="s">
        <v>3690</v>
      </c>
      <c r="F58" s="585" t="s">
        <v>134</v>
      </c>
      <c r="G58" s="586">
        <v>25.0</v>
      </c>
      <c r="H58" s="588"/>
      <c r="I58" s="588"/>
      <c r="J58" s="588"/>
      <c r="K58" s="586" t="s">
        <v>1525</v>
      </c>
      <c r="L58" s="587"/>
    </row>
    <row r="59" ht="45.0" customHeight="1">
      <c r="A59" s="584" t="str">
        <f>HYPERLINK("https://en.uesp.net/wiki/Skyrim:Serana", "Serana")</f>
        <v>Serana</v>
      </c>
      <c r="B59" s="63" t="s">
        <v>132</v>
      </c>
      <c r="C59" s="63" t="s">
        <v>76</v>
      </c>
      <c r="D59" s="585" t="s">
        <v>3766</v>
      </c>
      <c r="E59" s="585" t="s">
        <v>3664</v>
      </c>
      <c r="F59" s="585" t="s">
        <v>3767</v>
      </c>
      <c r="G59" s="586">
        <v>50.0</v>
      </c>
      <c r="H59" s="588"/>
      <c r="I59" s="588"/>
      <c r="J59" s="588"/>
      <c r="K59" s="588"/>
      <c r="L59" s="589"/>
    </row>
    <row r="60" ht="30.0" customHeight="1">
      <c r="A60" s="584" t="str">
        <f>HYPERLINK("https://en.uesp.net/wiki/Skyrim:Steadfast_Dwarven_Sphere", "Steadfast Dwarven Sphere")</f>
        <v>Steadfast Dwarven Sphere</v>
      </c>
      <c r="B60" s="63" t="s">
        <v>132</v>
      </c>
      <c r="C60" s="63" t="s">
        <v>76</v>
      </c>
      <c r="D60" s="585" t="s">
        <v>3768</v>
      </c>
      <c r="E60" s="595" t="s">
        <v>3769</v>
      </c>
      <c r="F60" s="585" t="s">
        <v>134</v>
      </c>
      <c r="G60" s="586">
        <v>30.0</v>
      </c>
      <c r="H60" s="588"/>
      <c r="I60" s="588"/>
      <c r="J60" s="588"/>
      <c r="K60" s="588"/>
      <c r="L60" s="589"/>
    </row>
    <row r="61" ht="30.0" customHeight="1">
      <c r="A61" s="584" t="str">
        <f>HYPERLINK("https://en.uesp.net/wiki/Skyrim:Steadfast_Dwarven_Spider", "Steadfast Dwarven Spider")</f>
        <v>Steadfast Dwarven Spider</v>
      </c>
      <c r="B61" s="63" t="s">
        <v>132</v>
      </c>
      <c r="C61" s="63" t="s">
        <v>76</v>
      </c>
      <c r="D61" s="585" t="s">
        <v>3768</v>
      </c>
      <c r="E61" s="585" t="s">
        <v>3769</v>
      </c>
      <c r="F61" s="585" t="s">
        <v>134</v>
      </c>
      <c r="G61" s="586">
        <v>16.0</v>
      </c>
      <c r="H61" s="588"/>
      <c r="I61" s="588"/>
      <c r="J61" s="588"/>
      <c r="K61" s="588"/>
      <c r="L61" s="589"/>
    </row>
    <row r="62" ht="30.0" customHeight="1">
      <c r="A62" s="584" t="str">
        <f>HYPERLINK("https://en.uesp.net/wiki/Skyrim:Stenvar", "Stenvar")</f>
        <v>Stenvar</v>
      </c>
      <c r="B62" s="63" t="s">
        <v>132</v>
      </c>
      <c r="C62" s="63" t="s">
        <v>76</v>
      </c>
      <c r="D62" s="585" t="s">
        <v>3770</v>
      </c>
      <c r="E62" s="585" t="s">
        <v>3683</v>
      </c>
      <c r="F62" s="585" t="s">
        <v>3668</v>
      </c>
      <c r="G62" s="586">
        <v>40.0</v>
      </c>
      <c r="H62" s="586" t="s">
        <v>1525</v>
      </c>
      <c r="I62" s="586" t="s">
        <v>1525</v>
      </c>
      <c r="J62" s="588"/>
      <c r="K62" s="588"/>
      <c r="L62" s="589"/>
    </row>
    <row r="63" ht="45.0" customHeight="1">
      <c r="A63" s="584" t="str">
        <f>HYPERLINK("https://en.uesp.net/wiki/Skyrim:Stray_Dog", "Stray Dog")</f>
        <v>Stray Dog</v>
      </c>
      <c r="B63" s="63" t="s">
        <v>132</v>
      </c>
      <c r="C63" s="63" t="s">
        <v>76</v>
      </c>
      <c r="D63" s="585" t="s">
        <v>3771</v>
      </c>
      <c r="E63" s="585" t="s">
        <v>3771</v>
      </c>
      <c r="F63" s="585" t="s">
        <v>134</v>
      </c>
      <c r="G63" s="586">
        <v>25.0</v>
      </c>
      <c r="H63" s="588"/>
      <c r="I63" s="588"/>
      <c r="J63" s="588"/>
      <c r="K63" s="586" t="s">
        <v>1525</v>
      </c>
      <c r="L63" s="587"/>
    </row>
    <row r="64" ht="30.0" customHeight="1">
      <c r="A64" s="596" t="str">
        <f>HYPERLINK("https://en.uesp.net/wiki/Skyrim:Sven","Sven")</f>
        <v>Sven</v>
      </c>
      <c r="B64" s="63" t="s">
        <v>132</v>
      </c>
      <c r="C64" s="63" t="s">
        <v>76</v>
      </c>
      <c r="D64" s="592" t="s">
        <v>3772</v>
      </c>
      <c r="E64" s="592" t="s">
        <v>3717</v>
      </c>
      <c r="F64" s="592" t="s">
        <v>3765</v>
      </c>
      <c r="G64" s="594">
        <v>20.0</v>
      </c>
      <c r="H64" s="589"/>
      <c r="I64" s="594" t="s">
        <v>1525</v>
      </c>
      <c r="J64" s="594" t="s">
        <v>1525</v>
      </c>
      <c r="K64" s="589"/>
      <c r="L64" s="597"/>
    </row>
    <row r="65" ht="30.0" customHeight="1">
      <c r="A65" s="584" t="str">
        <f>HYPERLINK("https://en.uesp.net/wiki/Skyrim:Talvas_Fathryon", "Talvas Fathryon")</f>
        <v>Talvas Fathryon</v>
      </c>
      <c r="B65" s="63" t="s">
        <v>132</v>
      </c>
      <c r="C65" s="63" t="s">
        <v>76</v>
      </c>
      <c r="D65" s="585" t="s">
        <v>3773</v>
      </c>
      <c r="E65" s="585" t="s">
        <v>3774</v>
      </c>
      <c r="F65" s="585" t="s">
        <v>3775</v>
      </c>
      <c r="G65" s="586">
        <v>25.0</v>
      </c>
      <c r="H65" s="588"/>
      <c r="I65" s="586" t="s">
        <v>1525</v>
      </c>
      <c r="J65" s="586" t="s">
        <v>1525</v>
      </c>
      <c r="K65" s="586"/>
      <c r="L65" s="587" t="s">
        <v>1588</v>
      </c>
    </row>
    <row r="66" ht="30.0" customHeight="1">
      <c r="A66" s="584" t="str">
        <f>HYPERLINK("https://en.uesp.net/wiki/Skyrim:Teldryn_Sero", "Teldryn Sero")</f>
        <v>Teldryn Sero</v>
      </c>
      <c r="B66" s="63" t="s">
        <v>132</v>
      </c>
      <c r="C66" s="63" t="s">
        <v>76</v>
      </c>
      <c r="D66" s="585" t="s">
        <v>3776</v>
      </c>
      <c r="E66" s="585" t="s">
        <v>3697</v>
      </c>
      <c r="F66" s="585" t="s">
        <v>3777</v>
      </c>
      <c r="G66" s="586">
        <v>60.0</v>
      </c>
      <c r="H66" s="588"/>
      <c r="I66" s="586" t="s">
        <v>1525</v>
      </c>
      <c r="J66" s="588"/>
      <c r="K66" s="588"/>
      <c r="L66" s="589"/>
    </row>
    <row r="67" ht="30.0" customHeight="1">
      <c r="A67" s="584" t="str">
        <f>HYPERLINK("https://en.uesp.net/wiki/Skyrim:Torvar", "Torvar")</f>
        <v>Torvar</v>
      </c>
      <c r="B67" s="63" t="s">
        <v>132</v>
      </c>
      <c r="C67" s="63" t="s">
        <v>76</v>
      </c>
      <c r="D67" s="585" t="s">
        <v>3778</v>
      </c>
      <c r="E67" s="585" t="s">
        <v>3660</v>
      </c>
      <c r="F67" s="585" t="s">
        <v>3676</v>
      </c>
      <c r="G67" s="586">
        <v>25.0</v>
      </c>
      <c r="H67" s="586" t="s">
        <v>1525</v>
      </c>
      <c r="I67" s="586" t="s">
        <v>1525</v>
      </c>
      <c r="J67" s="588"/>
      <c r="K67" s="588"/>
      <c r="L67" s="589"/>
    </row>
    <row r="68" ht="30.0" customHeight="1">
      <c r="A68" s="584" t="str">
        <f>HYPERLINK("https://en.uesp.net/wiki/Skyrim:Ugor", "Ugor")</f>
        <v>Ugor</v>
      </c>
      <c r="B68" s="63" t="s">
        <v>132</v>
      </c>
      <c r="C68" s="63" t="s">
        <v>76</v>
      </c>
      <c r="D68" s="585" t="s">
        <v>3779</v>
      </c>
      <c r="E68" s="585" t="s">
        <v>3741</v>
      </c>
      <c r="F68" s="585" t="s">
        <v>3670</v>
      </c>
      <c r="G68" s="586">
        <v>30.0</v>
      </c>
      <c r="H68" s="588"/>
      <c r="I68" s="586" t="s">
        <v>1525</v>
      </c>
      <c r="J68" s="588"/>
      <c r="K68" s="588"/>
      <c r="L68" s="589"/>
    </row>
    <row r="69" ht="30.0" customHeight="1">
      <c r="A69" s="584" t="str">
        <f>HYPERLINK("https://en.uesp.net/wiki/Skyrim:Uthgerd_the_Unbroken", "Uthgerd the Unbroken")</f>
        <v>Uthgerd the Unbroken</v>
      </c>
      <c r="B69" s="63" t="s">
        <v>132</v>
      </c>
      <c r="C69" s="63" t="s">
        <v>76</v>
      </c>
      <c r="D69" s="585" t="s">
        <v>3780</v>
      </c>
      <c r="E69" s="585" t="s">
        <v>3686</v>
      </c>
      <c r="F69" s="585" t="s">
        <v>3676</v>
      </c>
      <c r="G69" s="586">
        <v>30.0</v>
      </c>
      <c r="H69" s="586" t="s">
        <v>1525</v>
      </c>
      <c r="I69" s="586" t="s">
        <v>1525</v>
      </c>
      <c r="J69" s="586" t="s">
        <v>1525</v>
      </c>
      <c r="K69" s="588"/>
      <c r="L69" s="589"/>
    </row>
    <row r="70" ht="30.0" customHeight="1">
      <c r="A70" s="584" t="str">
        <f>HYPERLINK("https://en.uesp.net/wiki/Skyrim:Valdimar", "Valdimar")</f>
        <v>Valdimar</v>
      </c>
      <c r="B70" s="63" t="s">
        <v>132</v>
      </c>
      <c r="C70" s="63" t="s">
        <v>76</v>
      </c>
      <c r="D70" s="585" t="s">
        <v>3781</v>
      </c>
      <c r="E70" s="585" t="s">
        <v>3782</v>
      </c>
      <c r="F70" s="585" t="s">
        <v>3783</v>
      </c>
      <c r="G70" s="586">
        <v>50.0</v>
      </c>
      <c r="H70" s="586" t="s">
        <v>1525</v>
      </c>
      <c r="I70" s="586" t="s">
        <v>1525</v>
      </c>
      <c r="J70" s="586" t="s">
        <v>1525</v>
      </c>
      <c r="K70" s="586"/>
      <c r="L70" s="587"/>
    </row>
    <row r="71" ht="45.0" customHeight="1">
      <c r="A71" s="584" t="str">
        <f>HYPERLINK("https://en.uesp.net/wiki/Skyrim:Vigilance", "Vigilance")</f>
        <v>Vigilance</v>
      </c>
      <c r="B71" s="63" t="s">
        <v>132</v>
      </c>
      <c r="C71" s="63" t="s">
        <v>76</v>
      </c>
      <c r="D71" s="585" t="s">
        <v>3784</v>
      </c>
      <c r="E71" s="585" t="s">
        <v>3784</v>
      </c>
      <c r="F71" s="585" t="s">
        <v>134</v>
      </c>
      <c r="G71" s="586">
        <v>50.0</v>
      </c>
      <c r="H71" s="588"/>
      <c r="I71" s="588"/>
      <c r="J71" s="588"/>
      <c r="K71" s="586" t="s">
        <v>1525</v>
      </c>
      <c r="L71" s="587"/>
    </row>
    <row r="72" ht="30.0" customHeight="1">
      <c r="A72" s="584" t="str">
        <f>HYPERLINK("https://en.uesp.net/wiki/Skyrim:Vilkas", "Vilkas")</f>
        <v>Vilkas</v>
      </c>
      <c r="B72" s="63" t="s">
        <v>132</v>
      </c>
      <c r="C72" s="63" t="s">
        <v>76</v>
      </c>
      <c r="D72" s="585" t="s">
        <v>3785</v>
      </c>
      <c r="E72" s="585" t="s">
        <v>3660</v>
      </c>
      <c r="F72" s="585" t="s">
        <v>3668</v>
      </c>
      <c r="G72" s="586">
        <v>50.0</v>
      </c>
      <c r="H72" s="586" t="s">
        <v>1525</v>
      </c>
      <c r="I72" s="586" t="s">
        <v>1525</v>
      </c>
      <c r="J72" s="586" t="s">
        <v>1525</v>
      </c>
      <c r="K72" s="586"/>
      <c r="L72" s="587" t="s">
        <v>3786</v>
      </c>
    </row>
    <row r="73" ht="30.0" customHeight="1">
      <c r="A73" s="584" t="str">
        <f>HYPERLINK("https://en.uesp.net/wiki/Skyrim:Vorstag", "Vorstag")</f>
        <v>Vorstag</v>
      </c>
      <c r="B73" s="63" t="s">
        <v>132</v>
      </c>
      <c r="C73" s="63" t="s">
        <v>76</v>
      </c>
      <c r="D73" s="585" t="s">
        <v>3787</v>
      </c>
      <c r="E73" s="585" t="s">
        <v>3683</v>
      </c>
      <c r="F73" s="585" t="s">
        <v>3676</v>
      </c>
      <c r="G73" s="586">
        <v>40.0</v>
      </c>
      <c r="H73" s="586" t="s">
        <v>1525</v>
      </c>
      <c r="I73" s="586" t="s">
        <v>1525</v>
      </c>
      <c r="J73" s="588"/>
      <c r="K73" s="588"/>
      <c r="L73" s="589"/>
    </row>
    <row r="74" ht="30.0" customHeight="1">
      <c r="A74" s="598" t="s">
        <v>3788</v>
      </c>
      <c r="B74" s="91"/>
      <c r="C74" s="91"/>
      <c r="D74" s="91"/>
      <c r="E74" s="91"/>
      <c r="F74" s="599"/>
      <c r="G74" s="599"/>
      <c r="H74" s="599"/>
      <c r="I74" s="599"/>
      <c r="J74" s="599"/>
      <c r="K74" s="599"/>
      <c r="L74" s="599"/>
    </row>
    <row r="75" ht="47.25" customHeight="1">
      <c r="A75" s="584" t="str">
        <f>HYPERLINK("https://en.uesp.net/wiki/Skyrim:Arvak","Arvak")</f>
        <v>Arvak</v>
      </c>
      <c r="B75" s="600" t="s">
        <v>132</v>
      </c>
      <c r="C75" s="600" t="s">
        <v>76</v>
      </c>
      <c r="D75" s="585" t="s">
        <v>3789</v>
      </c>
      <c r="E75" s="585" t="s">
        <v>3790</v>
      </c>
      <c r="F75" s="601"/>
      <c r="G75" s="602"/>
      <c r="H75" s="602"/>
      <c r="I75" s="602"/>
      <c r="J75" s="603"/>
      <c r="K75" s="603"/>
      <c r="L75" s="604"/>
    </row>
    <row r="76" ht="57.0" customHeight="1">
      <c r="A76" s="584" t="str">
        <f>HYPERLINK("https://en.uesp.net/wiki/Skyrim:Frost","Frost")</f>
        <v>Frost</v>
      </c>
      <c r="B76" s="600" t="s">
        <v>132</v>
      </c>
      <c r="C76" s="600" t="s">
        <v>76</v>
      </c>
      <c r="D76" s="585" t="s">
        <v>3791</v>
      </c>
      <c r="E76" s="585" t="s">
        <v>3792</v>
      </c>
      <c r="F76" s="601"/>
      <c r="G76" s="602"/>
      <c r="H76" s="602"/>
      <c r="I76" s="602"/>
      <c r="J76" s="603"/>
      <c r="K76" s="603"/>
      <c r="L76" s="604"/>
    </row>
    <row r="77" ht="30.0" customHeight="1">
      <c r="A77" s="584" t="str">
        <f>HYPERLINK("https://en.uesp.net/wiki/Skyrim:Shadowmere","Shadowmere")</f>
        <v>Shadowmere</v>
      </c>
      <c r="B77" s="600" t="s">
        <v>132</v>
      </c>
      <c r="C77" s="600" t="s">
        <v>76</v>
      </c>
      <c r="D77" s="585" t="s">
        <v>3793</v>
      </c>
      <c r="E77" s="585" t="s">
        <v>3794</v>
      </c>
      <c r="F77" s="601"/>
      <c r="G77" s="602"/>
      <c r="H77" s="602"/>
      <c r="I77" s="602"/>
      <c r="J77" s="603"/>
      <c r="K77" s="603"/>
      <c r="L77" s="604"/>
    </row>
  </sheetData>
  <autoFilter ref="$A$2:$L$73">
    <sortState ref="A2:L73">
      <sortCondition ref="A2:A73"/>
    </sortState>
  </autoFilter>
  <mergeCells count="1">
    <mergeCell ref="A74:E74"/>
  </mergeCells>
  <conditionalFormatting sqref="B3:C73 B75:C77">
    <cfRule type="cellIs" dxfId="1" priority="1" operator="equal">
      <formula>"Y"</formula>
    </cfRule>
  </conditionalFormatting>
  <conditionalFormatting sqref="B3:C73 B75:C77">
    <cfRule type="cellIs" dxfId="4" priority="2" operator="equal">
      <formula>"N"</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28.86"/>
    <col customWidth="1" min="3" max="3" width="25.29"/>
    <col customWidth="1" min="4" max="5" width="11.0"/>
    <col customWidth="1" min="6" max="6" width="9.43"/>
    <col customWidth="1" min="7" max="7" width="9.0"/>
    <col customWidth="1" min="8" max="8" width="11.0"/>
  </cols>
  <sheetData>
    <row r="1" ht="19.5" customHeight="1">
      <c r="A1" s="312" t="s">
        <v>3795</v>
      </c>
      <c r="B1" s="312" t="s">
        <v>3632</v>
      </c>
      <c r="C1" s="312" t="s">
        <v>3796</v>
      </c>
      <c r="D1" s="605" t="s">
        <v>2206</v>
      </c>
      <c r="E1" s="605" t="s">
        <v>3797</v>
      </c>
      <c r="F1" s="606" t="s">
        <v>3798</v>
      </c>
      <c r="G1" s="607" t="s">
        <v>1622</v>
      </c>
      <c r="H1" s="607" t="s">
        <v>3799</v>
      </c>
    </row>
    <row r="2">
      <c r="A2" s="313">
        <f>(countif(A3:A734,"Y")/counta(A3:A734))</f>
        <v>0</v>
      </c>
      <c r="B2" s="608" t="s">
        <v>1524</v>
      </c>
      <c r="C2" s="608" t="s">
        <v>1524</v>
      </c>
      <c r="D2" s="609" t="s">
        <v>1524</v>
      </c>
      <c r="E2" s="609" t="s">
        <v>1524</v>
      </c>
      <c r="F2" s="609" t="s">
        <v>1524</v>
      </c>
      <c r="G2" s="610" t="s">
        <v>1524</v>
      </c>
      <c r="H2" s="610" t="s">
        <v>1524</v>
      </c>
    </row>
    <row r="3">
      <c r="A3" s="476" t="s">
        <v>132</v>
      </c>
      <c r="B3" s="611" t="str">
        <f t="shared" ref="B3:B6" si="1">HYPERLINK("https://en.uesp.net/wiki/Skyrim:Abecean_Longfin", "Abecean Longfin ")</f>
        <v>Abecean Longfin </v>
      </c>
      <c r="C3" s="611" t="str">
        <f>HYPERLINK("https://en.uesp.net/wiki/Skyrim:Weakness_to_Frost", "Weakness to Frost")</f>
        <v>Weakness to Frost</v>
      </c>
      <c r="D3" s="612"/>
      <c r="E3" s="612"/>
      <c r="F3" s="612"/>
      <c r="G3" s="613">
        <v>15.0</v>
      </c>
      <c r="H3" s="614"/>
    </row>
    <row r="4">
      <c r="A4" s="476" t="s">
        <v>132</v>
      </c>
      <c r="B4" s="611" t="str">
        <f t="shared" si="1"/>
        <v>Abecean Longfin </v>
      </c>
      <c r="C4" s="611" t="str">
        <f>HYPERLINK("https://en.uesp.net/wiki/Skyrim:Fortify_Sneak", "Fortify Sneak")</f>
        <v>Fortify Sneak</v>
      </c>
      <c r="D4" s="612"/>
      <c r="E4" s="612"/>
      <c r="F4" s="612"/>
      <c r="G4" s="613">
        <v>15.0</v>
      </c>
      <c r="H4" s="614"/>
    </row>
    <row r="5">
      <c r="A5" s="476" t="s">
        <v>132</v>
      </c>
      <c r="B5" s="611" t="str">
        <f t="shared" si="1"/>
        <v>Abecean Longfin </v>
      </c>
      <c r="C5" s="611" t="str">
        <f>HYPERLINK("https://en.uesp.net/wiki/Skyrim:Weakness_to_Poison", "Weakness to Poison")</f>
        <v>Weakness to Poison</v>
      </c>
      <c r="D5" s="612"/>
      <c r="E5" s="612"/>
      <c r="F5" s="612"/>
      <c r="G5" s="613">
        <v>15.0</v>
      </c>
      <c r="H5" s="614"/>
    </row>
    <row r="6">
      <c r="A6" s="476" t="s">
        <v>132</v>
      </c>
      <c r="B6" s="615" t="str">
        <f t="shared" si="1"/>
        <v>Abecean Longfin </v>
      </c>
      <c r="C6" s="611" t="str">
        <f>HYPERLINK("https://en.uesp.net/wiki/Skyrim:Fortify_Restoration", "Fortify Restoration")</f>
        <v>Fortify Restoration</v>
      </c>
      <c r="D6" s="612"/>
      <c r="E6" s="612"/>
      <c r="F6" s="612"/>
      <c r="G6" s="613">
        <v>15.0</v>
      </c>
      <c r="H6" s="614"/>
    </row>
    <row r="7">
      <c r="A7" s="476" t="s">
        <v>132</v>
      </c>
      <c r="B7" s="611" t="str">
        <f t="shared" ref="B7:B10" si="2">HYPERLINK("https://en.uesp.net/wiki/Skyrim:Ancestor_Moth_Wing","Ancestor Moth Wing (DG)")</f>
        <v>Ancestor Moth Wing (DG)</v>
      </c>
      <c r="C7" s="611" t="str">
        <f>HYPERLINK("https://en.uesp.net/wiki/Skyrim:Damage_Stamina", "Damage Stamina")</f>
        <v>Damage Stamina</v>
      </c>
      <c r="D7" s="612"/>
      <c r="E7" s="612"/>
      <c r="F7" s="612"/>
      <c r="G7" s="613">
        <v>2.0</v>
      </c>
      <c r="H7" s="614"/>
    </row>
    <row r="8">
      <c r="A8" s="476" t="s">
        <v>132</v>
      </c>
      <c r="B8" s="611" t="str">
        <f t="shared" si="2"/>
        <v>Ancestor Moth Wing (DG)</v>
      </c>
      <c r="C8" s="611" t="str">
        <f>HYPERLINK("https://en.uesp.net/wiki/Skyrim:Fortify_Conjuration", "Fortify Conjuration")</f>
        <v>Fortify Conjuration</v>
      </c>
      <c r="D8" s="612"/>
      <c r="E8" s="612"/>
      <c r="F8" s="612"/>
      <c r="G8" s="613">
        <v>2.0</v>
      </c>
      <c r="H8" s="614"/>
    </row>
    <row r="9">
      <c r="A9" s="476" t="s">
        <v>132</v>
      </c>
      <c r="B9" s="611" t="str">
        <f t="shared" si="2"/>
        <v>Ancestor Moth Wing (DG)</v>
      </c>
      <c r="C9" s="611" t="str">
        <f>HYPERLINK("https://en.uesp.net/wiki/Skyrim:Damage_Magicka_Regen", "Damage Magicka Regen")</f>
        <v>Damage Magicka Regen</v>
      </c>
      <c r="D9" s="612"/>
      <c r="E9" s="612"/>
      <c r="F9" s="612"/>
      <c r="G9" s="613">
        <v>2.0</v>
      </c>
      <c r="H9" s="614"/>
    </row>
    <row r="10">
      <c r="A10" s="476" t="s">
        <v>132</v>
      </c>
      <c r="B10" s="611" t="str">
        <f t="shared" si="2"/>
        <v>Ancestor Moth Wing (DG)</v>
      </c>
      <c r="C10" s="611" t="str">
        <f>HYPERLINK("https://en.uesp.net/wiki/Skyrim:Fortify_Enchanting", "Fortify Enchanting")</f>
        <v>Fortify Enchanting</v>
      </c>
      <c r="D10" s="612"/>
      <c r="E10" s="612"/>
      <c r="F10" s="612"/>
      <c r="G10" s="613">
        <v>2.0</v>
      </c>
      <c r="H10" s="614"/>
    </row>
    <row r="11">
      <c r="A11" s="476" t="s">
        <v>132</v>
      </c>
      <c r="B11" s="611" t="str">
        <f t="shared" ref="B11:B14" si="3">HYPERLINK("https://en.uesp.net/wiki/Skyrim:Ash_Creep_Cluster","Ash Creep Cluster (DB)")</f>
        <v>Ash Creep Cluster (DB)</v>
      </c>
      <c r="C11" s="611" t="str">
        <f>HYPERLINK("https://en.uesp.net/wiki/Skyrim:Damage_Stamina", "Damage Stamina")</f>
        <v>Damage Stamina</v>
      </c>
      <c r="D11" s="612"/>
      <c r="E11" s="612"/>
      <c r="F11" s="612"/>
      <c r="G11" s="613">
        <v>20.0</v>
      </c>
      <c r="H11" s="614"/>
    </row>
    <row r="12">
      <c r="A12" s="476" t="s">
        <v>132</v>
      </c>
      <c r="B12" s="611" t="str">
        <f t="shared" si="3"/>
        <v>Ash Creep Cluster (DB)</v>
      </c>
      <c r="C12" s="611" t="str">
        <f>HYPERLINK("https://en.uesp.net/wiki/Skyrim:Invisibility", "Invisibility")</f>
        <v>Invisibility</v>
      </c>
      <c r="D12" s="612"/>
      <c r="E12" s="612"/>
      <c r="F12" s="612"/>
      <c r="G12" s="613">
        <v>20.0</v>
      </c>
      <c r="H12" s="614"/>
    </row>
    <row r="13">
      <c r="A13" s="476" t="s">
        <v>132</v>
      </c>
      <c r="B13" s="611" t="str">
        <f t="shared" si="3"/>
        <v>Ash Creep Cluster (DB)</v>
      </c>
      <c r="C13" s="611" t="str">
        <f>HYPERLINK("https://en.uesp.net/wiki/Skyrim:Resist_Fire", "Resist Fire")</f>
        <v>Resist Fire</v>
      </c>
      <c r="D13" s="612"/>
      <c r="E13" s="612"/>
      <c r="F13" s="612"/>
      <c r="G13" s="613">
        <v>20.0</v>
      </c>
      <c r="H13" s="614"/>
    </row>
    <row r="14">
      <c r="A14" s="476" t="s">
        <v>132</v>
      </c>
      <c r="B14" s="611" t="str">
        <f t="shared" si="3"/>
        <v>Ash Creep Cluster (DB)</v>
      </c>
      <c r="C14" s="611" t="str">
        <f>HYPERLINK("https://en.uesp.net/wiki/Skyrim:Fortify_Destruction", "Fortify Destruction")</f>
        <v>Fortify Destruction</v>
      </c>
      <c r="D14" s="612"/>
      <c r="E14" s="612"/>
      <c r="F14" s="612"/>
      <c r="G14" s="613">
        <v>20.0</v>
      </c>
      <c r="H14" s="614"/>
    </row>
    <row r="15">
      <c r="A15" s="476" t="s">
        <v>132</v>
      </c>
      <c r="B15" s="611" t="str">
        <f t="shared" ref="B15:B18" si="4">HYPERLINK("https://en.uesp.net/wiki/Skyrim:Ash_Hopper_Jelly","Ash Hopper Jelly (DB)")</f>
        <v>Ash Hopper Jelly (DB)</v>
      </c>
      <c r="C15" s="611" t="str">
        <f>HYPERLINK("https://en.uesp.net/wiki/Skyrim:Restore_Health", "Restore Health")</f>
        <v>Restore Health</v>
      </c>
      <c r="D15" s="612"/>
      <c r="E15" s="612"/>
      <c r="F15" s="612"/>
      <c r="G15" s="613">
        <v>20.0</v>
      </c>
      <c r="H15" s="614"/>
    </row>
    <row r="16">
      <c r="A16" s="476" t="s">
        <v>132</v>
      </c>
      <c r="B16" s="611" t="str">
        <f t="shared" si="4"/>
        <v>Ash Hopper Jelly (DB)</v>
      </c>
      <c r="C16" s="611" t="str">
        <f>HYPERLINK("https://en.uesp.net/wiki/Skyrim:Fortify_Light_Armor", "Fortify Light Armor")</f>
        <v>Fortify Light Armor</v>
      </c>
      <c r="D16" s="612"/>
      <c r="E16" s="612"/>
      <c r="F16" s="612"/>
      <c r="G16" s="613">
        <v>20.0</v>
      </c>
      <c r="H16" s="614"/>
    </row>
    <row r="17">
      <c r="A17" s="476" t="s">
        <v>132</v>
      </c>
      <c r="B17" s="611" t="str">
        <f t="shared" si="4"/>
        <v>Ash Hopper Jelly (DB)</v>
      </c>
      <c r="C17" s="611" t="str">
        <f>HYPERLINK("https://en.uesp.net/wiki/Skyrim:Resist_Shock", "Resist Shock")</f>
        <v>Resist Shock</v>
      </c>
      <c r="D17" s="612"/>
      <c r="E17" s="612"/>
      <c r="F17" s="612"/>
      <c r="G17" s="613">
        <v>20.0</v>
      </c>
      <c r="H17" s="614"/>
    </row>
    <row r="18">
      <c r="A18" s="476" t="s">
        <v>132</v>
      </c>
      <c r="B18" s="611" t="str">
        <f t="shared" si="4"/>
        <v>Ash Hopper Jelly (DB)</v>
      </c>
      <c r="C18" s="611" t="str">
        <f>HYPERLINK("https://en.uesp.net/wiki/Skyrim:Weakness_to_Frost", "Weakness to Frost")</f>
        <v>Weakness to Frost</v>
      </c>
      <c r="D18" s="612"/>
      <c r="E18" s="612"/>
      <c r="F18" s="612"/>
      <c r="G18" s="613">
        <v>20.0</v>
      </c>
      <c r="H18" s="614"/>
    </row>
    <row r="19">
      <c r="A19" s="476" t="s">
        <v>132</v>
      </c>
      <c r="B19" s="611" t="str">
        <f t="shared" ref="B19:B22" si="5">HYPERLINK("https://en.uesp.net/wiki/Skyrim:Ashen_Grass_Pod","Ashen Grass Pod (DB)")</f>
        <v>Ashen Grass Pod (DB)</v>
      </c>
      <c r="C19" s="611" t="str">
        <f>HYPERLINK("https://en.uesp.net/wiki/Skyrim:Resist_Fire", "Resist Fire")</f>
        <v>Resist Fire</v>
      </c>
      <c r="D19" s="616">
        <v>1.33</v>
      </c>
      <c r="E19" s="616"/>
      <c r="F19" s="616">
        <v>1.36</v>
      </c>
      <c r="G19" s="613">
        <v>1.0</v>
      </c>
      <c r="H19" s="614"/>
    </row>
    <row r="20">
      <c r="A20" s="476" t="s">
        <v>132</v>
      </c>
      <c r="B20" s="611" t="str">
        <f t="shared" si="5"/>
        <v>Ashen Grass Pod (DB)</v>
      </c>
      <c r="C20" s="611" t="str">
        <f>HYPERLINK("https://en.uesp.net/wiki/Skyrim:Weakness_to_Shock", "Weakness to Shock")</f>
        <v>Weakness to Shock</v>
      </c>
      <c r="D20" s="612"/>
      <c r="E20" s="612"/>
      <c r="F20" s="612"/>
      <c r="G20" s="613">
        <v>1.0</v>
      </c>
      <c r="H20" s="614"/>
    </row>
    <row r="21">
      <c r="A21" s="476" t="s">
        <v>132</v>
      </c>
      <c r="B21" s="611" t="str">
        <f t="shared" si="5"/>
        <v>Ashen Grass Pod (DB)</v>
      </c>
      <c r="C21" s="611" t="str">
        <f>HYPERLINK("https://en.uesp.net/wiki/Skyrim:Fortify_Lockpicking", "Fortify Lockpicking")</f>
        <v>Fortify Lockpicking</v>
      </c>
      <c r="D21" s="612"/>
      <c r="E21" s="612"/>
      <c r="F21" s="612"/>
      <c r="G21" s="613">
        <v>1.0</v>
      </c>
      <c r="H21" s="614"/>
    </row>
    <row r="22">
      <c r="A22" s="476" t="s">
        <v>132</v>
      </c>
      <c r="B22" s="611" t="str">
        <f t="shared" si="5"/>
        <v>Ashen Grass Pod (DB)</v>
      </c>
      <c r="C22" s="611" t="str">
        <f>HYPERLINK("https://en.uesp.net/wiki/Skyrim:Fortify_Sneak", "Fortify Sneak")</f>
        <v>Fortify Sneak</v>
      </c>
      <c r="D22" s="612"/>
      <c r="E22" s="612"/>
      <c r="F22" s="612"/>
      <c r="G22" s="613">
        <v>1.0</v>
      </c>
      <c r="H22" s="614"/>
    </row>
    <row r="23">
      <c r="A23" s="476" t="s">
        <v>132</v>
      </c>
      <c r="B23" s="611" t="str">
        <f t="shared" ref="B23:B26" si="6">HYPERLINK("https://en.uesp.net/wiki/Skyrim:Bear_Claws", "Bear Claws ")</f>
        <v>Bear Claws </v>
      </c>
      <c r="C23" s="611" t="str">
        <f>HYPERLINK("https://en.uesp.net/wiki/Skyrim:Restore_Stamina", "Restore Stamina")</f>
        <v>Restore Stamina</v>
      </c>
      <c r="D23" s="616">
        <v>0.8</v>
      </c>
      <c r="E23" s="616"/>
      <c r="F23" s="616">
        <v>0.78</v>
      </c>
      <c r="G23" s="613">
        <v>2.0</v>
      </c>
      <c r="H23" s="614"/>
    </row>
    <row r="24">
      <c r="A24" s="476" t="s">
        <v>132</v>
      </c>
      <c r="B24" s="611" t="str">
        <f t="shared" si="6"/>
        <v>Bear Claws </v>
      </c>
      <c r="C24" s="611" t="str">
        <f>HYPERLINK("https://en.uesp.net/wiki/Skyrim:Fortify_Health", "Fortify Health")</f>
        <v>Fortify Health</v>
      </c>
      <c r="D24" s="612"/>
      <c r="E24" s="612"/>
      <c r="F24" s="612"/>
      <c r="G24" s="613">
        <v>2.0</v>
      </c>
      <c r="H24" s="614"/>
    </row>
    <row r="25">
      <c r="A25" s="476" t="s">
        <v>132</v>
      </c>
      <c r="B25" s="611" t="str">
        <f t="shared" si="6"/>
        <v>Bear Claws </v>
      </c>
      <c r="C25" s="611" t="str">
        <f>HYPERLINK("https://en.uesp.net/wiki/Skyrim:Fortify_One-handed", "Fortify One-handed")</f>
        <v>Fortify One-handed</v>
      </c>
      <c r="D25" s="612"/>
      <c r="E25" s="612"/>
      <c r="F25" s="612"/>
      <c r="G25" s="613">
        <v>2.0</v>
      </c>
      <c r="H25" s="614"/>
    </row>
    <row r="26">
      <c r="A26" s="476" t="s">
        <v>132</v>
      </c>
      <c r="B26" s="611" t="str">
        <f t="shared" si="6"/>
        <v>Bear Claws </v>
      </c>
      <c r="C26" s="611" t="str">
        <f>HYPERLINK("https://en.uesp.net/wiki/Skyrim:Damage_Magicka_Regen", "Damage Magicka Regen")</f>
        <v>Damage Magicka Regen</v>
      </c>
      <c r="D26" s="612"/>
      <c r="E26" s="612"/>
      <c r="F26" s="612"/>
      <c r="G26" s="613">
        <v>2.0</v>
      </c>
      <c r="H26" s="614"/>
    </row>
    <row r="27">
      <c r="A27" s="476" t="s">
        <v>132</v>
      </c>
      <c r="B27" s="611" t="str">
        <f t="shared" ref="B27:B30" si="7">HYPERLINK("https://en.uesp.net/wiki/Skyrim:Bee", "Bee ")</f>
        <v>Bee </v>
      </c>
      <c r="C27" s="611" t="str">
        <f>HYPERLINK("https://en.uesp.net/wiki/Skyrim:Restore_Stamina", "Restore Stamina")</f>
        <v>Restore Stamina</v>
      </c>
      <c r="D27" s="612"/>
      <c r="E27" s="612"/>
      <c r="F27" s="612"/>
      <c r="G27" s="613">
        <v>3.0</v>
      </c>
      <c r="H27" s="614"/>
    </row>
    <row r="28">
      <c r="A28" s="476" t="s">
        <v>132</v>
      </c>
      <c r="B28" s="611" t="str">
        <f t="shared" si="7"/>
        <v>Bee </v>
      </c>
      <c r="C28" s="611" t="str">
        <f>HYPERLINK("https://en.uesp.net/wiki/Skyrim:Ravage_Stamina", "Ravage Stamina")</f>
        <v>Ravage Stamina</v>
      </c>
      <c r="D28" s="612"/>
      <c r="E28" s="612"/>
      <c r="F28" s="612"/>
      <c r="G28" s="613">
        <v>3.0</v>
      </c>
      <c r="H28" s="614"/>
    </row>
    <row r="29">
      <c r="A29" s="476" t="s">
        <v>132</v>
      </c>
      <c r="B29" s="611" t="str">
        <f t="shared" si="7"/>
        <v>Bee </v>
      </c>
      <c r="C29" s="611" t="str">
        <f>HYPERLINK("https://en.uesp.net/wiki/Skyrim:Regenerate_Stamina", "Regenerate Stamina")</f>
        <v>Regenerate Stamina</v>
      </c>
      <c r="D29" s="612"/>
      <c r="E29" s="612"/>
      <c r="F29" s="612"/>
      <c r="G29" s="613">
        <v>3.0</v>
      </c>
      <c r="H29" s="614"/>
    </row>
    <row r="30">
      <c r="A30" s="476" t="s">
        <v>132</v>
      </c>
      <c r="B30" s="611" t="str">
        <f t="shared" si="7"/>
        <v>Bee </v>
      </c>
      <c r="C30" s="611" t="str">
        <f>HYPERLINK("https://en.uesp.net/wiki/Skyrim:Weakness_to_Shock", "Weakness to Shock")</f>
        <v>Weakness to Shock</v>
      </c>
      <c r="D30" s="612"/>
      <c r="E30" s="612"/>
      <c r="F30" s="612"/>
      <c r="G30" s="613">
        <v>3.0</v>
      </c>
      <c r="H30" s="614"/>
    </row>
    <row r="31">
      <c r="A31" s="476" t="s">
        <v>132</v>
      </c>
      <c r="B31" s="611" t="str">
        <f t="shared" ref="B31:B34" si="8">HYPERLINK("https://en.uesp.net/wiki/Skyrim:Beehive_Husk", "Beehive Husk ")</f>
        <v>Beehive Husk </v>
      </c>
      <c r="C31" s="611" t="str">
        <f>HYPERLINK("https://en.uesp.net/wiki/Skyrim:Resist_Poison", "Resist Poison")</f>
        <v>Resist Poison</v>
      </c>
      <c r="D31" s="616">
        <v>0.5</v>
      </c>
      <c r="E31" s="616"/>
      <c r="F31" s="612"/>
      <c r="G31" s="613">
        <v>5.0</v>
      </c>
      <c r="H31" s="614"/>
    </row>
    <row r="32">
      <c r="A32" s="476" t="s">
        <v>132</v>
      </c>
      <c r="B32" s="611" t="str">
        <f t="shared" si="8"/>
        <v>Beehive Husk </v>
      </c>
      <c r="C32" s="611" t="str">
        <f>HYPERLINK("https://en.uesp.net/wiki/Skyrim:Fortify_Light_Armor", "Fortify Light Armor")</f>
        <v>Fortify Light Armor</v>
      </c>
      <c r="D32" s="612"/>
      <c r="E32" s="612"/>
      <c r="F32" s="612"/>
      <c r="G32" s="613">
        <v>5.0</v>
      </c>
      <c r="H32" s="614"/>
    </row>
    <row r="33">
      <c r="A33" s="476" t="s">
        <v>132</v>
      </c>
      <c r="B33" s="611" t="str">
        <f t="shared" si="8"/>
        <v>Beehive Husk </v>
      </c>
      <c r="C33" s="611" t="str">
        <f>HYPERLINK("https://en.uesp.net/wiki/Skyrim:Fortify_Sneak", "Fortify Sneak")</f>
        <v>Fortify Sneak</v>
      </c>
      <c r="D33" s="612"/>
      <c r="E33" s="612"/>
      <c r="F33" s="612"/>
      <c r="G33" s="613">
        <v>5.0</v>
      </c>
      <c r="H33" s="614"/>
    </row>
    <row r="34">
      <c r="A34" s="476" t="s">
        <v>132</v>
      </c>
      <c r="B34" s="611" t="str">
        <f t="shared" si="8"/>
        <v>Beehive Husk </v>
      </c>
      <c r="C34" s="611" t="str">
        <f>HYPERLINK("https://en.uesp.net/wiki/Skyrim:Fortify_Destruction", "Fortify Destruction")</f>
        <v>Fortify Destruction</v>
      </c>
      <c r="D34" s="612"/>
      <c r="E34" s="612"/>
      <c r="F34" s="612"/>
      <c r="G34" s="613">
        <v>5.0</v>
      </c>
      <c r="H34" s="614"/>
    </row>
    <row r="35">
      <c r="A35" s="476" t="s">
        <v>132</v>
      </c>
      <c r="B35" s="611" t="str">
        <f t="shared" ref="B35:B38" si="9">HYPERLINK("https://en.uesp.net/wiki/Skyrim:Berit%27s_Ashes","Berit's Ashes*")</f>
        <v>Berit's Ashes*</v>
      </c>
      <c r="C35" s="611" t="str">
        <f>HYPERLINK("https://en.uesp.net/wiki/Skyrim:Damage_Stamina", "Damage Stamina")</f>
        <v>Damage Stamina</v>
      </c>
      <c r="D35" s="612"/>
      <c r="E35" s="612"/>
      <c r="F35" s="612"/>
      <c r="G35" s="613">
        <v>5.0</v>
      </c>
      <c r="H35" s="614"/>
    </row>
    <row r="36">
      <c r="A36" s="476" t="s">
        <v>132</v>
      </c>
      <c r="B36" s="611" t="str">
        <f t="shared" si="9"/>
        <v>Berit's Ashes*</v>
      </c>
      <c r="C36" s="611" t="str">
        <f>HYPERLINK("https://en.uesp.net/wiki/Skyrim:Resist_Fire", "Resist Fire")</f>
        <v>Resist Fire</v>
      </c>
      <c r="D36" s="612"/>
      <c r="E36" s="612"/>
      <c r="F36" s="612"/>
      <c r="G36" s="613">
        <v>5.0</v>
      </c>
      <c r="H36" s="614"/>
    </row>
    <row r="37">
      <c r="A37" s="476" t="s">
        <v>132</v>
      </c>
      <c r="B37" s="611" t="str">
        <f t="shared" si="9"/>
        <v>Berit's Ashes*</v>
      </c>
      <c r="C37" s="611" t="str">
        <f>HYPERLINK("https://en.uesp.net/wiki/Skyrim:Fortify_Conjuration", "Fortify Conjuration")</f>
        <v>Fortify Conjuration</v>
      </c>
      <c r="D37" s="612"/>
      <c r="E37" s="612"/>
      <c r="F37" s="612"/>
      <c r="G37" s="613">
        <v>5.0</v>
      </c>
      <c r="H37" s="614"/>
    </row>
    <row r="38">
      <c r="A38" s="476" t="s">
        <v>132</v>
      </c>
      <c r="B38" s="611" t="str">
        <f t="shared" si="9"/>
        <v>Berit's Ashes*</v>
      </c>
      <c r="C38" s="611" t="str">
        <f>HYPERLINK("https://en.uesp.net/wiki/Skyrim:Ravage_Stamina", "Ravage Stamina")</f>
        <v>Ravage Stamina</v>
      </c>
      <c r="D38" s="612"/>
      <c r="E38" s="612"/>
      <c r="F38" s="612"/>
      <c r="G38" s="613">
        <v>5.0</v>
      </c>
      <c r="H38" s="614"/>
    </row>
    <row r="39">
      <c r="A39" s="476" t="s">
        <v>132</v>
      </c>
      <c r="B39" s="611" t="str">
        <f t="shared" ref="B39:B42" si="10">HYPERLINK("https://en.uesp.net/wiki/Skyrim:Bleeding_Crown", "Bleeding Crown ")</f>
        <v>Bleeding Crown </v>
      </c>
      <c r="C39" s="611" t="str">
        <f>HYPERLINK("https://en.uesp.net/wiki/Skyrim:Weakness_to_Fire", "Weakness to Fire")</f>
        <v>Weakness to Fire</v>
      </c>
      <c r="D39" s="612"/>
      <c r="E39" s="612"/>
      <c r="F39" s="612"/>
      <c r="G39" s="613">
        <v>10.0</v>
      </c>
      <c r="H39" s="613">
        <v>3.0</v>
      </c>
    </row>
    <row r="40">
      <c r="A40" s="476" t="s">
        <v>132</v>
      </c>
      <c r="B40" s="611" t="str">
        <f t="shared" si="10"/>
        <v>Bleeding Crown </v>
      </c>
      <c r="C40" s="611" t="str">
        <f>HYPERLINK("https://en.uesp.net/wiki/Skyrim:Fortify_Block", "Fortify Block")</f>
        <v>Fortify Block</v>
      </c>
      <c r="D40" s="612"/>
      <c r="E40" s="612"/>
      <c r="F40" s="612"/>
      <c r="G40" s="613">
        <v>10.0</v>
      </c>
      <c r="H40" s="613">
        <v>3.0</v>
      </c>
    </row>
    <row r="41">
      <c r="A41" s="476" t="s">
        <v>132</v>
      </c>
      <c r="B41" s="611" t="str">
        <f t="shared" si="10"/>
        <v>Bleeding Crown </v>
      </c>
      <c r="C41" s="611" t="str">
        <f>HYPERLINK("https://en.uesp.net/wiki/Skyrim:Weakness_to_Poison", "Weakness to Poison")</f>
        <v>Weakness to Poison</v>
      </c>
      <c r="D41" s="612"/>
      <c r="E41" s="612"/>
      <c r="F41" s="612"/>
      <c r="G41" s="613">
        <v>10.0</v>
      </c>
      <c r="H41" s="613">
        <v>3.0</v>
      </c>
    </row>
    <row r="42">
      <c r="A42" s="476" t="s">
        <v>132</v>
      </c>
      <c r="B42" s="611" t="str">
        <f t="shared" si="10"/>
        <v>Bleeding Crown </v>
      </c>
      <c r="C42" s="611" t="str">
        <f>HYPERLINK("https://en.uesp.net/wiki/Skyrim:Resist_Magic", "Resist Magic")</f>
        <v>Resist Magic</v>
      </c>
      <c r="D42" s="612"/>
      <c r="E42" s="612"/>
      <c r="F42" s="612"/>
      <c r="G42" s="613">
        <v>10.0</v>
      </c>
      <c r="H42" s="613">
        <v>3.0</v>
      </c>
    </row>
    <row r="43">
      <c r="A43" s="476" t="s">
        <v>132</v>
      </c>
      <c r="B43" s="611" t="str">
        <f t="shared" ref="B43:B46" si="11">HYPERLINK("https://en.uesp.net/wiki/Skyrim:Blisterwort", "Blisterwort ")</f>
        <v>Blisterwort </v>
      </c>
      <c r="C43" s="611" t="str">
        <f>HYPERLINK("https://en.uesp.net/wiki/Skyrim:Damage_Stamina", "Damage Stamina")</f>
        <v>Damage Stamina</v>
      </c>
      <c r="D43" s="612"/>
      <c r="E43" s="612"/>
      <c r="F43" s="612"/>
      <c r="G43" s="613">
        <v>12.0</v>
      </c>
      <c r="H43" s="613">
        <v>4.0</v>
      </c>
    </row>
    <row r="44">
      <c r="A44" s="476" t="s">
        <v>132</v>
      </c>
      <c r="B44" s="611" t="str">
        <f t="shared" si="11"/>
        <v>Blisterwort </v>
      </c>
      <c r="C44" s="611" t="str">
        <f>HYPERLINK("https://en.uesp.net/wiki/Skyrim:Frenzy", "Frenzy")</f>
        <v>Frenzy</v>
      </c>
      <c r="D44" s="612"/>
      <c r="E44" s="612"/>
      <c r="F44" s="612"/>
      <c r="G44" s="613">
        <v>12.0</v>
      </c>
      <c r="H44" s="613">
        <v>4.0</v>
      </c>
    </row>
    <row r="45">
      <c r="A45" s="476" t="s">
        <v>132</v>
      </c>
      <c r="B45" s="611" t="str">
        <f t="shared" si="11"/>
        <v>Blisterwort </v>
      </c>
      <c r="C45" s="611" t="str">
        <f>HYPERLINK("https://en.uesp.net/wiki/Skyrim:Restore_Health", "Restore Health")</f>
        <v>Restore Health</v>
      </c>
      <c r="D45" s="616">
        <v>0.6</v>
      </c>
      <c r="E45" s="616"/>
      <c r="F45" s="616">
        <v>0.57</v>
      </c>
      <c r="G45" s="613">
        <v>12.0</v>
      </c>
      <c r="H45" s="613">
        <v>4.0</v>
      </c>
    </row>
    <row r="46">
      <c r="A46" s="476" t="s">
        <v>132</v>
      </c>
      <c r="B46" s="611" t="str">
        <f t="shared" si="11"/>
        <v>Blisterwort </v>
      </c>
      <c r="C46" s="611" t="str">
        <f>HYPERLINK("https://en.uesp.net/wiki/Skyrim:Fortify_Smithing", "Fortify Smithing")</f>
        <v>Fortify Smithing</v>
      </c>
      <c r="D46" s="612"/>
      <c r="E46" s="612"/>
      <c r="F46" s="612"/>
      <c r="G46" s="613">
        <v>12.0</v>
      </c>
      <c r="H46" s="613">
        <v>4.0</v>
      </c>
    </row>
    <row r="47">
      <c r="A47" s="476" t="s">
        <v>132</v>
      </c>
      <c r="B47" s="611" t="str">
        <f t="shared" ref="B47:B50" si="12">HYPERLINK("https://en.uesp.net/wiki/Skyrim:Blue_Butterfly_Wing", "Blue Butterfly Wing ")</f>
        <v>Blue Butterfly Wing </v>
      </c>
      <c r="C47" s="611" t="str">
        <f>HYPERLINK("https://en.uesp.net/wiki/Skyrim:Damage_Stamina", "Damage Stamina")</f>
        <v>Damage Stamina</v>
      </c>
      <c r="D47" s="612"/>
      <c r="E47" s="612"/>
      <c r="F47" s="612"/>
      <c r="G47" s="613">
        <v>2.0</v>
      </c>
      <c r="H47" s="614"/>
    </row>
    <row r="48">
      <c r="A48" s="476" t="s">
        <v>132</v>
      </c>
      <c r="B48" s="611" t="str">
        <f t="shared" si="12"/>
        <v>Blue Butterfly Wing </v>
      </c>
      <c r="C48" s="611" t="str">
        <f>HYPERLINK("https://en.uesp.net/wiki/Skyrim:Fortify_Conjuration", "Fortify Conjuration")</f>
        <v>Fortify Conjuration</v>
      </c>
      <c r="D48" s="612"/>
      <c r="E48" s="612"/>
      <c r="F48" s="612"/>
      <c r="G48" s="613">
        <v>2.0</v>
      </c>
      <c r="H48" s="614"/>
    </row>
    <row r="49">
      <c r="A49" s="476" t="s">
        <v>132</v>
      </c>
      <c r="B49" s="611" t="str">
        <f t="shared" si="12"/>
        <v>Blue Butterfly Wing </v>
      </c>
      <c r="C49" s="611" t="str">
        <f>HYPERLINK("https://en.uesp.net/wiki/Skyrim:Damage_Magicka_Regen", "Damage Magicka Regen")</f>
        <v>Damage Magicka Regen</v>
      </c>
      <c r="D49" s="612"/>
      <c r="E49" s="612"/>
      <c r="F49" s="612"/>
      <c r="G49" s="613">
        <v>2.0</v>
      </c>
      <c r="H49" s="614"/>
    </row>
    <row r="50">
      <c r="A50" s="476" t="s">
        <v>132</v>
      </c>
      <c r="B50" s="611" t="str">
        <f t="shared" si="12"/>
        <v>Blue Butterfly Wing </v>
      </c>
      <c r="C50" s="611" t="str">
        <f>HYPERLINK("https://en.uesp.net/wiki/Skyrim:Fortify_Enchanting", "Fortify Enchanting")</f>
        <v>Fortify Enchanting</v>
      </c>
      <c r="D50" s="612"/>
      <c r="E50" s="612"/>
      <c r="F50" s="612"/>
      <c r="G50" s="613">
        <v>2.0</v>
      </c>
      <c r="H50" s="614"/>
    </row>
    <row r="51">
      <c r="A51" s="476" t="s">
        <v>132</v>
      </c>
      <c r="B51" s="611" t="str">
        <f t="shared" ref="B51:B54" si="13">HYPERLINK("https://en.uesp.net/wiki/Skyrim:Blue_Dartwing", "Blue Dartwing ")</f>
        <v>Blue Dartwing </v>
      </c>
      <c r="C51" s="611" t="str">
        <f>HYPERLINK("https://en.uesp.net/wiki/Skyrim:Resist_Shock", "Resist Shock")</f>
        <v>Resist Shock</v>
      </c>
      <c r="D51" s="612"/>
      <c r="E51" s="612"/>
      <c r="F51" s="612"/>
      <c r="G51" s="613">
        <v>1.0</v>
      </c>
      <c r="H51" s="614"/>
    </row>
    <row r="52">
      <c r="A52" s="476" t="s">
        <v>132</v>
      </c>
      <c r="B52" s="611" t="str">
        <f t="shared" si="13"/>
        <v>Blue Dartwing </v>
      </c>
      <c r="C52" s="611" t="str">
        <f>HYPERLINK("https://en.uesp.net/wiki/Skyrim:Fortify_Pickpocket", "Fortify Pickpocket")</f>
        <v>Fortify Pickpocket</v>
      </c>
      <c r="D52" s="612"/>
      <c r="E52" s="612"/>
      <c r="F52" s="612"/>
      <c r="G52" s="613">
        <v>1.0</v>
      </c>
      <c r="H52" s="614"/>
    </row>
    <row r="53">
      <c r="A53" s="476" t="s">
        <v>132</v>
      </c>
      <c r="B53" s="611" t="str">
        <f t="shared" si="13"/>
        <v>Blue Dartwing </v>
      </c>
      <c r="C53" s="611" t="str">
        <f>HYPERLINK("https://en.uesp.net/wiki/Skyrim:Restore_Health", "Restore Health")</f>
        <v>Restore Health</v>
      </c>
      <c r="D53" s="612"/>
      <c r="E53" s="612"/>
      <c r="F53" s="612"/>
      <c r="G53" s="613">
        <v>1.0</v>
      </c>
      <c r="H53" s="614"/>
    </row>
    <row r="54">
      <c r="A54" s="476" t="s">
        <v>132</v>
      </c>
      <c r="B54" s="611" t="str">
        <f t="shared" si="13"/>
        <v>Blue Dartwing </v>
      </c>
      <c r="C54" s="611" t="str">
        <f>HYPERLINK("https://en.uesp.net/wiki/Skyrim:Fear", "Fear")</f>
        <v>Fear</v>
      </c>
      <c r="D54" s="612"/>
      <c r="E54" s="612"/>
      <c r="F54" s="612"/>
      <c r="G54" s="613">
        <v>1.0</v>
      </c>
      <c r="H54" s="614"/>
    </row>
    <row r="55">
      <c r="A55" s="476" t="s">
        <v>132</v>
      </c>
      <c r="B55" s="611" t="str">
        <f t="shared" ref="B55:B58" si="14">HYPERLINK("https://en.uesp.net/wiki/Skyrim:Blue_Mountain_Flower", "Blue Mountain Flower ")</f>
        <v>Blue Mountain Flower </v>
      </c>
      <c r="C55" s="611" t="str">
        <f>HYPERLINK("https://en.uesp.net/wiki/Skyrim:Restore_Health", "Restore Health")</f>
        <v>Restore Health</v>
      </c>
      <c r="D55" s="612"/>
      <c r="E55" s="612"/>
      <c r="F55" s="612"/>
      <c r="G55" s="613">
        <v>2.0</v>
      </c>
      <c r="H55" s="613">
        <v>3.0</v>
      </c>
    </row>
    <row r="56">
      <c r="A56" s="476" t="s">
        <v>132</v>
      </c>
      <c r="B56" s="611" t="str">
        <f t="shared" si="14"/>
        <v>Blue Mountain Flower </v>
      </c>
      <c r="C56" s="611" t="str">
        <f>HYPERLINK("https://en.uesp.net/wiki/Skyrim:Fortify_Conjuration", "Fortify Conjuration")</f>
        <v>Fortify Conjuration</v>
      </c>
      <c r="D56" s="612"/>
      <c r="E56" s="612"/>
      <c r="F56" s="612"/>
      <c r="G56" s="613">
        <v>2.0</v>
      </c>
      <c r="H56" s="613">
        <v>3.0</v>
      </c>
    </row>
    <row r="57">
      <c r="A57" s="476" t="s">
        <v>132</v>
      </c>
      <c r="B57" s="611" t="str">
        <f t="shared" si="14"/>
        <v>Blue Mountain Flower </v>
      </c>
      <c r="C57" s="611" t="str">
        <f>HYPERLINK("https://en.uesp.net/wiki/Skyrim:Fortify_Health", "Fortify Health")</f>
        <v>Fortify Health</v>
      </c>
      <c r="D57" s="612"/>
      <c r="E57" s="612"/>
      <c r="F57" s="612"/>
      <c r="G57" s="613">
        <v>2.0</v>
      </c>
      <c r="H57" s="613">
        <v>3.0</v>
      </c>
    </row>
    <row r="58">
      <c r="A58" s="476" t="s">
        <v>132</v>
      </c>
      <c r="B58" s="611" t="str">
        <f t="shared" si="14"/>
        <v>Blue Mountain Flower </v>
      </c>
      <c r="C58" s="611" t="str">
        <f>HYPERLINK("https://en.uesp.net/wiki/Skyrim:Damage_Magicka_Regen", "Damage Magicka Regen")</f>
        <v>Damage Magicka Regen</v>
      </c>
      <c r="D58" s="612"/>
      <c r="E58" s="612"/>
      <c r="F58" s="612"/>
      <c r="G58" s="613">
        <v>2.0</v>
      </c>
      <c r="H58" s="613">
        <v>3.0</v>
      </c>
    </row>
    <row r="59">
      <c r="A59" s="476" t="s">
        <v>132</v>
      </c>
      <c r="B59" s="611" t="str">
        <f t="shared" ref="B59:B62" si="15">HYPERLINK("https://en.uesp.net/wiki/Skyrim:Boar_Tusk","Boar Tusk")</f>
        <v>Boar Tusk</v>
      </c>
      <c r="C59" s="611" t="str">
        <f>HYPERLINK("https://en.uesp.net/wiki/Skyrim:Fortify_Stamina", "Fortify Stamina")</f>
        <v>Fortify Stamina</v>
      </c>
      <c r="D59" s="616">
        <v>1.25</v>
      </c>
      <c r="E59" s="616">
        <v>5.0</v>
      </c>
      <c r="F59" s="616">
        <v>7.5</v>
      </c>
      <c r="G59" s="613">
        <v>20.0</v>
      </c>
      <c r="H59" s="614"/>
    </row>
    <row r="60">
      <c r="A60" s="476" t="s">
        <v>132</v>
      </c>
      <c r="B60" s="611" t="str">
        <f t="shared" si="15"/>
        <v>Boar Tusk</v>
      </c>
      <c r="C60" s="611" t="str">
        <f>HYPERLINK("https://en.uesp.net/wiki/Skyrim:Fortify_Health", "Fortify Health")</f>
        <v>Fortify Health</v>
      </c>
      <c r="D60" s="616"/>
      <c r="E60" s="616">
        <v>5.0</v>
      </c>
      <c r="F60" s="616">
        <v>5.9</v>
      </c>
      <c r="G60" s="613">
        <v>20.0</v>
      </c>
      <c r="H60" s="614"/>
    </row>
    <row r="61">
      <c r="A61" s="476" t="s">
        <v>132</v>
      </c>
      <c r="B61" s="611" t="str">
        <f t="shared" si="15"/>
        <v>Boar Tusk</v>
      </c>
      <c r="C61" s="611" t="str">
        <f>HYPERLINK("https://en.uesp.net/wiki/Skyrim:Fortify_Block", "Fortify Block")</f>
        <v>Fortify Block</v>
      </c>
      <c r="D61" s="612"/>
      <c r="E61" s="612"/>
      <c r="F61" s="612"/>
      <c r="G61" s="613">
        <v>20.0</v>
      </c>
      <c r="H61" s="614"/>
    </row>
    <row r="62">
      <c r="A62" s="476" t="s">
        <v>132</v>
      </c>
      <c r="B62" s="611" t="str">
        <f t="shared" si="15"/>
        <v>Boar Tusk</v>
      </c>
      <c r="C62" s="611" t="str">
        <f>HYPERLINK("https://en.uesp.net/wiki/Skyrim:Frenzy", "Frenzy")</f>
        <v>Frenzy</v>
      </c>
      <c r="D62" s="612"/>
      <c r="E62" s="612"/>
      <c r="F62" s="612"/>
      <c r="G62" s="613">
        <v>20.0</v>
      </c>
      <c r="H62" s="614"/>
    </row>
    <row r="63">
      <c r="A63" s="476" t="s">
        <v>132</v>
      </c>
      <c r="B63" s="611" t="str">
        <f t="shared" ref="B63:B66" si="16">HYPERLINK("https://en.uesp.net/wiki/Skyrim:Bone_Meal", "Bone Meal ")</f>
        <v>Bone Meal </v>
      </c>
      <c r="C63" s="611" t="str">
        <f>HYPERLINK("https://en.uesp.net/wiki/Skyrim:Damage_Stamina", "Damage Stamina")</f>
        <v>Damage Stamina</v>
      </c>
      <c r="D63" s="612"/>
      <c r="E63" s="612"/>
      <c r="F63" s="612"/>
      <c r="G63" s="613">
        <v>5.0</v>
      </c>
      <c r="H63" s="614"/>
    </row>
    <row r="64">
      <c r="A64" s="476" t="s">
        <v>132</v>
      </c>
      <c r="B64" s="611" t="str">
        <f t="shared" si="16"/>
        <v>Bone Meal </v>
      </c>
      <c r="C64" s="611" t="str">
        <f>HYPERLINK("https://en.uesp.net/wiki/Skyrim:Resist_Fire", "Resist Fire")</f>
        <v>Resist Fire</v>
      </c>
      <c r="D64" s="612"/>
      <c r="E64" s="612"/>
      <c r="F64" s="612"/>
      <c r="G64" s="613">
        <v>5.0</v>
      </c>
      <c r="H64" s="614"/>
    </row>
    <row r="65">
      <c r="A65" s="476" t="s">
        <v>132</v>
      </c>
      <c r="B65" s="611" t="str">
        <f t="shared" si="16"/>
        <v>Bone Meal </v>
      </c>
      <c r="C65" s="611" t="str">
        <f>HYPERLINK("https://en.uesp.net/wiki/Skyrim:Fortify_Conjuration", "Fortify Conjuration")</f>
        <v>Fortify Conjuration</v>
      </c>
      <c r="D65" s="612"/>
      <c r="E65" s="612"/>
      <c r="F65" s="612"/>
      <c r="G65" s="613">
        <v>5.0</v>
      </c>
      <c r="H65" s="614"/>
    </row>
    <row r="66">
      <c r="A66" s="476" t="s">
        <v>132</v>
      </c>
      <c r="B66" s="611" t="str">
        <f t="shared" si="16"/>
        <v>Bone Meal </v>
      </c>
      <c r="C66" s="611" t="str">
        <f>HYPERLINK("https://en.uesp.net/wiki/Skyrim:Ravage_Stamina", "Ravage Stamina")</f>
        <v>Ravage Stamina</v>
      </c>
      <c r="D66" s="612"/>
      <c r="E66" s="612"/>
      <c r="F66" s="612"/>
      <c r="G66" s="613">
        <v>5.0</v>
      </c>
      <c r="H66" s="614"/>
    </row>
    <row r="67">
      <c r="A67" s="476" t="s">
        <v>132</v>
      </c>
      <c r="B67" s="611" t="str">
        <f t="shared" ref="B67:B70" si="17">HYPERLINK("https://en.uesp.net/wiki/Skyrim:Briar_Heart", "Briar Heart ")</f>
        <v>Briar Heart </v>
      </c>
      <c r="C67" s="611" t="str">
        <f>HYPERLINK("https://en.uesp.net/wiki/Skyrim:Restore_Magicka", "Restore Magicka")</f>
        <v>Restore Magicka</v>
      </c>
      <c r="D67" s="612"/>
      <c r="E67" s="612"/>
      <c r="F67" s="612"/>
      <c r="G67" s="613">
        <v>20.0</v>
      </c>
      <c r="H67" s="614"/>
    </row>
    <row r="68">
      <c r="A68" s="476" t="s">
        <v>132</v>
      </c>
      <c r="B68" s="611" t="str">
        <f t="shared" si="17"/>
        <v>Briar Heart </v>
      </c>
      <c r="C68" s="611" t="str">
        <f>HYPERLINK("https://en.uesp.net/wiki/Skyrim:Fortify_Block", "Fortify Block")</f>
        <v>Fortify Block</v>
      </c>
      <c r="D68" s="616">
        <v>0.5</v>
      </c>
      <c r="E68" s="616"/>
      <c r="F68" s="612"/>
      <c r="G68" s="613">
        <v>20.0</v>
      </c>
      <c r="H68" s="614"/>
    </row>
    <row r="69">
      <c r="A69" s="476" t="s">
        <v>132</v>
      </c>
      <c r="B69" s="611" t="str">
        <f t="shared" si="17"/>
        <v>Briar Heart </v>
      </c>
      <c r="C69" s="611" t="str">
        <f>HYPERLINK("https://en.uesp.net/wiki/Skyrim:Paralysis", "Paralysis")</f>
        <v>Paralysis</v>
      </c>
      <c r="D69" s="612"/>
      <c r="E69" s="612"/>
      <c r="F69" s="612"/>
      <c r="G69" s="613">
        <v>20.0</v>
      </c>
      <c r="H69" s="614"/>
    </row>
    <row r="70">
      <c r="A70" s="476" t="s">
        <v>132</v>
      </c>
      <c r="B70" s="611" t="str">
        <f t="shared" si="17"/>
        <v>Briar Heart </v>
      </c>
      <c r="C70" s="611" t="str">
        <f>HYPERLINK("https://en.uesp.net/wiki/Skyrim:Fortify_Magicka", "Fortify Magicka")</f>
        <v>Fortify Magicka</v>
      </c>
      <c r="D70" s="612"/>
      <c r="E70" s="612"/>
      <c r="F70" s="612"/>
      <c r="G70" s="613">
        <v>20.0</v>
      </c>
      <c r="H70" s="614"/>
    </row>
    <row r="71">
      <c r="A71" s="476" t="s">
        <v>132</v>
      </c>
      <c r="B71" s="617" t="str">
        <f t="shared" ref="B71:B74" si="18">HYPERLINK("https://en.uesp.net/wiki/Skyrim:Burnt_Spriggan_Wood","Burnt Spriggan Wood (DB)")</f>
        <v>Burnt Spriggan Wood (DB)</v>
      </c>
      <c r="C71" s="611" t="str">
        <f>HYPERLINK("https://en.uesp.net/wiki/Skyrim:Weakness_to_Fire", "Weakness to Fire")</f>
        <v>Weakness to Fire</v>
      </c>
      <c r="D71" s="612"/>
      <c r="E71" s="612"/>
      <c r="F71" s="612"/>
      <c r="G71" s="613">
        <v>20.0</v>
      </c>
      <c r="H71" s="614"/>
    </row>
    <row r="72">
      <c r="A72" s="476" t="s">
        <v>132</v>
      </c>
      <c r="B72" s="617" t="str">
        <f t="shared" si="18"/>
        <v>Burnt Spriggan Wood (DB)</v>
      </c>
      <c r="C72" s="611" t="str">
        <f>HYPERLINK("https://en.uesp.net/wiki/Skyrim:Fortify_Alteration", "Fortify Alteration")</f>
        <v>Fortify Alteration</v>
      </c>
      <c r="D72" s="612"/>
      <c r="E72" s="612"/>
      <c r="F72" s="612"/>
      <c r="G72" s="613">
        <v>20.0</v>
      </c>
      <c r="H72" s="614"/>
    </row>
    <row r="73">
      <c r="A73" s="476" t="s">
        <v>132</v>
      </c>
      <c r="B73" s="617" t="str">
        <f t="shared" si="18"/>
        <v>Burnt Spriggan Wood (DB)</v>
      </c>
      <c r="C73" s="611" t="str">
        <f>HYPERLINK("https://en.uesp.net/wiki/Skyrim:Damage_Magicka_Regen", "Damage Magicka Regen")</f>
        <v>Damage Magicka Regen</v>
      </c>
      <c r="D73" s="612"/>
      <c r="E73" s="612"/>
      <c r="F73" s="612"/>
      <c r="G73" s="613">
        <v>20.0</v>
      </c>
      <c r="H73" s="614"/>
    </row>
    <row r="74">
      <c r="A74" s="476" t="s">
        <v>132</v>
      </c>
      <c r="B74" s="617" t="str">
        <f t="shared" si="18"/>
        <v>Burnt Spriggan Wood (DB)</v>
      </c>
      <c r="C74" s="611" t="str">
        <f>HYPERLINK("https://en.uesp.net/wiki/Skyrim:Slow", "Slow")</f>
        <v>Slow</v>
      </c>
      <c r="D74" s="612"/>
      <c r="E74" s="612"/>
      <c r="F74" s="612"/>
      <c r="G74" s="613">
        <v>20.0</v>
      </c>
      <c r="H74" s="614"/>
    </row>
    <row r="75">
      <c r="A75" s="476" t="s">
        <v>132</v>
      </c>
      <c r="B75" s="611" t="str">
        <f t="shared" ref="B75:B78" si="19">HYPERLINK("https://en.uesp.net/wiki/Skyrim:Butterfly_Wing", "Butterfly Wing ")</f>
        <v>Butterfly Wing </v>
      </c>
      <c r="C75" s="611" t="str">
        <f>HYPERLINK("https://en.uesp.net/wiki/Skyrim:Restore_Health", "Restore Health")</f>
        <v>Restore Health</v>
      </c>
      <c r="D75" s="612"/>
      <c r="E75" s="612"/>
      <c r="F75" s="612"/>
      <c r="G75" s="613">
        <v>3.0</v>
      </c>
      <c r="H75" s="614"/>
    </row>
    <row r="76">
      <c r="A76" s="476" t="s">
        <v>132</v>
      </c>
      <c r="B76" s="611" t="str">
        <f t="shared" si="19"/>
        <v>Butterfly Wing </v>
      </c>
      <c r="C76" s="611" t="str">
        <f>HYPERLINK("https://en.uesp.net/wiki/Skyrim:Fortify_Barter", "Fortify Barter")</f>
        <v>Fortify Barter</v>
      </c>
      <c r="D76" s="612"/>
      <c r="E76" s="612"/>
      <c r="F76" s="612"/>
      <c r="G76" s="613">
        <v>3.0</v>
      </c>
      <c r="H76" s="614"/>
    </row>
    <row r="77">
      <c r="A77" s="476" t="s">
        <v>132</v>
      </c>
      <c r="B77" s="611" t="str">
        <f t="shared" si="19"/>
        <v>Butterfly Wing </v>
      </c>
      <c r="C77" s="611" t="str">
        <f>HYPERLINK("https://en.uesp.net/wiki/Skyrim:Lingering_Damage_Stamina", "Lingering Damage Stamina")</f>
        <v>Lingering Damage Stamina</v>
      </c>
      <c r="D77" s="612"/>
      <c r="E77" s="612"/>
      <c r="F77" s="612"/>
      <c r="G77" s="613">
        <v>3.0</v>
      </c>
      <c r="H77" s="614"/>
    </row>
    <row r="78">
      <c r="A78" s="476" t="s">
        <v>132</v>
      </c>
      <c r="B78" s="611" t="str">
        <f t="shared" si="19"/>
        <v>Butterfly Wing </v>
      </c>
      <c r="C78" s="611" t="str">
        <f>HYPERLINK("https://en.uesp.net/wiki/Skyrim:Damage_Magicka", "Damage Magicka")</f>
        <v>Damage Magicka</v>
      </c>
      <c r="D78" s="612"/>
      <c r="E78" s="612"/>
      <c r="F78" s="612"/>
      <c r="G78" s="613">
        <v>3.0</v>
      </c>
      <c r="H78" s="614"/>
    </row>
    <row r="79">
      <c r="A79" s="476" t="s">
        <v>132</v>
      </c>
      <c r="B79" s="611" t="str">
        <f t="shared" ref="B79:B82" si="20">HYPERLINK("https://en.uesp.net/wiki/Skyrim:Canis_Root", "Canis Root ")</f>
        <v>Canis Root </v>
      </c>
      <c r="C79" s="611" t="str">
        <f>HYPERLINK("https://en.uesp.net/wiki/Skyrim:Damage_Stamina", "Damage Stamina")</f>
        <v>Damage Stamina</v>
      </c>
      <c r="D79" s="612"/>
      <c r="E79" s="612"/>
      <c r="F79" s="612"/>
      <c r="G79" s="613">
        <v>5.0</v>
      </c>
      <c r="H79" s="613">
        <v>4.0</v>
      </c>
    </row>
    <row r="80">
      <c r="A80" s="476" t="s">
        <v>132</v>
      </c>
      <c r="B80" s="611" t="str">
        <f t="shared" si="20"/>
        <v>Canis Root </v>
      </c>
      <c r="C80" s="611" t="str">
        <f>HYPERLINK("https://en.uesp.net/wiki/Skyrim:Fortify_One-handed", "Fortify One-handed")</f>
        <v>Fortify One-handed</v>
      </c>
      <c r="D80" s="612"/>
      <c r="E80" s="612"/>
      <c r="F80" s="612"/>
      <c r="G80" s="613">
        <v>5.0</v>
      </c>
      <c r="H80" s="613">
        <v>4.0</v>
      </c>
    </row>
    <row r="81">
      <c r="A81" s="476" t="s">
        <v>132</v>
      </c>
      <c r="B81" s="611" t="str">
        <f t="shared" si="20"/>
        <v>Canis Root </v>
      </c>
      <c r="C81" s="611" t="str">
        <f>HYPERLINK("https://en.uesp.net/wiki/Skyrim:Fortify_Marksman", "Fortify Marksman")</f>
        <v>Fortify Marksman</v>
      </c>
      <c r="D81" s="612"/>
      <c r="E81" s="612"/>
      <c r="F81" s="612"/>
      <c r="G81" s="613">
        <v>5.0</v>
      </c>
      <c r="H81" s="613">
        <v>4.0</v>
      </c>
    </row>
    <row r="82">
      <c r="A82" s="476" t="s">
        <v>132</v>
      </c>
      <c r="B82" s="611" t="str">
        <f t="shared" si="20"/>
        <v>Canis Root </v>
      </c>
      <c r="C82" s="611" t="str">
        <f>HYPERLINK("https://en.uesp.net/wiki/Skyrim:Paralysis", "Paralysis")</f>
        <v>Paralysis</v>
      </c>
      <c r="D82" s="612"/>
      <c r="E82" s="612"/>
      <c r="F82" s="612"/>
      <c r="G82" s="613">
        <v>5.0</v>
      </c>
      <c r="H82" s="613">
        <v>4.0</v>
      </c>
    </row>
    <row r="83">
      <c r="A83" s="476" t="s">
        <v>132</v>
      </c>
      <c r="B83" s="611" t="str">
        <f t="shared" ref="B83:B86" si="21">HYPERLINK("https://en.uesp.net/wiki/Skyrim:Charred_Skeever_Hide", "Charred Skeever Hide ")</f>
        <v>Charred Skeever Hide </v>
      </c>
      <c r="C83" s="611" t="str">
        <f>HYPERLINK("https://en.uesp.net/wiki/Skyrim:Restore_Stamina", "Restore Stamina")</f>
        <v>Restore Stamina</v>
      </c>
      <c r="D83" s="612"/>
      <c r="E83" s="612"/>
      <c r="F83" s="612"/>
      <c r="G83" s="613">
        <v>1.0</v>
      </c>
      <c r="H83" s="614"/>
    </row>
    <row r="84">
      <c r="A84" s="476" t="s">
        <v>132</v>
      </c>
      <c r="B84" s="611" t="str">
        <f t="shared" si="21"/>
        <v>Charred Skeever Hide </v>
      </c>
      <c r="C84" s="611" t="str">
        <f>HYPERLINK("https://en.uesp.net/wiki/Skyrim:Cure_Disease", "Cure Disease")</f>
        <v>Cure Disease</v>
      </c>
      <c r="D84" s="612"/>
      <c r="E84" s="612"/>
      <c r="F84" s="616">
        <v>0.36</v>
      </c>
      <c r="G84" s="613">
        <v>1.0</v>
      </c>
      <c r="H84" s="614"/>
    </row>
    <row r="85">
      <c r="A85" s="476" t="s">
        <v>132</v>
      </c>
      <c r="B85" s="611" t="str">
        <f t="shared" si="21"/>
        <v>Charred Skeever Hide </v>
      </c>
      <c r="C85" s="611" t="str">
        <f>HYPERLINK("https://en.uesp.net/wiki/Skyrim:Resist_Poison", "Resist Poison")</f>
        <v>Resist Poison</v>
      </c>
      <c r="D85" s="612"/>
      <c r="E85" s="612"/>
      <c r="F85" s="612"/>
      <c r="G85" s="613">
        <v>1.0</v>
      </c>
      <c r="H85" s="614"/>
    </row>
    <row r="86">
      <c r="A86" s="476" t="s">
        <v>132</v>
      </c>
      <c r="B86" s="611" t="str">
        <f t="shared" si="21"/>
        <v>Charred Skeever Hide </v>
      </c>
      <c r="C86" s="611" t="str">
        <f>HYPERLINK("https://en.uesp.net/wiki/Skyrim:Restore_Health", "Restore Health")</f>
        <v>Restore Health</v>
      </c>
      <c r="D86" s="612"/>
      <c r="E86" s="612"/>
      <c r="F86" s="612"/>
      <c r="G86" s="613">
        <v>1.0</v>
      </c>
      <c r="H86" s="614"/>
    </row>
    <row r="87">
      <c r="A87" s="476" t="s">
        <v>132</v>
      </c>
      <c r="B87" s="611" t="str">
        <f t="shared" ref="B87:B90" si="22">HYPERLINK("https://en.uesp.net/wiki/Skyrim:Chaurus_Eggs", "Chaurus Eggs ")</f>
        <v>Chaurus Eggs </v>
      </c>
      <c r="C87" s="611" t="str">
        <f>HYPERLINK("https://en.uesp.net/wiki/Skyrim:Weakness_to_Poison", "Weakness to Poison")</f>
        <v>Weakness to Poison</v>
      </c>
      <c r="D87" s="612"/>
      <c r="E87" s="612"/>
      <c r="F87" s="612"/>
      <c r="G87" s="613">
        <v>10.0</v>
      </c>
      <c r="H87" s="614"/>
    </row>
    <row r="88">
      <c r="A88" s="476" t="s">
        <v>132</v>
      </c>
      <c r="B88" s="611" t="str">
        <f t="shared" si="22"/>
        <v>Chaurus Eggs </v>
      </c>
      <c r="C88" s="611" t="str">
        <f>HYPERLINK("https://en.uesp.net/wiki/Skyrim:Fortify_Stamina", "Fortify Stamina")</f>
        <v>Fortify Stamina</v>
      </c>
      <c r="D88" s="612"/>
      <c r="E88" s="612"/>
      <c r="F88" s="612"/>
      <c r="G88" s="613">
        <v>10.0</v>
      </c>
      <c r="H88" s="614"/>
    </row>
    <row r="89">
      <c r="A89" s="476" t="s">
        <v>132</v>
      </c>
      <c r="B89" s="611" t="str">
        <f t="shared" si="22"/>
        <v>Chaurus Eggs </v>
      </c>
      <c r="C89" s="611" t="str">
        <f>HYPERLINK("https://en.uesp.net/wiki/Skyrim:Damage_Magicka", "Damage Magicka")</f>
        <v>Damage Magicka</v>
      </c>
      <c r="D89" s="612"/>
      <c r="E89" s="612"/>
      <c r="F89" s="612"/>
      <c r="G89" s="613">
        <v>10.0</v>
      </c>
      <c r="H89" s="614"/>
    </row>
    <row r="90">
      <c r="A90" s="476" t="s">
        <v>132</v>
      </c>
      <c r="B90" s="611" t="str">
        <f t="shared" si="22"/>
        <v>Chaurus Eggs </v>
      </c>
      <c r="C90" s="611" t="str">
        <f>HYPERLINK("https://en.uesp.net/wiki/Skyrim:Invisibility", "Invisibility")</f>
        <v>Invisibility</v>
      </c>
      <c r="D90" s="612"/>
      <c r="E90" s="612"/>
      <c r="F90" s="612"/>
      <c r="G90" s="613">
        <v>10.0</v>
      </c>
      <c r="H90" s="614"/>
    </row>
    <row r="91">
      <c r="A91" s="476" t="s">
        <v>132</v>
      </c>
      <c r="B91" s="611" t="str">
        <f t="shared" ref="B91:B94" si="23">HYPERLINK("https://en.uesp.net/wiki/Skyrim:Chaurus_Hunter_Antennae","Chaurus Hunter Antennae (DG)")</f>
        <v>Chaurus Hunter Antennae (DG)</v>
      </c>
      <c r="C91" s="611" t="str">
        <f>HYPERLINK("https://en.uesp.net/wiki/Skyrim:Damage_Stamina", "Damage Stamina")</f>
        <v>Damage Stamina</v>
      </c>
      <c r="D91" s="612"/>
      <c r="E91" s="612"/>
      <c r="F91" s="612"/>
      <c r="G91" s="613">
        <v>2.0</v>
      </c>
      <c r="H91" s="614"/>
    </row>
    <row r="92">
      <c r="A92" s="476" t="s">
        <v>132</v>
      </c>
      <c r="B92" s="611" t="str">
        <f t="shared" si="23"/>
        <v>Chaurus Hunter Antennae (DG)</v>
      </c>
      <c r="C92" s="611" t="str">
        <f>HYPERLINK("https://en.uesp.net/wiki/Skyrim:Fortify_Conjuration", "Fortify Conjuration")</f>
        <v>Fortify Conjuration</v>
      </c>
      <c r="D92" s="612"/>
      <c r="E92" s="612"/>
      <c r="F92" s="612"/>
      <c r="G92" s="613">
        <v>2.0</v>
      </c>
      <c r="H92" s="614"/>
    </row>
    <row r="93">
      <c r="A93" s="476" t="s">
        <v>132</v>
      </c>
      <c r="B93" s="611" t="str">
        <f t="shared" si="23"/>
        <v>Chaurus Hunter Antennae (DG)</v>
      </c>
      <c r="C93" s="611" t="str">
        <f>HYPERLINK("https://en.uesp.net/wiki/Skyrim:Damage_Magicka_Regen", "Damage Magicka Regen")</f>
        <v>Damage Magicka Regen</v>
      </c>
      <c r="D93" s="612"/>
      <c r="E93" s="612"/>
      <c r="F93" s="612"/>
      <c r="G93" s="613">
        <v>2.0</v>
      </c>
      <c r="H93" s="614"/>
    </row>
    <row r="94">
      <c r="A94" s="476" t="s">
        <v>132</v>
      </c>
      <c r="B94" s="611" t="str">
        <f t="shared" si="23"/>
        <v>Chaurus Hunter Antennae (DG)</v>
      </c>
      <c r="C94" s="611" t="str">
        <f>HYPERLINK("https://en.uesp.net/wiki/Skyrim:Fortify_Enchanting", "Fortify Enchanting")</f>
        <v>Fortify Enchanting</v>
      </c>
      <c r="D94" s="612"/>
      <c r="E94" s="612"/>
      <c r="F94" s="612"/>
      <c r="G94" s="613">
        <v>2.0</v>
      </c>
      <c r="H94" s="614"/>
    </row>
    <row r="95">
      <c r="A95" s="476" t="s">
        <v>132</v>
      </c>
      <c r="B95" s="611" t="str">
        <f t="shared" ref="B95:B98" si="24">HYPERLINK("https://en.uesp.net/wiki/Skyrim:Chicken's_Egg", "Chicken's Egg ")</f>
        <v>Chicken's Egg </v>
      </c>
      <c r="C95" s="611" t="str">
        <f>HYPERLINK("https://en.uesp.net/wiki/Skyrim:Resist_Magic", "Resist Magic")</f>
        <v>Resist Magic</v>
      </c>
      <c r="D95" s="612"/>
      <c r="E95" s="612"/>
      <c r="F95" s="612"/>
      <c r="G95" s="613">
        <v>2.0</v>
      </c>
      <c r="H95" s="614"/>
    </row>
    <row r="96">
      <c r="A96" s="476" t="s">
        <v>132</v>
      </c>
      <c r="B96" s="611" t="str">
        <f t="shared" si="24"/>
        <v>Chicken's Egg </v>
      </c>
      <c r="C96" s="611" t="str">
        <f>HYPERLINK("https://en.uesp.net/wiki/Skyrim:Damage_Magicka_Regen", "Damage Magicka Regen")</f>
        <v>Damage Magicka Regen</v>
      </c>
      <c r="D96" s="612"/>
      <c r="E96" s="612"/>
      <c r="F96" s="612"/>
      <c r="G96" s="613">
        <v>2.0</v>
      </c>
      <c r="H96" s="614"/>
    </row>
    <row r="97">
      <c r="A97" s="476" t="s">
        <v>132</v>
      </c>
      <c r="B97" s="611" t="str">
        <f t="shared" si="24"/>
        <v>Chicken's Egg </v>
      </c>
      <c r="C97" s="611" t="str">
        <f>HYPERLINK("https://en.uesp.net/wiki/Skyrim:Waterbreathing", "Waterbreathing")</f>
        <v>Waterbreathing</v>
      </c>
      <c r="D97" s="612"/>
      <c r="E97" s="612"/>
      <c r="F97" s="612"/>
      <c r="G97" s="613">
        <v>2.0</v>
      </c>
      <c r="H97" s="614"/>
    </row>
    <row r="98">
      <c r="A98" s="476" t="s">
        <v>132</v>
      </c>
      <c r="B98" s="611" t="str">
        <f t="shared" si="24"/>
        <v>Chicken's Egg </v>
      </c>
      <c r="C98" s="611" t="str">
        <f>HYPERLINK("https://en.uesp.net/wiki/Skyrim:Lingering_Damage_Stamina", "Lingering Damage Stamina")</f>
        <v>Lingering Damage Stamina</v>
      </c>
      <c r="D98" s="612"/>
      <c r="E98" s="612"/>
      <c r="F98" s="612"/>
      <c r="G98" s="613">
        <v>2.0</v>
      </c>
      <c r="H98" s="614"/>
    </row>
    <row r="99">
      <c r="A99" s="476" t="s">
        <v>132</v>
      </c>
      <c r="B99" s="611" t="str">
        <f t="shared" ref="B99:B102" si="25">HYPERLINK("https://en.uesp.net/wiki/Skyrim:Creep_Cluster", "Creep Cluster ")</f>
        <v>Creep Cluster </v>
      </c>
      <c r="C99" s="611" t="str">
        <f>HYPERLINK("https://en.uesp.net/wiki/Skyrim:Restore_Magicka", "Restore Magicka")</f>
        <v>Restore Magicka</v>
      </c>
      <c r="D99" s="612"/>
      <c r="E99" s="612"/>
      <c r="F99" s="612"/>
      <c r="G99" s="613">
        <v>1.0</v>
      </c>
      <c r="H99" s="613">
        <v>5.0</v>
      </c>
    </row>
    <row r="100">
      <c r="A100" s="476" t="s">
        <v>132</v>
      </c>
      <c r="B100" s="611" t="str">
        <f t="shared" si="25"/>
        <v>Creep Cluster </v>
      </c>
      <c r="C100" s="611" t="str">
        <f>HYPERLINK("https://en.uesp.net/wiki/Skyrim:Damage_Stamina_Regen", "Damage Stamina Regen")</f>
        <v>Damage Stamina Regen</v>
      </c>
      <c r="D100" s="612"/>
      <c r="E100" s="612"/>
      <c r="F100" s="612"/>
      <c r="G100" s="613">
        <v>1.0</v>
      </c>
      <c r="H100" s="613">
        <v>5.0</v>
      </c>
    </row>
    <row r="101">
      <c r="A101" s="476" t="s">
        <v>132</v>
      </c>
      <c r="B101" s="611" t="str">
        <f t="shared" si="25"/>
        <v>Creep Cluster </v>
      </c>
      <c r="C101" s="611" t="str">
        <f>HYPERLINK("https://en.uesp.net/wiki/Skyrim:Fortify_Carry_Weight", "Fortify Carry Weight")</f>
        <v>Fortify Carry Weight</v>
      </c>
      <c r="D101" s="612"/>
      <c r="E101" s="612"/>
      <c r="F101" s="612"/>
      <c r="G101" s="613">
        <v>1.0</v>
      </c>
      <c r="H101" s="613">
        <v>5.0</v>
      </c>
    </row>
    <row r="102">
      <c r="A102" s="476" t="s">
        <v>132</v>
      </c>
      <c r="B102" s="611" t="str">
        <f t="shared" si="25"/>
        <v>Creep Cluster </v>
      </c>
      <c r="C102" s="611" t="str">
        <f>HYPERLINK("https://en.uesp.net/wiki/Skyrim:Weakness_to_Magic", "Weakness to Magic")</f>
        <v>Weakness to Magic</v>
      </c>
      <c r="D102" s="612"/>
      <c r="E102" s="612"/>
      <c r="F102" s="612"/>
      <c r="G102" s="613">
        <v>1.0</v>
      </c>
      <c r="H102" s="613">
        <v>5.0</v>
      </c>
    </row>
    <row r="103">
      <c r="A103" s="476" t="s">
        <v>132</v>
      </c>
      <c r="B103" s="611" t="str">
        <f t="shared" ref="B103:B106" si="26">HYPERLINK("https://en.uesp.net/wiki/Skyrim:Crimson_Nirnroot", "Crimson Nirnroot ")</f>
        <v>Crimson Nirnroot </v>
      </c>
      <c r="C103" s="611" t="str">
        <f>HYPERLINK("https://en.uesp.net/wiki/Skyrim:Damage_Health", "Damage Health")</f>
        <v>Damage Health</v>
      </c>
      <c r="D103" s="616">
        <v>3.0</v>
      </c>
      <c r="E103" s="616"/>
      <c r="F103" s="612"/>
      <c r="G103" s="613">
        <v>10.0</v>
      </c>
      <c r="H103" s="614"/>
    </row>
    <row r="104">
      <c r="A104" s="476" t="s">
        <v>132</v>
      </c>
      <c r="B104" s="611" t="str">
        <f t="shared" si="26"/>
        <v>Crimson Nirnroot </v>
      </c>
      <c r="C104" s="611" t="str">
        <f>HYPERLINK("https://en.uesp.net/wiki/Skyrim:Damage_Stamina", "Damage Stamina")</f>
        <v>Damage Stamina</v>
      </c>
      <c r="D104" s="616">
        <v>3.0</v>
      </c>
      <c r="E104" s="616"/>
      <c r="F104" s="612"/>
      <c r="G104" s="613">
        <v>10.0</v>
      </c>
      <c r="H104" s="614"/>
    </row>
    <row r="105">
      <c r="A105" s="476" t="s">
        <v>132</v>
      </c>
      <c r="B105" s="611" t="str">
        <f t="shared" si="26"/>
        <v>Crimson Nirnroot </v>
      </c>
      <c r="C105" s="611" t="str">
        <f>HYPERLINK("https://en.uesp.net/wiki/Skyrim:Invisibility", "Invisibility")</f>
        <v>Invisibility</v>
      </c>
      <c r="D105" s="612"/>
      <c r="E105" s="612"/>
      <c r="F105" s="612"/>
      <c r="G105" s="613">
        <v>10.0</v>
      </c>
      <c r="H105" s="614"/>
    </row>
    <row r="106">
      <c r="A106" s="476" t="s">
        <v>132</v>
      </c>
      <c r="B106" s="611" t="str">
        <f t="shared" si="26"/>
        <v>Crimson Nirnroot </v>
      </c>
      <c r="C106" s="611" t="str">
        <f>HYPERLINK("https://en.uesp.net/wiki/Skyrim:Resist_Magic", "Resist Magic")</f>
        <v>Resist Magic</v>
      </c>
      <c r="D106" s="612"/>
      <c r="E106" s="612"/>
      <c r="F106" s="612"/>
      <c r="G106" s="613">
        <v>10.0</v>
      </c>
      <c r="H106" s="614"/>
    </row>
    <row r="107">
      <c r="A107" s="476" t="s">
        <v>132</v>
      </c>
      <c r="B107" s="611" t="str">
        <f t="shared" ref="B107:B110" si="27">HYPERLINK("https://en.uesp.net/wiki/Skyrim:Cyrodilic_Spadetail", "Cyrodilic Spadetail ")</f>
        <v>Cyrodilic Spadetail </v>
      </c>
      <c r="C107" s="611" t="str">
        <f>HYPERLINK("https://en.uesp.net/wiki/Skyrim:Damage_Stamina", "Damage Stamina")</f>
        <v>Damage Stamina</v>
      </c>
      <c r="D107" s="612"/>
      <c r="E107" s="612"/>
      <c r="F107" s="612"/>
      <c r="G107" s="613">
        <v>15.0</v>
      </c>
      <c r="H107" s="614"/>
    </row>
    <row r="108">
      <c r="A108" s="476" t="s">
        <v>132</v>
      </c>
      <c r="B108" s="611" t="str">
        <f t="shared" si="27"/>
        <v>Cyrodilic Spadetail </v>
      </c>
      <c r="C108" s="611" t="str">
        <f>HYPERLINK("https://en.uesp.net/wiki/Skyrim:Fortify_Restoration", "Fortify Restoration")</f>
        <v>Fortify Restoration</v>
      </c>
      <c r="D108" s="612"/>
      <c r="E108" s="612"/>
      <c r="F108" s="612"/>
      <c r="G108" s="613">
        <v>15.0</v>
      </c>
      <c r="H108" s="614"/>
    </row>
    <row r="109">
      <c r="A109" s="476" t="s">
        <v>132</v>
      </c>
      <c r="B109" s="611" t="str">
        <f t="shared" si="27"/>
        <v>Cyrodilic Spadetail </v>
      </c>
      <c r="C109" s="611" t="str">
        <f>HYPERLINK("https://en.uesp.net/wiki/Skyrim:Fear", "Fear")</f>
        <v>Fear</v>
      </c>
      <c r="D109" s="612"/>
      <c r="E109" s="612"/>
      <c r="F109" s="612"/>
      <c r="G109" s="613">
        <v>15.0</v>
      </c>
      <c r="H109" s="614"/>
    </row>
    <row r="110">
      <c r="A110" s="476" t="s">
        <v>132</v>
      </c>
      <c r="B110" s="611" t="str">
        <f t="shared" si="27"/>
        <v>Cyrodilic Spadetail </v>
      </c>
      <c r="C110" s="611" t="str">
        <f>HYPERLINK("https://en.uesp.net/wiki/Skyrim:Ravage_Health", "Ravage Health")</f>
        <v>Ravage Health</v>
      </c>
      <c r="D110" s="612"/>
      <c r="E110" s="612"/>
      <c r="F110" s="612"/>
      <c r="G110" s="613">
        <v>15.0</v>
      </c>
      <c r="H110" s="614"/>
    </row>
    <row r="111">
      <c r="A111" s="476" t="s">
        <v>132</v>
      </c>
      <c r="B111" s="611" t="str">
        <f t="shared" ref="B111:B114" si="28">HYPERLINK("https://en.uesp.net/wiki/Skyrim:Daedra_Heart", "Daedra Heart ")</f>
        <v>Daedra Heart </v>
      </c>
      <c r="C111" s="611" t="str">
        <f>HYPERLINK("https://en.uesp.net/wiki/Skyrim:Restore_Health", "Restore Health")</f>
        <v>Restore Health</v>
      </c>
      <c r="D111" s="612"/>
      <c r="E111" s="612"/>
      <c r="F111" s="612"/>
      <c r="G111" s="613">
        <v>250.0</v>
      </c>
      <c r="H111" s="614"/>
    </row>
    <row r="112">
      <c r="A112" s="476" t="s">
        <v>132</v>
      </c>
      <c r="B112" s="611" t="str">
        <f t="shared" si="28"/>
        <v>Daedra Heart </v>
      </c>
      <c r="C112" s="611" t="str">
        <f>HYPERLINK("https://en.uesp.net/wiki/Skyrim:Damage_Stamina_Regen", "Damage Stamina Regen")</f>
        <v>Damage Stamina Regen</v>
      </c>
      <c r="D112" s="612"/>
      <c r="E112" s="612"/>
      <c r="F112" s="612"/>
      <c r="G112" s="613">
        <v>250.0</v>
      </c>
      <c r="H112" s="614"/>
    </row>
    <row r="113">
      <c r="A113" s="476" t="s">
        <v>132</v>
      </c>
      <c r="B113" s="611" t="str">
        <f t="shared" si="28"/>
        <v>Daedra Heart </v>
      </c>
      <c r="C113" s="611" t="str">
        <f>HYPERLINK("https://en.uesp.net/wiki/Skyrim:Damage_Magicka", "Damage Magicka")</f>
        <v>Damage Magicka</v>
      </c>
      <c r="D113" s="612"/>
      <c r="E113" s="612"/>
      <c r="F113" s="612"/>
      <c r="G113" s="613">
        <v>250.0</v>
      </c>
      <c r="H113" s="614"/>
    </row>
    <row r="114">
      <c r="A114" s="476" t="s">
        <v>132</v>
      </c>
      <c r="B114" s="611" t="str">
        <f t="shared" si="28"/>
        <v>Daedra Heart </v>
      </c>
      <c r="C114" s="611" t="str">
        <f>HYPERLINK("https://en.uesp.net/wiki/Skyrim:Fear", "Fear")</f>
        <v>Fear</v>
      </c>
      <c r="D114" s="612"/>
      <c r="E114" s="612"/>
      <c r="F114" s="612"/>
      <c r="G114" s="613">
        <v>250.0</v>
      </c>
      <c r="H114" s="614"/>
    </row>
    <row r="115">
      <c r="A115" s="476" t="s">
        <v>132</v>
      </c>
      <c r="B115" s="611" t="str">
        <f t="shared" ref="B115:B118" si="29">HYPERLINK("https://en.uesp.net/wiki/Skyrim:Deathbell", "Deathbell ")</f>
        <v>Deathbell </v>
      </c>
      <c r="C115" s="611" t="str">
        <f>HYPERLINK("https://en.uesp.net/wiki/Skyrim:Damage_Health", "Damage Health")</f>
        <v>Damage Health</v>
      </c>
      <c r="D115" s="616">
        <v>1.5</v>
      </c>
      <c r="E115" s="616"/>
      <c r="F115" s="612"/>
      <c r="G115" s="613">
        <v>4.0</v>
      </c>
      <c r="H115" s="613">
        <v>3.0</v>
      </c>
    </row>
    <row r="116">
      <c r="A116" s="476" t="s">
        <v>132</v>
      </c>
      <c r="B116" s="611" t="str">
        <f t="shared" si="29"/>
        <v>Deathbell </v>
      </c>
      <c r="C116" s="611" t="str">
        <f>HYPERLINK("https://en.uesp.net/wiki/Skyrim:Ravage_Stamina", "Ravage Stamina")</f>
        <v>Ravage Stamina</v>
      </c>
      <c r="D116" s="612"/>
      <c r="E116" s="612"/>
      <c r="F116" s="616">
        <v>2.1</v>
      </c>
      <c r="G116" s="613">
        <v>4.0</v>
      </c>
      <c r="H116" s="613">
        <v>3.0</v>
      </c>
    </row>
    <row r="117">
      <c r="A117" s="476" t="s">
        <v>132</v>
      </c>
      <c r="B117" s="611" t="str">
        <f t="shared" si="29"/>
        <v>Deathbell </v>
      </c>
      <c r="C117" s="611" t="str">
        <f>HYPERLINK("https://en.uesp.net/wiki/Skyrim:Slow", "Slow")</f>
        <v>Slow</v>
      </c>
      <c r="D117" s="612"/>
      <c r="E117" s="612"/>
      <c r="F117" s="612"/>
      <c r="G117" s="613">
        <v>4.0</v>
      </c>
      <c r="H117" s="613">
        <v>3.0</v>
      </c>
    </row>
    <row r="118">
      <c r="A118" s="476" t="s">
        <v>132</v>
      </c>
      <c r="B118" s="611" t="str">
        <f t="shared" si="29"/>
        <v>Deathbell </v>
      </c>
      <c r="C118" s="611" t="str">
        <f>HYPERLINK("https://en.uesp.net/wiki/Skyrim:Weakness_to_Poison", "Weakness to Poison")</f>
        <v>Weakness to Poison</v>
      </c>
      <c r="D118" s="612"/>
      <c r="E118" s="612"/>
      <c r="F118" s="612"/>
      <c r="G118" s="613">
        <v>4.0</v>
      </c>
      <c r="H118" s="613">
        <v>3.0</v>
      </c>
    </row>
    <row r="119">
      <c r="A119" s="476" t="s">
        <v>132</v>
      </c>
      <c r="B119" s="611" t="str">
        <f t="shared" ref="B119:B122" si="30">HYPERLINK("https://en.uesp.net/wiki/Skyrim:Dragon's_Tongue", "Dragon's Tongue ")</f>
        <v>Dragon's Tongue </v>
      </c>
      <c r="C119" s="611" t="str">
        <f>HYPERLINK("https://en.uesp.net/wiki/Skyrim:Resist_Fire", "Resist Fire")</f>
        <v>Resist Fire</v>
      </c>
      <c r="D119" s="612"/>
      <c r="E119" s="612"/>
      <c r="F119" s="612"/>
      <c r="G119" s="613">
        <v>5.0</v>
      </c>
      <c r="H119" s="613">
        <v>4.0</v>
      </c>
    </row>
    <row r="120">
      <c r="A120" s="476" t="s">
        <v>132</v>
      </c>
      <c r="B120" s="611" t="str">
        <f t="shared" si="30"/>
        <v>Dragon's Tongue </v>
      </c>
      <c r="C120" s="611" t="str">
        <f>HYPERLINK("https://en.uesp.net/wiki/Skyrim:Fortify_Barter", "Fortify Barter")</f>
        <v>Fortify Barter</v>
      </c>
      <c r="D120" s="612"/>
      <c r="E120" s="612"/>
      <c r="F120" s="612"/>
      <c r="G120" s="613">
        <v>5.0</v>
      </c>
      <c r="H120" s="613">
        <v>4.0</v>
      </c>
    </row>
    <row r="121">
      <c r="A121" s="476" t="s">
        <v>132</v>
      </c>
      <c r="B121" s="611" t="str">
        <f t="shared" si="30"/>
        <v>Dragon's Tongue </v>
      </c>
      <c r="C121" s="611" t="str">
        <f>HYPERLINK("https://en.uesp.net/wiki/Skyrim:Fortify_Illusion", "Fortify Illusion")</f>
        <v>Fortify Illusion</v>
      </c>
      <c r="D121" s="612"/>
      <c r="E121" s="612"/>
      <c r="F121" s="612"/>
      <c r="G121" s="613">
        <v>5.0</v>
      </c>
      <c r="H121" s="613">
        <v>4.0</v>
      </c>
    </row>
    <row r="122">
      <c r="A122" s="476" t="s">
        <v>132</v>
      </c>
      <c r="B122" s="611" t="str">
        <f t="shared" si="30"/>
        <v>Dragon's Tongue </v>
      </c>
      <c r="C122" s="611" t="str">
        <f>HYPERLINK("https://en.uesp.net/wiki/Skyrim:Fortify_Two-handed", "Fortify Two-handed")</f>
        <v>Fortify Two-handed</v>
      </c>
      <c r="D122" s="612"/>
      <c r="E122" s="612"/>
      <c r="F122" s="612"/>
      <c r="G122" s="613">
        <v>5.0</v>
      </c>
      <c r="H122" s="613">
        <v>4.0</v>
      </c>
    </row>
    <row r="123">
      <c r="A123" s="476" t="s">
        <v>132</v>
      </c>
      <c r="B123" s="611" t="str">
        <f t="shared" ref="B123:B126" si="31">HYPERLINK("https://en.uesp.net/wiki/Skyrim:Dwarven_Oil", "Dwarven Oil ")</f>
        <v>Dwarven Oil </v>
      </c>
      <c r="C123" s="611" t="str">
        <f>HYPERLINK("https://en.uesp.net/wiki/Skyrim:Weakness_to_Magic", "Weakness to Magic")</f>
        <v>Weakness to Magic</v>
      </c>
      <c r="D123" s="612"/>
      <c r="E123" s="612"/>
      <c r="F123" s="612"/>
      <c r="G123" s="613">
        <v>15.0</v>
      </c>
      <c r="H123" s="614"/>
    </row>
    <row r="124">
      <c r="A124" s="476" t="s">
        <v>132</v>
      </c>
      <c r="B124" s="611" t="str">
        <f t="shared" si="31"/>
        <v>Dwarven Oil </v>
      </c>
      <c r="C124" s="611" t="str">
        <f>HYPERLINK("https://en.uesp.net/wiki/Skyrim:Fortify_Illusion", "Fortify Illusion")</f>
        <v>Fortify Illusion</v>
      </c>
      <c r="D124" s="612"/>
      <c r="E124" s="612"/>
      <c r="F124" s="612"/>
      <c r="G124" s="613">
        <v>15.0</v>
      </c>
      <c r="H124" s="614"/>
    </row>
    <row r="125">
      <c r="A125" s="476" t="s">
        <v>132</v>
      </c>
      <c r="B125" s="611" t="str">
        <f t="shared" si="31"/>
        <v>Dwarven Oil </v>
      </c>
      <c r="C125" s="611" t="str">
        <f>HYPERLINK("https://en.uesp.net/wiki/Skyrim:Regenerate_Magicka", "Regenerate Magicka")</f>
        <v>Regenerate Magicka</v>
      </c>
      <c r="D125" s="612"/>
      <c r="E125" s="612"/>
      <c r="F125" s="612"/>
      <c r="G125" s="613">
        <v>15.0</v>
      </c>
      <c r="H125" s="614"/>
    </row>
    <row r="126">
      <c r="A126" s="476" t="s">
        <v>132</v>
      </c>
      <c r="B126" s="611" t="str">
        <f t="shared" si="31"/>
        <v>Dwarven Oil </v>
      </c>
      <c r="C126" s="611" t="str">
        <f t="shared" ref="C126:C127" si="32">HYPERLINK("https://en.uesp.net/wiki/Skyrim:Restore_Magicka", "Restore Magicka")</f>
        <v>Restore Magicka</v>
      </c>
      <c r="D126" s="612"/>
      <c r="E126" s="612"/>
      <c r="F126" s="612"/>
      <c r="G126" s="613">
        <v>15.0</v>
      </c>
      <c r="H126" s="614"/>
    </row>
    <row r="127">
      <c r="A127" s="476" t="s">
        <v>132</v>
      </c>
      <c r="B127" s="611" t="str">
        <f t="shared" ref="B127:B130" si="33">HYPERLINK("https://en.uesp.net/wiki/Skyrim:Ectoplasm", "Ectoplasm ")</f>
        <v>Ectoplasm </v>
      </c>
      <c r="C127" s="611" t="str">
        <f t="shared" si="32"/>
        <v>Restore Magicka</v>
      </c>
      <c r="D127" s="612"/>
      <c r="E127" s="612"/>
      <c r="F127" s="612"/>
      <c r="G127" s="613">
        <v>25.0</v>
      </c>
      <c r="H127" s="614"/>
    </row>
    <row r="128">
      <c r="A128" s="476" t="s">
        <v>132</v>
      </c>
      <c r="B128" s="611" t="str">
        <f t="shared" si="33"/>
        <v>Ectoplasm </v>
      </c>
      <c r="C128" s="611" t="str">
        <f>HYPERLINK("https://en.uesp.net/wiki/Skyrim:Fortify_Destruction", "Fortify Destruction")</f>
        <v>Fortify Destruction</v>
      </c>
      <c r="D128" s="616">
        <v>0.8</v>
      </c>
      <c r="E128" s="616"/>
      <c r="F128" s="612"/>
      <c r="G128" s="613">
        <v>25.0</v>
      </c>
      <c r="H128" s="614"/>
    </row>
    <row r="129">
      <c r="A129" s="476" t="s">
        <v>132</v>
      </c>
      <c r="B129" s="611" t="str">
        <f t="shared" si="33"/>
        <v>Ectoplasm </v>
      </c>
      <c r="C129" s="611" t="str">
        <f>HYPERLINK("https://en.uesp.net/wiki/Skyrim:Fortify_Magicka", "Fortify Magicka")</f>
        <v>Fortify Magicka</v>
      </c>
      <c r="D129" s="612"/>
      <c r="E129" s="612"/>
      <c r="F129" s="612"/>
      <c r="G129" s="613">
        <v>25.0</v>
      </c>
      <c r="H129" s="614"/>
    </row>
    <row r="130">
      <c r="A130" s="476" t="s">
        <v>132</v>
      </c>
      <c r="B130" s="611" t="str">
        <f t="shared" si="33"/>
        <v>Ectoplasm </v>
      </c>
      <c r="C130" s="611" t="str">
        <f>HYPERLINK("https://en.uesp.net/wiki/Skyrim:Damage_Health", "Damage Health")</f>
        <v>Damage Health</v>
      </c>
      <c r="D130" s="612"/>
      <c r="E130" s="612"/>
      <c r="F130" s="612"/>
      <c r="G130" s="613">
        <v>25.0</v>
      </c>
      <c r="H130" s="614"/>
    </row>
    <row r="131">
      <c r="A131" s="476" t="s">
        <v>132</v>
      </c>
      <c r="B131" s="611" t="str">
        <f t="shared" ref="B131:B134" si="34">HYPERLINK("https://en.uesp.net/wiki/Skyrim:Elves_Ear", "Elves Ear ")</f>
        <v>Elves Ear </v>
      </c>
      <c r="C131" s="611" t="str">
        <f>HYPERLINK("https://en.uesp.net/wiki/Skyrim:Restore_Magicka", "Restore Magicka")</f>
        <v>Restore Magicka</v>
      </c>
      <c r="D131" s="612"/>
      <c r="E131" s="612"/>
      <c r="F131" s="612"/>
      <c r="G131" s="613">
        <v>10.0</v>
      </c>
      <c r="H131" s="614"/>
    </row>
    <row r="132">
      <c r="A132" s="476" t="s">
        <v>132</v>
      </c>
      <c r="B132" s="611" t="str">
        <f t="shared" si="34"/>
        <v>Elves Ear </v>
      </c>
      <c r="C132" s="611" t="str">
        <f>HYPERLINK("https://en.uesp.net/wiki/Skyrim:Fortify_Marksman", "Fortify Marksman")</f>
        <v>Fortify Marksman</v>
      </c>
      <c r="D132" s="612"/>
      <c r="E132" s="612"/>
      <c r="F132" s="612"/>
      <c r="G132" s="613">
        <v>10.0</v>
      </c>
      <c r="H132" s="614"/>
    </row>
    <row r="133">
      <c r="A133" s="476" t="s">
        <v>132</v>
      </c>
      <c r="B133" s="611" t="str">
        <f t="shared" si="34"/>
        <v>Elves Ear </v>
      </c>
      <c r="C133" s="611" t="str">
        <f>HYPERLINK("https://en.uesp.net/wiki/Skyrim:Weakness_to_Frost", "Weakness to Frost")</f>
        <v>Weakness to Frost</v>
      </c>
      <c r="D133" s="612"/>
      <c r="E133" s="612"/>
      <c r="F133" s="612"/>
      <c r="G133" s="613">
        <v>10.0</v>
      </c>
      <c r="H133" s="614"/>
    </row>
    <row r="134">
      <c r="A134" s="476" t="s">
        <v>132</v>
      </c>
      <c r="B134" s="611" t="str">
        <f t="shared" si="34"/>
        <v>Elves Ear </v>
      </c>
      <c r="C134" s="611" t="str">
        <f>HYPERLINK("https://en.uesp.net/wiki/Skyrim:Resist_Fire", "Resist Fire")</f>
        <v>Resist Fire</v>
      </c>
      <c r="D134" s="612"/>
      <c r="E134" s="612"/>
      <c r="F134" s="612"/>
      <c r="G134" s="613">
        <v>10.0</v>
      </c>
      <c r="H134" s="614"/>
    </row>
    <row r="135">
      <c r="A135" s="476" t="s">
        <v>132</v>
      </c>
      <c r="B135" s="611" t="str">
        <f t="shared" ref="B135:B138" si="35">HYPERLINK("https://en.uesp.net/wiki/Skyrim:Emperor_Parasol_Moss","Emperor Parasol Moss (DB)")</f>
        <v>Emperor Parasol Moss (DB)</v>
      </c>
      <c r="C135" s="611" t="str">
        <f>HYPERLINK("https://en.uesp.net/wiki/Skyrim:Damage_Health", "Damage Health")</f>
        <v>Damage Health</v>
      </c>
      <c r="D135" s="616">
        <v>1.5</v>
      </c>
      <c r="E135" s="616"/>
      <c r="F135" s="612"/>
      <c r="G135" s="613">
        <v>1.0</v>
      </c>
      <c r="H135" s="614"/>
    </row>
    <row r="136">
      <c r="A136" s="476" t="s">
        <v>132</v>
      </c>
      <c r="B136" s="611" t="str">
        <f t="shared" si="35"/>
        <v>Emperor Parasol Moss (DB)</v>
      </c>
      <c r="C136" s="611" t="str">
        <f>HYPERLINK("https://en.uesp.net/wiki/Skyrim:Fortify_Magicka", "Fortify Magicka")</f>
        <v>Fortify Magicka</v>
      </c>
      <c r="D136" s="612"/>
      <c r="E136" s="612"/>
      <c r="F136" s="612"/>
      <c r="G136" s="613">
        <v>1.0</v>
      </c>
      <c r="H136" s="614"/>
    </row>
    <row r="137">
      <c r="A137" s="476" t="s">
        <v>132</v>
      </c>
      <c r="B137" s="611" t="str">
        <f t="shared" si="35"/>
        <v>Emperor Parasol Moss (DB)</v>
      </c>
      <c r="C137" s="611" t="str">
        <f>HYPERLINK("https://en.uesp.net/wiki/Skyrim:Regenerate_Health", "Regenerate Health")</f>
        <v>Regenerate Health</v>
      </c>
      <c r="D137" s="612"/>
      <c r="E137" s="612"/>
      <c r="F137" s="612"/>
      <c r="G137" s="613">
        <v>1.0</v>
      </c>
      <c r="H137" s="614"/>
    </row>
    <row r="138">
      <c r="A138" s="476" t="s">
        <v>132</v>
      </c>
      <c r="B138" s="611" t="str">
        <f t="shared" si="35"/>
        <v>Emperor Parasol Moss (DB)</v>
      </c>
      <c r="C138" s="611" t="str">
        <f>HYPERLINK("https://en.uesp.net/wiki/Skyrim:Fortify_Two-handed", "Fortify Two-handed")</f>
        <v>Fortify Two-handed</v>
      </c>
      <c r="D138" s="612"/>
      <c r="E138" s="612"/>
      <c r="F138" s="612"/>
      <c r="G138" s="613">
        <v>1.0</v>
      </c>
      <c r="H138" s="614"/>
    </row>
    <row r="139">
      <c r="A139" s="476" t="s">
        <v>132</v>
      </c>
      <c r="B139" s="611" t="str">
        <f t="shared" ref="B139:B142" si="36">HYPERLINK("https://en.uesp.net/wiki/Skyrim:Eye_of_Sabre_Cat", "Eye of Sabre Cat ")</f>
        <v>Eye of Sabre Cat </v>
      </c>
      <c r="C139" s="611" t="str">
        <f>HYPERLINK("https://en.uesp.net/wiki/Skyrim:Restore_Stamina", "Restore Stamina")</f>
        <v>Restore Stamina</v>
      </c>
      <c r="D139" s="612"/>
      <c r="E139" s="612"/>
      <c r="F139" s="612"/>
      <c r="G139" s="613">
        <v>2.0</v>
      </c>
      <c r="H139" s="614"/>
    </row>
    <row r="140">
      <c r="A140" s="476" t="s">
        <v>132</v>
      </c>
      <c r="B140" s="611" t="str">
        <f t="shared" si="36"/>
        <v>Eye of Sabre Cat </v>
      </c>
      <c r="C140" s="611" t="str">
        <f>HYPERLINK("https://en.uesp.net/wiki/Skyrim:Ravage_Health", "Ravage Health")</f>
        <v>Ravage Health</v>
      </c>
      <c r="D140" s="612"/>
      <c r="E140" s="612"/>
      <c r="F140" s="612"/>
      <c r="G140" s="613">
        <v>2.0</v>
      </c>
      <c r="H140" s="614"/>
    </row>
    <row r="141">
      <c r="A141" s="476" t="s">
        <v>132</v>
      </c>
      <c r="B141" s="611" t="str">
        <f t="shared" si="36"/>
        <v>Eye of Sabre Cat </v>
      </c>
      <c r="C141" s="611" t="str">
        <f>HYPERLINK("https://en.uesp.net/wiki/Skyrim:Damage_Magicka", "Damage Magicka")</f>
        <v>Damage Magicka</v>
      </c>
      <c r="D141" s="612"/>
      <c r="E141" s="612"/>
      <c r="F141" s="612"/>
      <c r="G141" s="613">
        <v>2.0</v>
      </c>
      <c r="H141" s="614"/>
    </row>
    <row r="142">
      <c r="A142" s="476" t="s">
        <v>132</v>
      </c>
      <c r="B142" s="611" t="str">
        <f t="shared" si="36"/>
        <v>Eye of Sabre Cat </v>
      </c>
      <c r="C142" s="611" t="str">
        <f>HYPERLINK("https://en.uesp.net/wiki/Skyrim:Restore_Health", "Restore Health")</f>
        <v>Restore Health</v>
      </c>
      <c r="D142" s="612"/>
      <c r="E142" s="612"/>
      <c r="F142" s="612"/>
      <c r="G142" s="613">
        <v>2.0</v>
      </c>
      <c r="H142" s="614"/>
    </row>
    <row r="143">
      <c r="A143" s="476" t="s">
        <v>132</v>
      </c>
      <c r="B143" s="611" t="str">
        <f t="shared" ref="B143:B146" si="37">HYPERLINK("https://en.uesp.net/wiki/Skyrim:Falmer_Ear", "Falmer Ear ")</f>
        <v>Falmer Ear </v>
      </c>
      <c r="C143" s="611" t="str">
        <f>HYPERLINK("https://en.uesp.net/wiki/Skyrim:Damage_Health", "Damage Health")</f>
        <v>Damage Health</v>
      </c>
      <c r="D143" s="612"/>
      <c r="E143" s="612"/>
      <c r="F143" s="612"/>
      <c r="G143" s="613">
        <v>10.0</v>
      </c>
      <c r="H143" s="614"/>
    </row>
    <row r="144">
      <c r="A144" s="476" t="s">
        <v>132</v>
      </c>
      <c r="B144" s="611" t="str">
        <f t="shared" si="37"/>
        <v>Falmer Ear </v>
      </c>
      <c r="C144" s="611" t="str">
        <f>HYPERLINK("https://en.uesp.net/wiki/Skyrim:Frenzy", "Frenzy")</f>
        <v>Frenzy</v>
      </c>
      <c r="D144" s="612"/>
      <c r="E144" s="612"/>
      <c r="F144" s="612"/>
      <c r="G144" s="613">
        <v>10.0</v>
      </c>
      <c r="H144" s="614"/>
    </row>
    <row r="145">
      <c r="A145" s="476" t="s">
        <v>132</v>
      </c>
      <c r="B145" s="611" t="str">
        <f t="shared" si="37"/>
        <v>Falmer Ear </v>
      </c>
      <c r="C145" s="611" t="str">
        <f>HYPERLINK("https://en.uesp.net/wiki/Skyrim:Resist_Poison", "Resist Poison")</f>
        <v>Resist Poison</v>
      </c>
      <c r="D145" s="612"/>
      <c r="E145" s="612"/>
      <c r="F145" s="612"/>
      <c r="G145" s="613">
        <v>10.0</v>
      </c>
      <c r="H145" s="614"/>
    </row>
    <row r="146">
      <c r="A146" s="476" t="s">
        <v>132</v>
      </c>
      <c r="B146" s="611" t="str">
        <f t="shared" si="37"/>
        <v>Falmer Ear </v>
      </c>
      <c r="C146" s="611" t="str">
        <f>HYPERLINK("https://en.uesp.net/wiki/Skyrim:Fortify_Lockpicking", "Fortify Lockpicking")</f>
        <v>Fortify Lockpicking</v>
      </c>
      <c r="D146" s="612"/>
      <c r="E146" s="612"/>
      <c r="F146" s="612"/>
      <c r="G146" s="613">
        <v>10.0</v>
      </c>
      <c r="H146" s="614"/>
    </row>
    <row r="147">
      <c r="A147" s="476" t="s">
        <v>132</v>
      </c>
      <c r="B147" s="611" t="str">
        <f t="shared" ref="B147:B150" si="38">HYPERLINK("https://en.uesp.net/wiki/Skyrim:Felsaad_Tern_Feathers","Felsaad Tern Feathers (DB)")</f>
        <v>Felsaad Tern Feathers (DB)</v>
      </c>
      <c r="C147" s="611" t="str">
        <f>HYPERLINK("https://en.uesp.net/wiki/Skyrim:Restore_Health", "Restore Health")</f>
        <v>Restore Health</v>
      </c>
      <c r="D147" s="612"/>
      <c r="E147" s="612"/>
      <c r="F147" s="612"/>
      <c r="G147" s="613">
        <v>15.0</v>
      </c>
      <c r="H147" s="614"/>
    </row>
    <row r="148">
      <c r="A148" s="476" t="s">
        <v>132</v>
      </c>
      <c r="B148" s="611" t="str">
        <f t="shared" si="38"/>
        <v>Felsaad Tern Feathers (DB)</v>
      </c>
      <c r="C148" s="611" t="str">
        <f>HYPERLINK("https://en.uesp.net/wiki/Skyrim:Fortify_Light_Armor", "Fortify Light Armor")</f>
        <v>Fortify Light Armor</v>
      </c>
      <c r="D148" s="612"/>
      <c r="E148" s="612"/>
      <c r="F148" s="612"/>
      <c r="G148" s="613">
        <v>15.0</v>
      </c>
      <c r="H148" s="614"/>
    </row>
    <row r="149">
      <c r="A149" s="476" t="s">
        <v>132</v>
      </c>
      <c r="B149" s="611" t="str">
        <f t="shared" si="38"/>
        <v>Felsaad Tern Feathers (DB)</v>
      </c>
      <c r="C149" s="611" t="str">
        <f>HYPERLINK("https://en.uesp.net/wiki/Skyrim:Cure_Disease", "Cure Disease")</f>
        <v>Cure Disease</v>
      </c>
      <c r="D149" s="612"/>
      <c r="E149" s="612"/>
      <c r="F149" s="612"/>
      <c r="G149" s="613">
        <v>15.0</v>
      </c>
      <c r="H149" s="614"/>
    </row>
    <row r="150">
      <c r="A150" s="476" t="s">
        <v>132</v>
      </c>
      <c r="B150" s="611" t="str">
        <f t="shared" si="38"/>
        <v>Felsaad Tern Feathers (DB)</v>
      </c>
      <c r="C150" s="611" t="str">
        <f>HYPERLINK("https://en.uesp.net/wiki/Skyrim:Resist_Magic", "Resist Magic")</f>
        <v>Resist Magic</v>
      </c>
      <c r="D150" s="612"/>
      <c r="E150" s="612"/>
      <c r="F150" s="612"/>
      <c r="G150" s="613">
        <v>15.0</v>
      </c>
      <c r="H150" s="614"/>
    </row>
    <row r="151">
      <c r="A151" s="476" t="s">
        <v>132</v>
      </c>
      <c r="B151" s="611" t="str">
        <f t="shared" ref="B151:B154" si="39">HYPERLINK("https://en.uesp.net/wiki/Skyrim:Fire_Salts", "Fire Salts ")</f>
        <v>Fire Salts </v>
      </c>
      <c r="C151" s="611" t="str">
        <f>HYPERLINK("https://en.uesp.net/wiki/Skyrim:Weakness_to_Frost", "Weakness to Frost")</f>
        <v>Weakness to Frost</v>
      </c>
      <c r="D151" s="612"/>
      <c r="E151" s="612"/>
      <c r="F151" s="612"/>
      <c r="G151" s="613">
        <v>50.0</v>
      </c>
      <c r="H151" s="614"/>
    </row>
    <row r="152">
      <c r="A152" s="476" t="s">
        <v>132</v>
      </c>
      <c r="B152" s="611" t="str">
        <f t="shared" si="39"/>
        <v>Fire Salts </v>
      </c>
      <c r="C152" s="611" t="str">
        <f>HYPERLINK("https://en.uesp.net/wiki/Skyrim:Resist_Fire", "Resist Fire")</f>
        <v>Resist Fire</v>
      </c>
      <c r="D152" s="612"/>
      <c r="E152" s="612"/>
      <c r="F152" s="612"/>
      <c r="G152" s="613">
        <v>50.0</v>
      </c>
      <c r="H152" s="614"/>
    </row>
    <row r="153">
      <c r="A153" s="476" t="s">
        <v>132</v>
      </c>
      <c r="B153" s="611" t="str">
        <f t="shared" si="39"/>
        <v>Fire Salts </v>
      </c>
      <c r="C153" s="611" t="str">
        <f>HYPERLINK("https://en.uesp.net/wiki/Skyrim:Restore_Magicka", "Restore Magicka")</f>
        <v>Restore Magicka</v>
      </c>
      <c r="D153" s="612"/>
      <c r="E153" s="612"/>
      <c r="F153" s="612"/>
      <c r="G153" s="613">
        <v>50.0</v>
      </c>
      <c r="H153" s="614"/>
    </row>
    <row r="154">
      <c r="A154" s="476" t="s">
        <v>132</v>
      </c>
      <c r="B154" s="611" t="str">
        <f t="shared" si="39"/>
        <v>Fire Salts </v>
      </c>
      <c r="C154" s="611" t="str">
        <f>HYPERLINK("https://en.uesp.net/wiki/Skyrim:Regenerate_Magicka", "Regenerate Magicka")</f>
        <v>Regenerate Magicka</v>
      </c>
      <c r="D154" s="612"/>
      <c r="E154" s="612"/>
      <c r="F154" s="612"/>
      <c r="G154" s="613">
        <v>50.0</v>
      </c>
      <c r="H154" s="614"/>
    </row>
    <row r="155">
      <c r="A155" s="476" t="s">
        <v>132</v>
      </c>
      <c r="B155" s="611" t="str">
        <f t="shared" ref="B155:B158" si="40">HYPERLINK("https://en.uesp.net/wiki/Skyrim:Fly_Amanita", "Fly Amanita ")</f>
        <v>Fly Amanita </v>
      </c>
      <c r="C155" s="611" t="str">
        <f>HYPERLINK("https://en.uesp.net/wiki/Skyrim:Resist_Fire", "Resist Fire")</f>
        <v>Resist Fire</v>
      </c>
      <c r="D155" s="612"/>
      <c r="E155" s="612"/>
      <c r="F155" s="612"/>
      <c r="G155" s="613">
        <v>2.0</v>
      </c>
      <c r="H155" s="613">
        <v>4.0</v>
      </c>
    </row>
    <row r="156">
      <c r="A156" s="476" t="s">
        <v>132</v>
      </c>
      <c r="B156" s="611" t="str">
        <f t="shared" si="40"/>
        <v>Fly Amanita </v>
      </c>
      <c r="C156" s="611" t="str">
        <f>HYPERLINK("https://en.uesp.net/wiki/Skyrim:Fortify_Two-handed", "Fortify Two-handed")</f>
        <v>Fortify Two-handed</v>
      </c>
      <c r="D156" s="612"/>
      <c r="E156" s="612"/>
      <c r="F156" s="612"/>
      <c r="G156" s="613">
        <v>2.0</v>
      </c>
      <c r="H156" s="613">
        <v>4.0</v>
      </c>
    </row>
    <row r="157">
      <c r="A157" s="476" t="s">
        <v>132</v>
      </c>
      <c r="B157" s="611" t="str">
        <f t="shared" si="40"/>
        <v>Fly Amanita </v>
      </c>
      <c r="C157" s="611" t="str">
        <f>HYPERLINK("https://en.uesp.net/wiki/Skyrim:Frenzy", "Frenzy")</f>
        <v>Frenzy</v>
      </c>
      <c r="D157" s="612"/>
      <c r="E157" s="612"/>
      <c r="F157" s="612"/>
      <c r="G157" s="613">
        <v>2.0</v>
      </c>
      <c r="H157" s="613">
        <v>4.0</v>
      </c>
    </row>
    <row r="158">
      <c r="A158" s="476" t="s">
        <v>132</v>
      </c>
      <c r="B158" s="611" t="str">
        <f t="shared" si="40"/>
        <v>Fly Amanita </v>
      </c>
      <c r="C158" s="611" t="str">
        <f>HYPERLINK("https://en.uesp.net/wiki/Skyrim:Regenerate_Stamina", "Regenerate Stamina")</f>
        <v>Regenerate Stamina</v>
      </c>
      <c r="D158" s="612"/>
      <c r="E158" s="612"/>
      <c r="F158" s="612"/>
      <c r="G158" s="613">
        <v>2.0</v>
      </c>
      <c r="H158" s="613">
        <v>4.0</v>
      </c>
    </row>
    <row r="159">
      <c r="A159" s="476" t="s">
        <v>132</v>
      </c>
      <c r="B159" s="611" t="str">
        <f t="shared" ref="B159:B162" si="41">HYPERLINK("https://en.uesp.net/wiki/Skyrim:Frost_Mirriam", "Frost Mirriam ")</f>
        <v>Frost Mirriam </v>
      </c>
      <c r="C159" s="611" t="str">
        <f>HYPERLINK("https://en.uesp.net/wiki/Skyrim:Resist_Frost", "Resist Frost")</f>
        <v>Resist Frost</v>
      </c>
      <c r="D159" s="612"/>
      <c r="E159" s="612"/>
      <c r="F159" s="612"/>
      <c r="G159" s="613">
        <v>1.0</v>
      </c>
      <c r="H159" s="614"/>
    </row>
    <row r="160">
      <c r="A160" s="476" t="s">
        <v>132</v>
      </c>
      <c r="B160" s="611" t="str">
        <f t="shared" si="41"/>
        <v>Frost Mirriam </v>
      </c>
      <c r="C160" s="611" t="str">
        <f>HYPERLINK("https://en.uesp.net/wiki/Skyrim:Fortify_Sneak", "Fortify Sneak")</f>
        <v>Fortify Sneak</v>
      </c>
      <c r="D160" s="612"/>
      <c r="E160" s="612"/>
      <c r="F160" s="612"/>
      <c r="G160" s="613">
        <v>1.0</v>
      </c>
      <c r="H160" s="614"/>
    </row>
    <row r="161">
      <c r="A161" s="476" t="s">
        <v>132</v>
      </c>
      <c r="B161" s="611" t="str">
        <f t="shared" si="41"/>
        <v>Frost Mirriam </v>
      </c>
      <c r="C161" s="611" t="str">
        <f>HYPERLINK("https://en.uesp.net/wiki/Skyrim:Ravage_Magicka", "Ravage Magicka")</f>
        <v>Ravage Magicka</v>
      </c>
      <c r="D161" s="612"/>
      <c r="E161" s="612"/>
      <c r="F161" s="612"/>
      <c r="G161" s="613">
        <v>1.0</v>
      </c>
      <c r="H161" s="614"/>
    </row>
    <row r="162">
      <c r="A162" s="476" t="s">
        <v>132</v>
      </c>
      <c r="B162" s="611" t="str">
        <f t="shared" si="41"/>
        <v>Frost Mirriam </v>
      </c>
      <c r="C162" s="611" t="str">
        <f>HYPERLINK("https://en.uesp.net/wiki/Skyrim:Damage_Stamina_Regen", "Damage Stamina Regen")</f>
        <v>Damage Stamina Regen</v>
      </c>
      <c r="D162" s="612"/>
      <c r="E162" s="612"/>
      <c r="F162" s="612"/>
      <c r="G162" s="613">
        <v>1.0</v>
      </c>
      <c r="H162" s="614"/>
    </row>
    <row r="163">
      <c r="A163" s="476" t="s">
        <v>132</v>
      </c>
      <c r="B163" s="611" t="str">
        <f t="shared" ref="B163:B166" si="42">HYPERLINK("https://en.uesp.net/wiki/Skyrim:Frost_Salts", "Frost Salts ")</f>
        <v>Frost Salts </v>
      </c>
      <c r="C163" s="611" t="str">
        <f>HYPERLINK("https://en.uesp.net/wiki/Skyrim:Weakness_to_Fire", "Weakness to Fire")</f>
        <v>Weakness to Fire</v>
      </c>
      <c r="D163" s="612"/>
      <c r="E163" s="612"/>
      <c r="F163" s="612"/>
      <c r="G163" s="613">
        <v>100.0</v>
      </c>
      <c r="H163" s="614"/>
    </row>
    <row r="164">
      <c r="A164" s="476" t="s">
        <v>132</v>
      </c>
      <c r="B164" s="611" t="str">
        <f t="shared" si="42"/>
        <v>Frost Salts </v>
      </c>
      <c r="C164" s="611" t="str">
        <f>HYPERLINK("https://en.uesp.net/wiki/Skyrim:Resist_Frost", "Resist Frost")</f>
        <v>Resist Frost</v>
      </c>
      <c r="D164" s="612"/>
      <c r="E164" s="612"/>
      <c r="F164" s="612"/>
      <c r="G164" s="613">
        <v>100.0</v>
      </c>
      <c r="H164" s="614"/>
    </row>
    <row r="165">
      <c r="A165" s="476" t="s">
        <v>132</v>
      </c>
      <c r="B165" s="611" t="str">
        <f t="shared" si="42"/>
        <v>Frost Salts </v>
      </c>
      <c r="C165" s="611" t="str">
        <f>HYPERLINK("https://en.uesp.net/wiki/Skyrim:Restore_Magicka", "Restore Magicka")</f>
        <v>Restore Magicka</v>
      </c>
      <c r="D165" s="612"/>
      <c r="E165" s="612"/>
      <c r="F165" s="612"/>
      <c r="G165" s="613">
        <v>100.0</v>
      </c>
      <c r="H165" s="614"/>
    </row>
    <row r="166">
      <c r="A166" s="476" t="s">
        <v>132</v>
      </c>
      <c r="B166" s="611" t="str">
        <f t="shared" si="42"/>
        <v>Frost Salts </v>
      </c>
      <c r="C166" s="611" t="str">
        <f>HYPERLINK("https://en.uesp.net/wiki/Skyrim:Fortify_Conjuration", "Fortify Conjuration")</f>
        <v>Fortify Conjuration</v>
      </c>
      <c r="D166" s="612"/>
      <c r="E166" s="612"/>
      <c r="F166" s="612"/>
      <c r="G166" s="613">
        <v>100.0</v>
      </c>
      <c r="H166" s="614"/>
    </row>
    <row r="167">
      <c r="A167" s="476" t="s">
        <v>132</v>
      </c>
      <c r="B167" s="611" t="str">
        <f t="shared" ref="B167:B170" si="43">HYPERLINK("https://en.uesp.net/wiki/Skyrim:Garlic", "Garlic ")</f>
        <v>Garlic </v>
      </c>
      <c r="C167" s="611" t="str">
        <f>HYPERLINK("https://en.uesp.net/wiki/Skyrim:Resist_Poison", "Resist Poison")</f>
        <v>Resist Poison</v>
      </c>
      <c r="D167" s="612"/>
      <c r="E167" s="612"/>
      <c r="F167" s="612"/>
      <c r="G167" s="613">
        <v>1.0</v>
      </c>
      <c r="H167" s="614"/>
    </row>
    <row r="168">
      <c r="A168" s="476" t="s">
        <v>132</v>
      </c>
      <c r="B168" s="611" t="str">
        <f t="shared" si="43"/>
        <v>Garlic </v>
      </c>
      <c r="C168" s="611" t="str">
        <f>HYPERLINK("https://en.uesp.net/wiki/Skyrim:Fortify_Stamina", "Fortify Stamina")</f>
        <v>Fortify Stamina</v>
      </c>
      <c r="D168" s="612"/>
      <c r="E168" s="612"/>
      <c r="F168" s="612"/>
      <c r="G168" s="613">
        <v>1.0</v>
      </c>
      <c r="H168" s="614"/>
    </row>
    <row r="169">
      <c r="A169" s="476" t="s">
        <v>132</v>
      </c>
      <c r="B169" s="611" t="str">
        <f t="shared" si="43"/>
        <v>Garlic </v>
      </c>
      <c r="C169" s="611" t="str">
        <f>HYPERLINK("https://en.uesp.net/wiki/Skyrim:Regenerate_Magicka", "Regenerate Magicka")</f>
        <v>Regenerate Magicka</v>
      </c>
      <c r="D169" s="612"/>
      <c r="E169" s="612"/>
      <c r="F169" s="612"/>
      <c r="G169" s="613">
        <v>1.0</v>
      </c>
      <c r="H169" s="614"/>
    </row>
    <row r="170">
      <c r="A170" s="476" t="s">
        <v>132</v>
      </c>
      <c r="B170" s="611" t="str">
        <f t="shared" si="43"/>
        <v>Garlic </v>
      </c>
      <c r="C170" s="611" t="str">
        <f>HYPERLINK("https://en.uesp.net/wiki/Skyrim:Regenerate_Health", "Regenerate Health")</f>
        <v>Regenerate Health</v>
      </c>
      <c r="D170" s="612"/>
      <c r="E170" s="612"/>
      <c r="F170" s="612"/>
      <c r="G170" s="613">
        <v>1.0</v>
      </c>
      <c r="H170" s="614"/>
    </row>
    <row r="171">
      <c r="A171" s="476" t="s">
        <v>132</v>
      </c>
      <c r="B171" s="611" t="str">
        <f t="shared" ref="B171:B174" si="44">HYPERLINK("https://en.uesp.net/wiki/Skyrim:Giant_Lichen", "Giant Lichen ")</f>
        <v>Giant Lichen </v>
      </c>
      <c r="C171" s="611" t="str">
        <f>HYPERLINK("https://en.uesp.net/wiki/Skyrim:Weakness_to_Shock", "Weakness to Shock")</f>
        <v>Weakness to Shock</v>
      </c>
      <c r="D171" s="612"/>
      <c r="E171" s="612"/>
      <c r="F171" s="612"/>
      <c r="G171" s="613">
        <v>5.0</v>
      </c>
      <c r="H171" s="613">
        <v>4.0</v>
      </c>
    </row>
    <row r="172">
      <c r="A172" s="476" t="s">
        <v>132</v>
      </c>
      <c r="B172" s="611" t="str">
        <f t="shared" si="44"/>
        <v>Giant Lichen </v>
      </c>
      <c r="C172" s="611" t="str">
        <f>HYPERLINK("https://en.uesp.net/wiki/Skyrim:Ravage_Health", "Ravage Health")</f>
        <v>Ravage Health</v>
      </c>
      <c r="D172" s="612"/>
      <c r="E172" s="612"/>
      <c r="F172" s="612"/>
      <c r="G172" s="613">
        <v>5.0</v>
      </c>
      <c r="H172" s="613">
        <v>4.0</v>
      </c>
    </row>
    <row r="173">
      <c r="A173" s="476" t="s">
        <v>132</v>
      </c>
      <c r="B173" s="611" t="str">
        <f t="shared" si="44"/>
        <v>Giant Lichen </v>
      </c>
      <c r="C173" s="611" t="str">
        <f>HYPERLINK("https://en.uesp.net/wiki/Skyrim:Weakness_to_Poison", "Weakness to Poison")</f>
        <v>Weakness to Poison</v>
      </c>
      <c r="D173" s="612"/>
      <c r="E173" s="612"/>
      <c r="F173" s="612"/>
      <c r="G173" s="613">
        <v>5.0</v>
      </c>
      <c r="H173" s="613">
        <v>4.0</v>
      </c>
    </row>
    <row r="174">
      <c r="A174" s="476" t="s">
        <v>132</v>
      </c>
      <c r="B174" s="611" t="str">
        <f t="shared" si="44"/>
        <v>Giant Lichen </v>
      </c>
      <c r="C174" s="611" t="str">
        <f>HYPERLINK("https://en.uesp.net/wiki/Skyrim:Restore_Magicka", "Restore Magicka")</f>
        <v>Restore Magicka</v>
      </c>
      <c r="D174" s="612"/>
      <c r="E174" s="612"/>
      <c r="F174" s="612"/>
      <c r="G174" s="613">
        <v>5.0</v>
      </c>
      <c r="H174" s="613">
        <v>4.0</v>
      </c>
    </row>
    <row r="175">
      <c r="A175" s="476" t="s">
        <v>132</v>
      </c>
      <c r="B175" s="611" t="str">
        <f t="shared" ref="B175:B178" si="45">HYPERLINK("https://en.uesp.net/wiki/Skyrim:Giant's_Toe", "Giant's Toe ")</f>
        <v>Giant's Toe </v>
      </c>
      <c r="C175" s="611" t="str">
        <f>HYPERLINK("https://en.uesp.net/wiki/Skyrim:Damage_Stamina", "Damage Stamina")</f>
        <v>Damage Stamina</v>
      </c>
      <c r="D175" s="612"/>
      <c r="E175" s="612"/>
      <c r="F175" s="612"/>
      <c r="G175" s="613">
        <v>20.0</v>
      </c>
      <c r="H175" s="614"/>
    </row>
    <row r="176">
      <c r="A176" s="476" t="s">
        <v>132</v>
      </c>
      <c r="B176" s="611" t="str">
        <f t="shared" si="45"/>
        <v>Giant's Toe </v>
      </c>
      <c r="C176" s="611" t="str">
        <f>HYPERLINK("https://en.uesp.net/wiki/Skyrim:Fortify_Health", "Fortify Health")</f>
        <v>Fortify Health</v>
      </c>
      <c r="D176" s="616"/>
      <c r="E176" s="616">
        <v>5.0</v>
      </c>
      <c r="F176" s="616">
        <v>5.9</v>
      </c>
      <c r="G176" s="613">
        <v>20.0</v>
      </c>
      <c r="H176" s="614"/>
    </row>
    <row r="177">
      <c r="A177" s="476" t="s">
        <v>132</v>
      </c>
      <c r="B177" s="611" t="str">
        <f t="shared" si="45"/>
        <v>Giant's Toe </v>
      </c>
      <c r="C177" s="611" t="str">
        <f>HYPERLINK("https://en.uesp.net/wiki/Skyrim:Fortify_Carry_Weight", "Fortify Carry Weight")</f>
        <v>Fortify Carry Weight</v>
      </c>
      <c r="D177" s="612"/>
      <c r="E177" s="612"/>
      <c r="F177" s="612"/>
      <c r="G177" s="613">
        <v>20.0</v>
      </c>
      <c r="H177" s="614"/>
    </row>
    <row r="178">
      <c r="A178" s="476" t="s">
        <v>132</v>
      </c>
      <c r="B178" s="611" t="str">
        <f t="shared" si="45"/>
        <v>Giant's Toe </v>
      </c>
      <c r="C178" s="611" t="str">
        <f>HYPERLINK("https://en.uesp.net/wiki/Skyrim:Damage_Stamina_Regen", "Damage Stamina Regen")</f>
        <v>Damage Stamina Regen</v>
      </c>
      <c r="D178" s="612"/>
      <c r="E178" s="612"/>
      <c r="F178" s="612"/>
      <c r="G178" s="613">
        <v>20.0</v>
      </c>
      <c r="H178" s="614"/>
    </row>
    <row r="179">
      <c r="A179" s="476" t="s">
        <v>132</v>
      </c>
      <c r="B179" s="611" t="str">
        <f t="shared" ref="B179:B182" si="46">HYPERLINK("https://en.uesp.net/wiki/Skyrim:Gleamblossom","Gleamblossom (DG)")</f>
        <v>Gleamblossom (DG)</v>
      </c>
      <c r="C179" s="611" t="str">
        <f>HYPERLINK("https://en.uesp.net/wiki/Skyrim:Resist_Magic", "Resist Magic")</f>
        <v>Resist Magic</v>
      </c>
      <c r="D179" s="612"/>
      <c r="E179" s="612"/>
      <c r="F179" s="612"/>
      <c r="G179" s="613">
        <v>5.0</v>
      </c>
      <c r="H179" s="614"/>
    </row>
    <row r="180">
      <c r="A180" s="476" t="s">
        <v>132</v>
      </c>
      <c r="B180" s="611" t="str">
        <f t="shared" si="46"/>
        <v>Gleamblossom (DG)</v>
      </c>
      <c r="C180" s="611" t="str">
        <f>HYPERLINK("https://en.uesp.net/wiki/Skyrim:Fear", "Fear")</f>
        <v>Fear</v>
      </c>
      <c r="D180" s="612"/>
      <c r="E180" s="612"/>
      <c r="F180" s="612"/>
      <c r="G180" s="613">
        <v>5.0</v>
      </c>
      <c r="H180" s="614"/>
    </row>
    <row r="181">
      <c r="A181" s="476" t="s">
        <v>132</v>
      </c>
      <c r="B181" s="611" t="str">
        <f t="shared" si="46"/>
        <v>Gleamblossom (DG)</v>
      </c>
      <c r="C181" s="611" t="str">
        <f>HYPERLINK("https://en.uesp.net/wiki/Skyrim:Regenerate_Health", "Regenerate Health")</f>
        <v>Regenerate Health</v>
      </c>
      <c r="D181" s="612"/>
      <c r="E181" s="612"/>
      <c r="F181" s="612"/>
      <c r="G181" s="613">
        <v>5.0</v>
      </c>
      <c r="H181" s="614"/>
    </row>
    <row r="182">
      <c r="A182" s="476" t="s">
        <v>132</v>
      </c>
      <c r="B182" s="611" t="str">
        <f t="shared" si="46"/>
        <v>Gleamblossom (DG)</v>
      </c>
      <c r="C182" s="611" t="str">
        <f>HYPERLINK("https://en.uesp.net/wiki/Skyrim:Paralysis", "Paralysis")</f>
        <v>Paralysis</v>
      </c>
      <c r="D182" s="612"/>
      <c r="E182" s="612"/>
      <c r="F182" s="612"/>
      <c r="G182" s="613">
        <v>5.0</v>
      </c>
      <c r="H182" s="614"/>
    </row>
    <row r="183">
      <c r="A183" s="476" t="s">
        <v>132</v>
      </c>
      <c r="B183" s="611" t="str">
        <f t="shared" ref="B183:B186" si="47">HYPERLINK("https://en.uesp.net/wiki/Skyrim:Glow_Dust", "Glow Dust ")</f>
        <v>Glow Dust </v>
      </c>
      <c r="C183" s="611" t="str">
        <f>HYPERLINK("https://en.uesp.net/wiki/Skyrim:Damage_Magicka", "Damage Magicka")</f>
        <v>Damage Magicka</v>
      </c>
      <c r="D183" s="612"/>
      <c r="E183" s="612"/>
      <c r="F183" s="612"/>
      <c r="G183" s="613">
        <v>20.0</v>
      </c>
      <c r="H183" s="614"/>
    </row>
    <row r="184">
      <c r="A184" s="476" t="s">
        <v>132</v>
      </c>
      <c r="B184" s="611" t="str">
        <f t="shared" si="47"/>
        <v>Glow Dust </v>
      </c>
      <c r="C184" s="611" t="str">
        <f>HYPERLINK("https://en.uesp.net/wiki/Skyrim:Damage_Magicka_Regen", "Damage Magicka Regen")</f>
        <v>Damage Magicka Regen</v>
      </c>
      <c r="D184" s="612"/>
      <c r="E184" s="612"/>
      <c r="F184" s="612"/>
      <c r="G184" s="613">
        <v>20.0</v>
      </c>
      <c r="H184" s="614"/>
    </row>
    <row r="185">
      <c r="A185" s="476" t="s">
        <v>132</v>
      </c>
      <c r="B185" s="611" t="str">
        <f t="shared" si="47"/>
        <v>Glow Dust </v>
      </c>
      <c r="C185" s="611" t="str">
        <f>HYPERLINK("https://en.uesp.net/wiki/Skyrim:Fortify_Destruction", "Fortify Destruction")</f>
        <v>Fortify Destruction</v>
      </c>
      <c r="D185" s="612"/>
      <c r="E185" s="612"/>
      <c r="F185" s="612"/>
      <c r="G185" s="613">
        <v>20.0</v>
      </c>
      <c r="H185" s="614"/>
    </row>
    <row r="186">
      <c r="A186" s="476" t="s">
        <v>132</v>
      </c>
      <c r="B186" s="611" t="str">
        <f t="shared" si="47"/>
        <v>Glow Dust </v>
      </c>
      <c r="C186" s="611" t="str">
        <f t="shared" ref="C186:C187" si="48">HYPERLINK("https://en.uesp.net/wiki/Skyrim:Resist_Shock", "Resist Shock")</f>
        <v>Resist Shock</v>
      </c>
      <c r="D186" s="612"/>
      <c r="E186" s="612"/>
      <c r="F186" s="612"/>
      <c r="G186" s="613">
        <v>20.0</v>
      </c>
      <c r="H186" s="614"/>
    </row>
    <row r="187">
      <c r="A187" s="476" t="s">
        <v>132</v>
      </c>
      <c r="B187" s="611" t="str">
        <f t="shared" ref="B187:B190" si="49">HYPERLINK("https://en.uesp.net/wiki/Skyrim:Glowing_Mushroom", "Glowing Mushroom ")</f>
        <v>Glowing Mushroom </v>
      </c>
      <c r="C187" s="611" t="str">
        <f t="shared" si="48"/>
        <v>Resist Shock</v>
      </c>
      <c r="D187" s="612"/>
      <c r="E187" s="612"/>
      <c r="F187" s="612"/>
      <c r="G187" s="613">
        <v>5.0</v>
      </c>
      <c r="H187" s="613">
        <v>5.0</v>
      </c>
    </row>
    <row r="188">
      <c r="A188" s="476" t="s">
        <v>132</v>
      </c>
      <c r="B188" s="611" t="str">
        <f t="shared" si="49"/>
        <v>Glowing Mushroom </v>
      </c>
      <c r="C188" s="611" t="str">
        <f>HYPERLINK("https://en.uesp.net/wiki/Skyrim:Fortify_Destruction", "Fortify Destruction")</f>
        <v>Fortify Destruction</v>
      </c>
      <c r="D188" s="612"/>
      <c r="E188" s="612"/>
      <c r="F188" s="612"/>
      <c r="G188" s="613">
        <v>5.0</v>
      </c>
      <c r="H188" s="613">
        <v>5.0</v>
      </c>
    </row>
    <row r="189">
      <c r="A189" s="476" t="s">
        <v>132</v>
      </c>
      <c r="B189" s="611" t="str">
        <f t="shared" si="49"/>
        <v>Glowing Mushroom </v>
      </c>
      <c r="C189" s="611" t="str">
        <f>HYPERLINK("https://en.uesp.net/wiki/Skyrim:Fortify_Smithing", "Fortify Smithing")</f>
        <v>Fortify Smithing</v>
      </c>
      <c r="D189" s="612"/>
      <c r="E189" s="612"/>
      <c r="F189" s="612"/>
      <c r="G189" s="613">
        <v>5.0</v>
      </c>
      <c r="H189" s="613">
        <v>5.0</v>
      </c>
    </row>
    <row r="190">
      <c r="A190" s="476" t="s">
        <v>132</v>
      </c>
      <c r="B190" s="611" t="str">
        <f t="shared" si="49"/>
        <v>Glowing Mushroom </v>
      </c>
      <c r="C190" s="611" t="str">
        <f>HYPERLINK("https://en.uesp.net/wiki/Skyrim:Fortify_Health", "Fortify Health")</f>
        <v>Fortify Health</v>
      </c>
      <c r="D190" s="612"/>
      <c r="E190" s="612"/>
      <c r="F190" s="612"/>
      <c r="G190" s="613">
        <v>5.0</v>
      </c>
      <c r="H190" s="613">
        <v>5.0</v>
      </c>
    </row>
    <row r="191">
      <c r="A191" s="476" t="s">
        <v>132</v>
      </c>
      <c r="B191" s="611" t="str">
        <f t="shared" ref="B191:B194" si="50">HYPERLINK("https://en.uesp.net/wiki/Skyrim:Grass_Pod", "Grass Pod ")</f>
        <v>Grass Pod </v>
      </c>
      <c r="C191" s="611" t="str">
        <f>HYPERLINK("https://en.uesp.net/wiki/Skyrim:Resist_Poison", "Resist Poison")</f>
        <v>Resist Poison</v>
      </c>
      <c r="D191" s="612"/>
      <c r="E191" s="612"/>
      <c r="F191" s="612"/>
      <c r="G191" s="613">
        <v>1.0</v>
      </c>
      <c r="H191" s="613">
        <v>3.0</v>
      </c>
    </row>
    <row r="192">
      <c r="A192" s="476" t="s">
        <v>132</v>
      </c>
      <c r="B192" s="611" t="str">
        <f t="shared" si="50"/>
        <v>Grass Pod </v>
      </c>
      <c r="C192" s="611" t="str">
        <f>HYPERLINK("https://en.uesp.net/wiki/Skyrim:Ravage_Magicka", "Ravage Magicka")</f>
        <v>Ravage Magicka</v>
      </c>
      <c r="D192" s="612"/>
      <c r="E192" s="612"/>
      <c r="F192" s="612"/>
      <c r="G192" s="613">
        <v>1.0</v>
      </c>
      <c r="H192" s="613">
        <v>3.0</v>
      </c>
    </row>
    <row r="193">
      <c r="A193" s="476" t="s">
        <v>132</v>
      </c>
      <c r="B193" s="611" t="str">
        <f t="shared" si="50"/>
        <v>Grass Pod </v>
      </c>
      <c r="C193" s="611" t="str">
        <f>HYPERLINK("https://en.uesp.net/wiki/Skyrim:Fortify_Alteration", "Fortify Alteration")</f>
        <v>Fortify Alteration</v>
      </c>
      <c r="D193" s="612"/>
      <c r="E193" s="612"/>
      <c r="F193" s="612"/>
      <c r="G193" s="613">
        <v>1.0</v>
      </c>
      <c r="H193" s="613">
        <v>3.0</v>
      </c>
    </row>
    <row r="194">
      <c r="A194" s="476" t="s">
        <v>132</v>
      </c>
      <c r="B194" s="611" t="str">
        <f t="shared" si="50"/>
        <v>Grass Pod </v>
      </c>
      <c r="C194" s="611" t="str">
        <f>HYPERLINK("https://en.uesp.net/wiki/Skyrim:Restore_Magicka", "Restore Magicka")</f>
        <v>Restore Magicka</v>
      </c>
      <c r="D194" s="612"/>
      <c r="E194" s="612"/>
      <c r="F194" s="612"/>
      <c r="G194" s="613">
        <v>1.0</v>
      </c>
      <c r="H194" s="613">
        <v>3.0</v>
      </c>
    </row>
    <row r="195">
      <c r="A195" s="476" t="s">
        <v>132</v>
      </c>
      <c r="B195" s="611" t="str">
        <f t="shared" ref="B195:B198" si="51">HYPERLINK("https://en.uesp.net/wiki/Skyrim:Hagraven_Claw", "Hagraven Claw ")</f>
        <v>Hagraven Claw </v>
      </c>
      <c r="C195" s="611" t="str">
        <f>HYPERLINK("https://en.uesp.net/wiki/Skyrim:Resist_Magic", "Resist Magic")</f>
        <v>Resist Magic</v>
      </c>
      <c r="D195" s="612"/>
      <c r="E195" s="612"/>
      <c r="F195" s="612"/>
      <c r="G195" s="613">
        <v>20.0</v>
      </c>
      <c r="H195" s="614"/>
    </row>
    <row r="196">
      <c r="A196" s="476" t="s">
        <v>132</v>
      </c>
      <c r="B196" s="611" t="str">
        <f t="shared" si="51"/>
        <v>Hagraven Claw </v>
      </c>
      <c r="C196" s="611" t="str">
        <f>HYPERLINK("https://en.uesp.net/wiki/Skyrim:Lingering_Damage_Magicka", "Lingering Damage Magicka")</f>
        <v>Lingering Damage Magicka</v>
      </c>
      <c r="D196" s="612"/>
      <c r="E196" s="612"/>
      <c r="F196" s="612"/>
      <c r="G196" s="613">
        <v>20.0</v>
      </c>
      <c r="H196" s="614"/>
    </row>
    <row r="197">
      <c r="A197" s="476" t="s">
        <v>132</v>
      </c>
      <c r="B197" s="611" t="str">
        <f t="shared" si="51"/>
        <v>Hagraven Claw </v>
      </c>
      <c r="C197" s="611" t="str">
        <f>HYPERLINK("https://en.uesp.net/wiki/Skyrim:Fortify_Enchanting", "Fortify Enchanting")</f>
        <v>Fortify Enchanting</v>
      </c>
      <c r="D197" s="612"/>
      <c r="E197" s="612"/>
      <c r="F197" s="612"/>
      <c r="G197" s="613">
        <v>20.0</v>
      </c>
      <c r="H197" s="614"/>
    </row>
    <row r="198">
      <c r="A198" s="476" t="s">
        <v>132</v>
      </c>
      <c r="B198" s="611" t="str">
        <f t="shared" si="51"/>
        <v>Hagraven Claw </v>
      </c>
      <c r="C198" s="611" t="str">
        <f>HYPERLINK("https://en.uesp.net/wiki/Skyrim:Fortify_Barter", "Fortify Barter")</f>
        <v>Fortify Barter</v>
      </c>
      <c r="D198" s="612"/>
      <c r="E198" s="612"/>
      <c r="F198" s="612"/>
      <c r="G198" s="613">
        <v>20.0</v>
      </c>
      <c r="H198" s="614"/>
    </row>
    <row r="199">
      <c r="A199" s="476" t="s">
        <v>132</v>
      </c>
      <c r="B199" s="611" t="str">
        <f t="shared" ref="B199:B202" si="52">HYPERLINK("https://en.uesp.net/wiki/Skyrim:Hagraven_Feathers", "Hagraven Feathers ")</f>
        <v>Hagraven Feathers </v>
      </c>
      <c r="C199" s="611" t="str">
        <f>HYPERLINK("https://en.uesp.net/wiki/Skyrim:Damage_Magicka", "Damage Magicka")</f>
        <v>Damage Magicka</v>
      </c>
      <c r="D199" s="612"/>
      <c r="E199" s="612"/>
      <c r="F199" s="612"/>
      <c r="G199" s="613">
        <v>20.0</v>
      </c>
      <c r="H199" s="614"/>
    </row>
    <row r="200">
      <c r="A200" s="476" t="s">
        <v>132</v>
      </c>
      <c r="B200" s="611" t="str">
        <f t="shared" si="52"/>
        <v>Hagraven Feathers </v>
      </c>
      <c r="C200" s="611" t="str">
        <f>HYPERLINK("https://en.uesp.net/wiki/Skyrim:Fortify_Conjuration", "Fortify Conjuration")</f>
        <v>Fortify Conjuration</v>
      </c>
      <c r="D200" s="612"/>
      <c r="E200" s="612"/>
      <c r="F200" s="612"/>
      <c r="G200" s="613">
        <v>20.0</v>
      </c>
      <c r="H200" s="614"/>
    </row>
    <row r="201">
      <c r="A201" s="476" t="s">
        <v>132</v>
      </c>
      <c r="B201" s="611" t="str">
        <f t="shared" si="52"/>
        <v>Hagraven Feathers </v>
      </c>
      <c r="C201" s="611" t="str">
        <f>HYPERLINK("https://en.uesp.net/wiki/Skyrim:Frenzy", "Frenzy")</f>
        <v>Frenzy</v>
      </c>
      <c r="D201" s="612"/>
      <c r="E201" s="612"/>
      <c r="F201" s="612"/>
      <c r="G201" s="613">
        <v>20.0</v>
      </c>
      <c r="H201" s="614"/>
    </row>
    <row r="202">
      <c r="A202" s="476" t="s">
        <v>132</v>
      </c>
      <c r="B202" s="611" t="str">
        <f t="shared" si="52"/>
        <v>Hagraven Feathers </v>
      </c>
      <c r="C202" s="611" t="str">
        <f>HYPERLINK("https://en.uesp.net/wiki/Skyrim:Weakness_to_Shock", "Weakness to Shock")</f>
        <v>Weakness to Shock</v>
      </c>
      <c r="D202" s="612"/>
      <c r="E202" s="612"/>
      <c r="F202" s="612"/>
      <c r="G202" s="613">
        <v>20.0</v>
      </c>
      <c r="H202" s="614"/>
    </row>
    <row r="203">
      <c r="A203" s="476" t="s">
        <v>132</v>
      </c>
      <c r="B203" s="611" t="str">
        <f t="shared" ref="B203:B206" si="53">HYPERLINK("https://en.uesp.net/wiki/Skyrim:Hanging_Moss", "Hanging Moss ")</f>
        <v>Hanging Moss </v>
      </c>
      <c r="C203" s="611" t="str">
        <f>HYPERLINK("https://en.uesp.net/wiki/Skyrim:Damage_Magicka", "Damage Magicka")</f>
        <v>Damage Magicka</v>
      </c>
      <c r="D203" s="612"/>
      <c r="E203" s="612"/>
      <c r="F203" s="612"/>
      <c r="G203" s="613">
        <v>1.0</v>
      </c>
      <c r="H203" s="614"/>
    </row>
    <row r="204">
      <c r="A204" s="476" t="s">
        <v>132</v>
      </c>
      <c r="B204" s="611" t="str">
        <f t="shared" si="53"/>
        <v>Hanging Moss </v>
      </c>
      <c r="C204" s="611" t="str">
        <f>HYPERLINK("https://en.uesp.net/wiki/Skyrim:Fortify_Health", "Fortify Health")</f>
        <v>Fortify Health</v>
      </c>
      <c r="D204" s="612"/>
      <c r="E204" s="612"/>
      <c r="F204" s="612"/>
      <c r="G204" s="613">
        <v>1.0</v>
      </c>
      <c r="H204" s="614"/>
    </row>
    <row r="205">
      <c r="A205" s="476" t="s">
        <v>132</v>
      </c>
      <c r="B205" s="611" t="str">
        <f t="shared" si="53"/>
        <v>Hanging Moss </v>
      </c>
      <c r="C205" s="611" t="str">
        <f>HYPERLINK("https://en.uesp.net/wiki/Skyrim:Damage_Magicka_Regen", "Damage Magicka Regen")</f>
        <v>Damage Magicka Regen</v>
      </c>
      <c r="D205" s="612"/>
      <c r="E205" s="612"/>
      <c r="F205" s="612"/>
      <c r="G205" s="613">
        <v>1.0</v>
      </c>
      <c r="H205" s="614"/>
    </row>
    <row r="206">
      <c r="A206" s="476" t="s">
        <v>132</v>
      </c>
      <c r="B206" s="611" t="str">
        <f t="shared" si="53"/>
        <v>Hanging Moss </v>
      </c>
      <c r="C206" s="611" t="str">
        <f>HYPERLINK("https://en.uesp.net/wiki/Skyrim:Fortify_One-handed", "Fortify One-handed")</f>
        <v>Fortify One-handed</v>
      </c>
      <c r="D206" s="612"/>
      <c r="E206" s="612"/>
      <c r="F206" s="612"/>
      <c r="G206" s="613">
        <v>1.0</v>
      </c>
      <c r="H206" s="614"/>
    </row>
    <row r="207">
      <c r="A207" s="476" t="s">
        <v>132</v>
      </c>
      <c r="B207" s="611" t="str">
        <f t="shared" ref="B207:B210" si="54">HYPERLINK("https://en.uesp.net/wiki/Skyrim:Hawk_Beak", "Hawk Beak ")</f>
        <v>Hawk Beak </v>
      </c>
      <c r="C207" s="611" t="str">
        <f>HYPERLINK("https://en.uesp.net/wiki/Skyrim:Restore_Stamina", "Restore Stamina")</f>
        <v>Restore Stamina</v>
      </c>
      <c r="D207" s="612"/>
      <c r="E207" s="612"/>
      <c r="F207" s="612"/>
      <c r="G207" s="613">
        <v>15.0</v>
      </c>
      <c r="H207" s="614"/>
    </row>
    <row r="208">
      <c r="A208" s="476" t="s">
        <v>132</v>
      </c>
      <c r="B208" s="611" t="str">
        <f t="shared" si="54"/>
        <v>Hawk Beak </v>
      </c>
      <c r="C208" s="611" t="str">
        <f>HYPERLINK("https://en.uesp.net/wiki/Skyrim:Resist_Frost", "Resist Frost")</f>
        <v>Resist Frost</v>
      </c>
      <c r="D208" s="612"/>
      <c r="E208" s="612"/>
      <c r="F208" s="612"/>
      <c r="G208" s="613">
        <v>15.0</v>
      </c>
      <c r="H208" s="614"/>
    </row>
    <row r="209">
      <c r="A209" s="476" t="s">
        <v>132</v>
      </c>
      <c r="B209" s="611" t="str">
        <f t="shared" si="54"/>
        <v>Hawk Beak </v>
      </c>
      <c r="C209" s="611" t="str">
        <f>HYPERLINK("https://en.uesp.net/wiki/Skyrim:Fortify_Carry_Weight", "Fortify Carry Weight")</f>
        <v>Fortify Carry Weight</v>
      </c>
      <c r="D209" s="612"/>
      <c r="E209" s="612"/>
      <c r="F209" s="612"/>
      <c r="G209" s="613">
        <v>15.0</v>
      </c>
      <c r="H209" s="614"/>
    </row>
    <row r="210">
      <c r="A210" s="476" t="s">
        <v>132</v>
      </c>
      <c r="B210" s="611" t="str">
        <f t="shared" si="54"/>
        <v>Hawk Beak </v>
      </c>
      <c r="C210" s="611" t="str">
        <f>HYPERLINK("https://en.uesp.net/wiki/Skyrim:Resist_Shock", "Resist Shock")</f>
        <v>Resist Shock</v>
      </c>
      <c r="D210" s="612"/>
      <c r="E210" s="612"/>
      <c r="F210" s="612"/>
      <c r="G210" s="613">
        <v>15.0</v>
      </c>
      <c r="H210" s="614"/>
    </row>
    <row r="211">
      <c r="A211" s="476" t="s">
        <v>132</v>
      </c>
      <c r="B211" s="611" t="str">
        <f t="shared" ref="B211:B214" si="55">HYPERLINK("https://en.uesp.net/wiki/Skyrim:Hawk_Feathers", "Hawk Feathers ")</f>
        <v>Hawk Feathers </v>
      </c>
      <c r="C211" s="611" t="str">
        <f>HYPERLINK("https://en.uesp.net/wiki/Skyrim:Cure_Disease", "Cure Disease")</f>
        <v>Cure Disease</v>
      </c>
      <c r="D211" s="616">
        <v>0.36</v>
      </c>
      <c r="E211" s="616"/>
      <c r="F211" s="612"/>
      <c r="G211" s="613">
        <v>15.0</v>
      </c>
      <c r="H211" s="614"/>
    </row>
    <row r="212">
      <c r="A212" s="476" t="s">
        <v>132</v>
      </c>
      <c r="B212" s="611" t="str">
        <f t="shared" si="55"/>
        <v>Hawk Feathers </v>
      </c>
      <c r="C212" s="611" t="str">
        <f>HYPERLINK("https://en.uesp.net/wiki/Skyrim:Fortify_Light_Armor", "Fortify Light Armor")</f>
        <v>Fortify Light Armor</v>
      </c>
      <c r="D212" s="612"/>
      <c r="E212" s="612"/>
      <c r="F212" s="612"/>
      <c r="G212" s="613">
        <v>15.0</v>
      </c>
      <c r="H212" s="614"/>
    </row>
    <row r="213">
      <c r="A213" s="476" t="s">
        <v>132</v>
      </c>
      <c r="B213" s="611" t="str">
        <f t="shared" si="55"/>
        <v>Hawk Feathers </v>
      </c>
      <c r="C213" s="611" t="str">
        <f>HYPERLINK("https://en.uesp.net/wiki/Skyrim:Fortify_One-handed", "Fortify One-handed")</f>
        <v>Fortify One-handed</v>
      </c>
      <c r="D213" s="612"/>
      <c r="E213" s="612"/>
      <c r="F213" s="612"/>
      <c r="G213" s="613">
        <v>15.0</v>
      </c>
      <c r="H213" s="614"/>
    </row>
    <row r="214">
      <c r="A214" s="476" t="s">
        <v>132</v>
      </c>
      <c r="B214" s="611" t="str">
        <f t="shared" si="55"/>
        <v>Hawk Feathers </v>
      </c>
      <c r="C214" s="611" t="str">
        <f>HYPERLINK("https://en.uesp.net/wiki/Skyrim:Fortify_Sneak", "Fortify Sneak")</f>
        <v>Fortify Sneak</v>
      </c>
      <c r="D214" s="612"/>
      <c r="E214" s="612"/>
      <c r="F214" s="612"/>
      <c r="G214" s="613">
        <v>15.0</v>
      </c>
      <c r="H214" s="614"/>
    </row>
    <row r="215">
      <c r="A215" s="476" t="s">
        <v>132</v>
      </c>
      <c r="B215" s="611" t="str">
        <f t="shared" ref="B215:B218" si="56">HYPERLINK("https://en.uesp.net/wiki/Skyrim:Hawk%27s_Egg","Hawk's Egg (HF)")</f>
        <v>Hawk's Egg (HF)</v>
      </c>
      <c r="C215" s="611" t="str">
        <f>HYPERLINK("https://en.uesp.net/wiki/Skyrim:Resist_Magic", "Resist Magic")</f>
        <v>Resist Magic</v>
      </c>
      <c r="D215" s="612"/>
      <c r="E215" s="612"/>
      <c r="F215" s="612"/>
      <c r="G215" s="613">
        <v>5.0</v>
      </c>
      <c r="H215" s="614"/>
    </row>
    <row r="216">
      <c r="A216" s="476" t="s">
        <v>132</v>
      </c>
      <c r="B216" s="611" t="str">
        <f t="shared" si="56"/>
        <v>Hawk's Egg (HF)</v>
      </c>
      <c r="C216" s="611" t="str">
        <f>HYPERLINK("https://en.uesp.net/wiki/Skyrim:Damage_Magicka_Regen", "Damage Magicka Regen")</f>
        <v>Damage Magicka Regen</v>
      </c>
      <c r="D216" s="612"/>
      <c r="E216" s="612"/>
      <c r="F216" s="612"/>
      <c r="G216" s="613">
        <v>5.0</v>
      </c>
      <c r="H216" s="614"/>
    </row>
    <row r="217">
      <c r="A217" s="476" t="s">
        <v>132</v>
      </c>
      <c r="B217" s="611" t="str">
        <f t="shared" si="56"/>
        <v>Hawk's Egg (HF)</v>
      </c>
      <c r="C217" s="611" t="str">
        <f>HYPERLINK("https://en.uesp.net/wiki/Skyrim:Waterbreathing", "Waterbreathing")</f>
        <v>Waterbreathing</v>
      </c>
      <c r="D217" s="612"/>
      <c r="E217" s="612"/>
      <c r="F217" s="612"/>
      <c r="G217" s="613">
        <v>5.0</v>
      </c>
      <c r="H217" s="614"/>
    </row>
    <row r="218">
      <c r="A218" s="476" t="s">
        <v>132</v>
      </c>
      <c r="B218" s="611" t="str">
        <f t="shared" si="56"/>
        <v>Hawk's Egg (HF)</v>
      </c>
      <c r="C218" s="611" t="str">
        <f>HYPERLINK("https://en.uesp.net/wiki/Skyrim:Lingering_Damage_Stamina", "Lingering Damage Stamina")</f>
        <v>Lingering Damage Stamina</v>
      </c>
      <c r="D218" s="612"/>
      <c r="E218" s="612"/>
      <c r="F218" s="612"/>
      <c r="G218" s="613">
        <v>5.0</v>
      </c>
      <c r="H218" s="614"/>
    </row>
    <row r="219">
      <c r="A219" s="476" t="s">
        <v>132</v>
      </c>
      <c r="B219" s="611" t="str">
        <f t="shared" ref="B219:B222" si="57">HYPERLINK("https://en.uesp.net/wiki/Skyrim:Histcarp", "Histcarp ")</f>
        <v>Histcarp </v>
      </c>
      <c r="C219" s="611" t="str">
        <f>HYPERLINK("https://en.uesp.net/wiki/Skyrim:Restore_Stamina", "Restore Stamina")</f>
        <v>Restore Stamina</v>
      </c>
      <c r="D219" s="612"/>
      <c r="E219" s="612"/>
      <c r="F219" s="612"/>
      <c r="G219" s="613">
        <v>6.0</v>
      </c>
      <c r="H219" s="614"/>
    </row>
    <row r="220">
      <c r="A220" s="476" t="s">
        <v>132</v>
      </c>
      <c r="B220" s="611" t="str">
        <f t="shared" si="57"/>
        <v>Histcarp </v>
      </c>
      <c r="C220" s="611" t="str">
        <f>HYPERLINK("https://en.uesp.net/wiki/Skyrim:Fortify_Magicka", "Fortify Magicka")</f>
        <v>Fortify Magicka</v>
      </c>
      <c r="D220" s="612"/>
      <c r="E220" s="612"/>
      <c r="F220" s="612"/>
      <c r="G220" s="613">
        <v>6.0</v>
      </c>
      <c r="H220" s="614"/>
    </row>
    <row r="221">
      <c r="A221" s="476" t="s">
        <v>132</v>
      </c>
      <c r="B221" s="611" t="str">
        <f t="shared" si="57"/>
        <v>Histcarp </v>
      </c>
      <c r="C221" s="611" t="str">
        <f>HYPERLINK("https://en.uesp.net/wiki/Skyrim:Damage_Stamina_Regen", "Damage Stamina Regen")</f>
        <v>Damage Stamina Regen</v>
      </c>
      <c r="D221" s="612"/>
      <c r="E221" s="612"/>
      <c r="F221" s="612"/>
      <c r="G221" s="613">
        <v>6.0</v>
      </c>
      <c r="H221" s="614"/>
    </row>
    <row r="222">
      <c r="A222" s="476" t="s">
        <v>132</v>
      </c>
      <c r="B222" s="611" t="str">
        <f t="shared" si="57"/>
        <v>Histcarp </v>
      </c>
      <c r="C222" s="611" t="str">
        <f>HYPERLINK("https://en.uesp.net/wiki/Skyrim:Waterbreathing", "Waterbreathing")</f>
        <v>Waterbreathing</v>
      </c>
      <c r="D222" s="612"/>
      <c r="E222" s="612"/>
      <c r="F222" s="612"/>
      <c r="G222" s="613">
        <v>6.0</v>
      </c>
      <c r="H222" s="614"/>
    </row>
    <row r="223">
      <c r="A223" s="476" t="s">
        <v>132</v>
      </c>
      <c r="B223" s="611" t="str">
        <f t="shared" ref="B223:B226" si="58">HYPERLINK("https://en.uesp.net/wiki/Skyrim:Honeycomb", "Honeycomb ")</f>
        <v>Honeycomb </v>
      </c>
      <c r="C223" s="611" t="str">
        <f>HYPERLINK("https://en.uesp.net/wiki/Skyrim:Restore_Stamina", "Restore Stamina")</f>
        <v>Restore Stamina</v>
      </c>
      <c r="D223" s="612"/>
      <c r="E223" s="612"/>
      <c r="F223" s="612"/>
      <c r="G223" s="613">
        <v>5.0</v>
      </c>
      <c r="H223" s="614"/>
    </row>
    <row r="224">
      <c r="A224" s="476" t="s">
        <v>132</v>
      </c>
      <c r="B224" s="611" t="str">
        <f t="shared" si="58"/>
        <v>Honeycomb </v>
      </c>
      <c r="C224" s="611" t="str">
        <f>HYPERLINK("https://en.uesp.net/wiki/Skyrim:Fortify_Block", "Fortify Block")</f>
        <v>Fortify Block</v>
      </c>
      <c r="D224" s="616">
        <v>0.5</v>
      </c>
      <c r="E224" s="616"/>
      <c r="F224" s="612"/>
      <c r="G224" s="613">
        <v>5.0</v>
      </c>
      <c r="H224" s="614"/>
    </row>
    <row r="225">
      <c r="A225" s="476" t="s">
        <v>132</v>
      </c>
      <c r="B225" s="611" t="str">
        <f t="shared" si="58"/>
        <v>Honeycomb </v>
      </c>
      <c r="C225" s="611" t="str">
        <f>HYPERLINK("https://en.uesp.net/wiki/Skyrim:Fortify_Light_Armor", "Fortify Light Armor")</f>
        <v>Fortify Light Armor</v>
      </c>
      <c r="D225" s="612"/>
      <c r="E225" s="612"/>
      <c r="F225" s="612"/>
      <c r="G225" s="613">
        <v>5.0</v>
      </c>
      <c r="H225" s="614"/>
    </row>
    <row r="226">
      <c r="A226" s="476" t="s">
        <v>132</v>
      </c>
      <c r="B226" s="611" t="str">
        <f t="shared" si="58"/>
        <v>Honeycomb </v>
      </c>
      <c r="C226" s="611" t="str">
        <f>HYPERLINK("https://en.uesp.net/wiki/Skyrim:Ravage_Stamina", "Ravage Stamina")</f>
        <v>Ravage Stamina</v>
      </c>
      <c r="D226" s="612"/>
      <c r="E226" s="612"/>
      <c r="F226" s="612"/>
      <c r="G226" s="613">
        <v>5.0</v>
      </c>
      <c r="H226" s="614"/>
    </row>
    <row r="227">
      <c r="A227" s="476" t="s">
        <v>132</v>
      </c>
      <c r="B227" s="611" t="str">
        <f t="shared" ref="B227:B230" si="59">HYPERLINK("https://en.uesp.net/wiki/Skyrim:Human_Flesh", "Human Flesh ")</f>
        <v>Human Flesh </v>
      </c>
      <c r="C227" s="611" t="str">
        <f>HYPERLINK("https://en.uesp.net/wiki/Skyrim:Damage_Health", "Damage Health")</f>
        <v>Damage Health</v>
      </c>
      <c r="D227" s="612"/>
      <c r="E227" s="612"/>
      <c r="F227" s="612"/>
      <c r="G227" s="613">
        <v>1.0</v>
      </c>
      <c r="H227" s="614"/>
    </row>
    <row r="228">
      <c r="A228" s="476" t="s">
        <v>132</v>
      </c>
      <c r="B228" s="611" t="str">
        <f t="shared" si="59"/>
        <v>Human Flesh </v>
      </c>
      <c r="C228" s="611" t="str">
        <f>HYPERLINK("https://en.uesp.net/wiki/Skyrim:Paralysis", "Paralysis")</f>
        <v>Paralysis</v>
      </c>
      <c r="D228" s="612"/>
      <c r="E228" s="612"/>
      <c r="F228" s="612"/>
      <c r="G228" s="613">
        <v>1.0</v>
      </c>
      <c r="H228" s="614"/>
    </row>
    <row r="229">
      <c r="A229" s="476" t="s">
        <v>132</v>
      </c>
      <c r="B229" s="611" t="str">
        <f t="shared" si="59"/>
        <v>Human Flesh </v>
      </c>
      <c r="C229" s="611" t="str">
        <f>HYPERLINK("https://en.uesp.net/wiki/Skyrim:Restore_Magicka", "Restore Magicka")</f>
        <v>Restore Magicka</v>
      </c>
      <c r="D229" s="612"/>
      <c r="E229" s="612"/>
      <c r="F229" s="612"/>
      <c r="G229" s="613">
        <v>1.0</v>
      </c>
      <c r="H229" s="614"/>
    </row>
    <row r="230">
      <c r="A230" s="476" t="s">
        <v>132</v>
      </c>
      <c r="B230" s="611" t="str">
        <f t="shared" si="59"/>
        <v>Human Flesh </v>
      </c>
      <c r="C230" s="611" t="str">
        <f>HYPERLINK("https://en.uesp.net/wiki/Skyrim:Fortify_Sneak", "Fortify Sneak")</f>
        <v>Fortify Sneak</v>
      </c>
      <c r="D230" s="612"/>
      <c r="E230" s="612"/>
      <c r="F230" s="612"/>
      <c r="G230" s="613">
        <v>1.0</v>
      </c>
      <c r="H230" s="614"/>
    </row>
    <row r="231">
      <c r="A231" s="476" t="s">
        <v>132</v>
      </c>
      <c r="B231" s="611" t="str">
        <f t="shared" ref="B231:B234" si="60">HYPERLINK("https://en.uesp.net/wiki/Skyrim:Human_Heart", "Human Heart ")</f>
        <v>Human Heart </v>
      </c>
      <c r="C231" s="611" t="str">
        <f>HYPERLINK("https://en.uesp.net/wiki/Skyrim:Damage_Health", "Damage Health")</f>
        <v>Damage Health</v>
      </c>
      <c r="D231" s="612"/>
      <c r="E231" s="612"/>
      <c r="F231" s="612"/>
      <c r="G231" s="613">
        <v>0.0</v>
      </c>
      <c r="H231" s="614"/>
    </row>
    <row r="232">
      <c r="A232" s="476" t="s">
        <v>132</v>
      </c>
      <c r="B232" s="611" t="str">
        <f t="shared" si="60"/>
        <v>Human Heart </v>
      </c>
      <c r="C232" s="611" t="str">
        <f>HYPERLINK("https://en.uesp.net/wiki/Skyrim:Damage_Magicka", "Damage Magicka")</f>
        <v>Damage Magicka</v>
      </c>
      <c r="D232" s="612"/>
      <c r="E232" s="612"/>
      <c r="F232" s="612"/>
      <c r="G232" s="613">
        <v>0.0</v>
      </c>
      <c r="H232" s="614"/>
    </row>
    <row r="233">
      <c r="A233" s="476" t="s">
        <v>132</v>
      </c>
      <c r="B233" s="611" t="str">
        <f t="shared" si="60"/>
        <v>Human Heart </v>
      </c>
      <c r="C233" s="611" t="str">
        <f>HYPERLINK("https://en.uesp.net/wiki/Skyrim:Damage_Magicka_Regen", "Damage Magicka Regen")</f>
        <v>Damage Magicka Regen</v>
      </c>
      <c r="D233" s="612"/>
      <c r="E233" s="612"/>
      <c r="F233" s="612"/>
      <c r="G233" s="613">
        <v>0.0</v>
      </c>
      <c r="H233" s="614"/>
    </row>
    <row r="234">
      <c r="A234" s="476" t="s">
        <v>132</v>
      </c>
      <c r="B234" s="611" t="str">
        <f t="shared" si="60"/>
        <v>Human Heart </v>
      </c>
      <c r="C234" s="611" t="str">
        <f>HYPERLINK("https://en.uesp.net/wiki/Skyrim:Frenzy", "Frenzy")</f>
        <v>Frenzy</v>
      </c>
      <c r="D234" s="612"/>
      <c r="E234" s="612"/>
      <c r="F234" s="612"/>
      <c r="G234" s="613">
        <v>0.0</v>
      </c>
      <c r="H234" s="614"/>
    </row>
    <row r="235">
      <c r="A235" s="476" t="s">
        <v>132</v>
      </c>
      <c r="B235" s="611" t="str">
        <f t="shared" ref="B235:B238" si="61">HYPERLINK("https://en.uesp.net/wiki/Skyrim:Ice_Wraith_Teeth", "Ice Wraith Teeth ")</f>
        <v>Ice Wraith Teeth </v>
      </c>
      <c r="C235" s="611" t="str">
        <f>HYPERLINK("https://en.uesp.net/wiki/Skyrim:Weakness_to_Frost", "Weakness to Frost")</f>
        <v>Weakness to Frost</v>
      </c>
      <c r="D235" s="612"/>
      <c r="E235" s="612"/>
      <c r="F235" s="612"/>
      <c r="G235" s="613">
        <v>30.0</v>
      </c>
      <c r="H235" s="614"/>
    </row>
    <row r="236">
      <c r="A236" s="476" t="s">
        <v>132</v>
      </c>
      <c r="B236" s="611" t="str">
        <f t="shared" si="61"/>
        <v>Ice Wraith Teeth </v>
      </c>
      <c r="C236" s="611" t="str">
        <f>HYPERLINK("https://en.uesp.net/wiki/Skyrim:Fortify_Heavy_Armor", "Fortify Heavy Armor")</f>
        <v>Fortify Heavy Armor</v>
      </c>
      <c r="D236" s="612"/>
      <c r="E236" s="612"/>
      <c r="F236" s="612"/>
      <c r="G236" s="613">
        <v>30.0</v>
      </c>
      <c r="H236" s="614"/>
    </row>
    <row r="237">
      <c r="A237" s="476" t="s">
        <v>132</v>
      </c>
      <c r="B237" s="611" t="str">
        <f t="shared" si="61"/>
        <v>Ice Wraith Teeth </v>
      </c>
      <c r="C237" s="611" t="str">
        <f>HYPERLINK("https://en.uesp.net/wiki/Skyrim:Invisibility", "Invisibility")</f>
        <v>Invisibility</v>
      </c>
      <c r="D237" s="612"/>
      <c r="E237" s="612"/>
      <c r="F237" s="612"/>
      <c r="G237" s="613">
        <v>30.0</v>
      </c>
      <c r="H237" s="614"/>
    </row>
    <row r="238">
      <c r="A238" s="476" t="s">
        <v>132</v>
      </c>
      <c r="B238" s="611" t="str">
        <f t="shared" si="61"/>
        <v>Ice Wraith Teeth </v>
      </c>
      <c r="C238" s="611" t="str">
        <f>HYPERLINK("https://en.uesp.net/wiki/Skyrim:Weakness_to_Fire", "Weakness to Fire")</f>
        <v>Weakness to Fire</v>
      </c>
      <c r="D238" s="612"/>
      <c r="E238" s="612"/>
      <c r="F238" s="612"/>
      <c r="G238" s="613">
        <v>30.0</v>
      </c>
      <c r="H238" s="614"/>
    </row>
    <row r="239">
      <c r="A239" s="476" t="s">
        <v>132</v>
      </c>
      <c r="B239" s="611" t="str">
        <f t="shared" ref="B239:B242" si="62">HYPERLINK("https://en.uesp.net/wiki/Skyrim:Imp_Stool", "Imp Stool ")</f>
        <v>Imp Stool </v>
      </c>
      <c r="C239" s="611" t="str">
        <f>HYPERLINK("https://en.uesp.net/wiki/Skyrim:Damage_Health", "Damage Health")</f>
        <v>Damage Health</v>
      </c>
      <c r="D239" s="612"/>
      <c r="E239" s="612"/>
      <c r="F239" s="612"/>
      <c r="G239" s="613">
        <v>0.0</v>
      </c>
      <c r="H239" s="613">
        <v>4.0</v>
      </c>
    </row>
    <row r="240">
      <c r="A240" s="476" t="s">
        <v>132</v>
      </c>
      <c r="B240" s="611" t="str">
        <f t="shared" si="62"/>
        <v>Imp Stool </v>
      </c>
      <c r="C240" s="611" t="str">
        <f>HYPERLINK("https://en.uesp.net/wiki/Skyrim:Lingering_Damage_Health", "Lingering Damage Health")</f>
        <v>Lingering Damage Health</v>
      </c>
      <c r="D240" s="612"/>
      <c r="E240" s="612"/>
      <c r="F240" s="612"/>
      <c r="G240" s="613">
        <v>0.0</v>
      </c>
      <c r="H240" s="613">
        <v>4.0</v>
      </c>
    </row>
    <row r="241">
      <c r="A241" s="476" t="s">
        <v>132</v>
      </c>
      <c r="B241" s="611" t="str">
        <f t="shared" si="62"/>
        <v>Imp Stool </v>
      </c>
      <c r="C241" s="611" t="str">
        <f>HYPERLINK("https://en.uesp.net/wiki/Skyrim:Paralysis", "Paralysis")</f>
        <v>Paralysis</v>
      </c>
      <c r="D241" s="612"/>
      <c r="E241" s="612"/>
      <c r="F241" s="612"/>
      <c r="G241" s="613">
        <v>0.0</v>
      </c>
      <c r="H241" s="613">
        <v>4.0</v>
      </c>
    </row>
    <row r="242">
      <c r="A242" s="476" t="s">
        <v>132</v>
      </c>
      <c r="B242" s="611" t="str">
        <f t="shared" si="62"/>
        <v>Imp Stool </v>
      </c>
      <c r="C242" s="611" t="str">
        <f>HYPERLINK("https://en.uesp.net/wiki/Skyrim:Restore_Health", "Restore Health")</f>
        <v>Restore Health</v>
      </c>
      <c r="D242" s="616">
        <v>0.6</v>
      </c>
      <c r="E242" s="616"/>
      <c r="F242" s="616">
        <v>0.57</v>
      </c>
      <c r="G242" s="613">
        <v>0.0</v>
      </c>
      <c r="H242" s="613">
        <v>4.0</v>
      </c>
    </row>
    <row r="243">
      <c r="A243" s="476" t="s">
        <v>132</v>
      </c>
      <c r="B243" s="611" t="str">
        <f t="shared" ref="B243:B246" si="63">HYPERLINK("https://en.uesp.net/wiki/Skyrim:Jazbay_Grapes", "Jazbay Grapes ")</f>
        <v>Jazbay Grapes </v>
      </c>
      <c r="C243" s="611" t="str">
        <f>HYPERLINK("https://en.uesp.net/wiki/Skyrim:Weakness_to_Magic", "Weakness to Magic")</f>
        <v>Weakness to Magic</v>
      </c>
      <c r="D243" s="612"/>
      <c r="E243" s="612"/>
      <c r="F243" s="612"/>
      <c r="G243" s="613">
        <v>1.0</v>
      </c>
      <c r="H243" s="613">
        <v>3.0</v>
      </c>
    </row>
    <row r="244">
      <c r="A244" s="476" t="s">
        <v>132</v>
      </c>
      <c r="B244" s="611" t="str">
        <f t="shared" si="63"/>
        <v>Jazbay Grapes </v>
      </c>
      <c r="C244" s="611" t="str">
        <f>HYPERLINK("https://en.uesp.net/wiki/Skyrim:Fortify_Magicka", "Fortify Magicka")</f>
        <v>Fortify Magicka</v>
      </c>
      <c r="D244" s="612"/>
      <c r="E244" s="612"/>
      <c r="F244" s="612"/>
      <c r="G244" s="613">
        <v>1.0</v>
      </c>
      <c r="H244" s="613">
        <v>3.0</v>
      </c>
    </row>
    <row r="245">
      <c r="A245" s="476" t="s">
        <v>132</v>
      </c>
      <c r="B245" s="611" t="str">
        <f t="shared" si="63"/>
        <v>Jazbay Grapes </v>
      </c>
      <c r="C245" s="611" t="str">
        <f>HYPERLINK("https://en.uesp.net/wiki/Skyrim:Regenerate_Magicka", "Regenerate Magicka")</f>
        <v>Regenerate Magicka</v>
      </c>
      <c r="D245" s="612"/>
      <c r="E245" s="612"/>
      <c r="F245" s="612"/>
      <c r="G245" s="613">
        <v>1.0</v>
      </c>
      <c r="H245" s="613">
        <v>3.0</v>
      </c>
    </row>
    <row r="246">
      <c r="A246" s="476" t="s">
        <v>132</v>
      </c>
      <c r="B246" s="611" t="str">
        <f t="shared" si="63"/>
        <v>Jazbay Grapes </v>
      </c>
      <c r="C246" s="611" t="str">
        <f>HYPERLINK("https://en.uesp.net/wiki/Skyrim:Ravage_Health", "Ravage Health")</f>
        <v>Ravage Health</v>
      </c>
      <c r="D246" s="612"/>
      <c r="E246" s="612"/>
      <c r="F246" s="612"/>
      <c r="G246" s="613">
        <v>1.0</v>
      </c>
      <c r="H246" s="613">
        <v>3.0</v>
      </c>
    </row>
    <row r="247">
      <c r="A247" s="476" t="s">
        <v>132</v>
      </c>
      <c r="B247" s="611" t="str">
        <f t="shared" ref="B247:B250" si="64">HYPERLINK("https://en.uesp.net/wiki/Skyrim:Juniper_Berries", "Juniper Berries ")</f>
        <v>Juniper Berries </v>
      </c>
      <c r="C247" s="611" t="str">
        <f>HYPERLINK("https://en.uesp.net/wiki/Skyrim:Weakness_to_Fire", "Weakness to Fire")</f>
        <v>Weakness to Fire</v>
      </c>
      <c r="D247" s="612"/>
      <c r="E247" s="612"/>
      <c r="F247" s="612"/>
      <c r="G247" s="613">
        <v>1.0</v>
      </c>
      <c r="H247" s="613">
        <v>4.0</v>
      </c>
    </row>
    <row r="248">
      <c r="A248" s="476" t="s">
        <v>132</v>
      </c>
      <c r="B248" s="611" t="str">
        <f t="shared" si="64"/>
        <v>Juniper Berries </v>
      </c>
      <c r="C248" s="611" t="str">
        <f>HYPERLINK("https://en.uesp.net/wiki/Skyrim:Fortify_Marksman", "Fortify Marksman")</f>
        <v>Fortify Marksman</v>
      </c>
      <c r="D248" s="612"/>
      <c r="E248" s="612"/>
      <c r="F248" s="612"/>
      <c r="G248" s="613">
        <v>1.0</v>
      </c>
      <c r="H248" s="613">
        <v>4.0</v>
      </c>
    </row>
    <row r="249">
      <c r="A249" s="476" t="s">
        <v>132</v>
      </c>
      <c r="B249" s="611" t="str">
        <f t="shared" si="64"/>
        <v>Juniper Berries </v>
      </c>
      <c r="C249" s="611" t="str">
        <f>HYPERLINK("https://en.uesp.net/wiki/Skyrim:Regenerate_Health", "Regenerate Health")</f>
        <v>Regenerate Health</v>
      </c>
      <c r="D249" s="612"/>
      <c r="E249" s="612"/>
      <c r="F249" s="612"/>
      <c r="G249" s="613">
        <v>1.0</v>
      </c>
      <c r="H249" s="613">
        <v>4.0</v>
      </c>
    </row>
    <row r="250">
      <c r="A250" s="476" t="s">
        <v>132</v>
      </c>
      <c r="B250" s="611" t="str">
        <f t="shared" si="64"/>
        <v>Juniper Berries </v>
      </c>
      <c r="C250" s="611" t="str">
        <f>HYPERLINK("https://en.uesp.net/wiki/Skyrim:Damage_Stamina_Regen", "Damage Stamina Regen")</f>
        <v>Damage Stamina Regen</v>
      </c>
      <c r="D250" s="612"/>
      <c r="E250" s="612"/>
      <c r="F250" s="612"/>
      <c r="G250" s="613">
        <v>1.0</v>
      </c>
      <c r="H250" s="613">
        <v>4.0</v>
      </c>
    </row>
    <row r="251">
      <c r="A251" s="476" t="s">
        <v>132</v>
      </c>
      <c r="B251" s="611" t="str">
        <f t="shared" ref="B251:B254" si="65">HYPERLINK("https://en.uesp.net/wiki/Skyrim:Large_Antlers", "Large Antlers ")</f>
        <v>Large Antlers </v>
      </c>
      <c r="C251" s="611" t="str">
        <f>HYPERLINK("https://en.uesp.net/wiki/Skyrim:Restore_Stamina", "Restore Stamina")</f>
        <v>Restore Stamina</v>
      </c>
      <c r="D251" s="612"/>
      <c r="E251" s="612"/>
      <c r="F251" s="612"/>
      <c r="G251" s="613">
        <v>2.0</v>
      </c>
      <c r="H251" s="614"/>
    </row>
    <row r="252">
      <c r="A252" s="476" t="s">
        <v>132</v>
      </c>
      <c r="B252" s="611" t="str">
        <f t="shared" si="65"/>
        <v>Large Antlers </v>
      </c>
      <c r="C252" s="611" t="str">
        <f>HYPERLINK("https://en.uesp.net/wiki/Skyrim:Fortify_Stamina", "Fortify Stamina")</f>
        <v>Fortify Stamina</v>
      </c>
      <c r="D252" s="612"/>
      <c r="E252" s="612"/>
      <c r="F252" s="612"/>
      <c r="G252" s="613">
        <v>2.0</v>
      </c>
      <c r="H252" s="614"/>
    </row>
    <row r="253">
      <c r="A253" s="476" t="s">
        <v>132</v>
      </c>
      <c r="B253" s="611" t="str">
        <f t="shared" si="65"/>
        <v>Large Antlers </v>
      </c>
      <c r="C253" s="611" t="str">
        <f>HYPERLINK("https://en.uesp.net/wiki/Skyrim:Slow", "Slow")</f>
        <v>Slow</v>
      </c>
      <c r="D253" s="616"/>
      <c r="E253" s="616">
        <v>6.0</v>
      </c>
      <c r="F253" s="616">
        <v>1.75</v>
      </c>
      <c r="G253" s="613">
        <v>2.0</v>
      </c>
      <c r="H253" s="614"/>
    </row>
    <row r="254">
      <c r="A254" s="476" t="s">
        <v>132</v>
      </c>
      <c r="B254" s="611" t="str">
        <f t="shared" si="65"/>
        <v>Large Antlers </v>
      </c>
      <c r="C254" s="611" t="str">
        <f>HYPERLINK("https://en.uesp.net/wiki/Skyrim:Damage_Stamina_Regen", "Damage Stamina Regen")</f>
        <v>Damage Stamina Regen</v>
      </c>
      <c r="D254" s="612"/>
      <c r="E254" s="612"/>
      <c r="F254" s="612"/>
      <c r="G254" s="613">
        <v>2.0</v>
      </c>
      <c r="H254" s="614"/>
    </row>
    <row r="255">
      <c r="A255" s="476" t="s">
        <v>132</v>
      </c>
      <c r="B255" s="611" t="str">
        <f t="shared" ref="B255:B258" si="66">HYPERLINK("https://en.uesp.net/wiki/Skyrim:Lavender", "Lavender ")</f>
        <v>Lavender </v>
      </c>
      <c r="C255" s="611" t="str">
        <f>HYPERLINK("https://en.uesp.net/wiki/Skyrim:Resist_Magic", "Resist Magic")</f>
        <v>Resist Magic</v>
      </c>
      <c r="D255" s="612"/>
      <c r="E255" s="612"/>
      <c r="F255" s="612"/>
      <c r="G255" s="613">
        <v>1.0</v>
      </c>
      <c r="H255" s="613">
        <v>3.0</v>
      </c>
    </row>
    <row r="256">
      <c r="A256" s="476" t="s">
        <v>132</v>
      </c>
      <c r="B256" s="611" t="str">
        <f t="shared" si="66"/>
        <v>Lavender </v>
      </c>
      <c r="C256" s="611" t="str">
        <f>HYPERLINK("https://en.uesp.net/wiki/Skyrim:Fortify_Stamina", "Fortify Stamina")</f>
        <v>Fortify Stamina</v>
      </c>
      <c r="D256" s="612"/>
      <c r="E256" s="612"/>
      <c r="F256" s="612"/>
      <c r="G256" s="613">
        <v>1.0</v>
      </c>
      <c r="H256" s="613">
        <v>3.0</v>
      </c>
    </row>
    <row r="257">
      <c r="A257" s="476" t="s">
        <v>132</v>
      </c>
      <c r="B257" s="611" t="str">
        <f t="shared" si="66"/>
        <v>Lavender </v>
      </c>
      <c r="C257" s="611" t="str">
        <f>HYPERLINK("https://en.uesp.net/wiki/Skyrim:Ravage_Magicka", "Ravage Magicka")</f>
        <v>Ravage Magicka</v>
      </c>
      <c r="D257" s="612"/>
      <c r="E257" s="612"/>
      <c r="F257" s="612"/>
      <c r="G257" s="613">
        <v>1.0</v>
      </c>
      <c r="H257" s="613">
        <v>3.0</v>
      </c>
    </row>
    <row r="258">
      <c r="A258" s="476" t="s">
        <v>132</v>
      </c>
      <c r="B258" s="611" t="str">
        <f t="shared" si="66"/>
        <v>Lavender </v>
      </c>
      <c r="C258" s="611" t="str">
        <f>HYPERLINK("https://en.uesp.net/wiki/Skyrim:Fortify_Conjuration", "Fortify Conjuration")</f>
        <v>Fortify Conjuration</v>
      </c>
      <c r="D258" s="612"/>
      <c r="E258" s="612"/>
      <c r="F258" s="612"/>
      <c r="G258" s="613">
        <v>1.0</v>
      </c>
      <c r="H258" s="613">
        <v>3.0</v>
      </c>
    </row>
    <row r="259">
      <c r="A259" s="476" t="s">
        <v>132</v>
      </c>
      <c r="B259" s="611" t="str">
        <f t="shared" ref="B259:B262" si="67">HYPERLINK("https://en.uesp.net/wiki/Skyrim:Luna_Moth_Wing", "Luna Moth Wing ")</f>
        <v>Luna Moth Wing </v>
      </c>
      <c r="C259" s="611" t="str">
        <f>HYPERLINK("https://en.uesp.net/wiki/Skyrim:Damage_Magicka", "Damage Magicka")</f>
        <v>Damage Magicka</v>
      </c>
      <c r="D259" s="612"/>
      <c r="E259" s="612"/>
      <c r="F259" s="612"/>
      <c r="G259" s="613">
        <v>5.0</v>
      </c>
      <c r="H259" s="614"/>
    </row>
    <row r="260">
      <c r="A260" s="476" t="s">
        <v>132</v>
      </c>
      <c r="B260" s="611" t="str">
        <f t="shared" si="67"/>
        <v>Luna Moth Wing </v>
      </c>
      <c r="C260" s="611" t="str">
        <f>HYPERLINK("https://en.uesp.net/wiki/Skyrim:Fortify_Light_Armor", "Fortify Light Armor")</f>
        <v>Fortify Light Armor</v>
      </c>
      <c r="D260" s="612"/>
      <c r="E260" s="612"/>
      <c r="F260" s="612"/>
      <c r="G260" s="613">
        <v>5.0</v>
      </c>
      <c r="H260" s="614"/>
    </row>
    <row r="261">
      <c r="A261" s="476" t="s">
        <v>132</v>
      </c>
      <c r="B261" s="611" t="str">
        <f t="shared" si="67"/>
        <v>Luna Moth Wing </v>
      </c>
      <c r="C261" s="611" t="str">
        <f>HYPERLINK("https://en.uesp.net/wiki/Skyrim:Regenerate_Health", "Regenerate Health")</f>
        <v>Regenerate Health</v>
      </c>
      <c r="D261" s="612"/>
      <c r="E261" s="612"/>
      <c r="F261" s="612"/>
      <c r="G261" s="613">
        <v>5.0</v>
      </c>
      <c r="H261" s="614"/>
    </row>
    <row r="262">
      <c r="A262" s="476" t="s">
        <v>132</v>
      </c>
      <c r="B262" s="611" t="str">
        <f t="shared" si="67"/>
        <v>Luna Moth Wing </v>
      </c>
      <c r="C262" s="611" t="str">
        <f>HYPERLINK("https://en.uesp.net/wiki/Skyrim:Invisibility", "Invisibility")</f>
        <v>Invisibility</v>
      </c>
      <c r="D262" s="612"/>
      <c r="E262" s="612"/>
      <c r="F262" s="612"/>
      <c r="G262" s="613">
        <v>5.0</v>
      </c>
      <c r="H262" s="614"/>
    </row>
    <row r="263">
      <c r="A263" s="476" t="s">
        <v>132</v>
      </c>
      <c r="B263" s="611" t="str">
        <f t="shared" ref="B263:B266" si="68">HYPERLINK("https://en.uesp.net/wiki/Skyrim:Moon_Sugar", "Moon Sugar ")</f>
        <v>Moon Sugar </v>
      </c>
      <c r="C263" s="611" t="str">
        <f>HYPERLINK("https://en.uesp.net/wiki/Skyrim:Weakness_to_Fire", "Weakness to Fire")</f>
        <v>Weakness to Fire</v>
      </c>
      <c r="D263" s="612"/>
      <c r="E263" s="612"/>
      <c r="F263" s="612"/>
      <c r="G263" s="613">
        <v>50.0</v>
      </c>
      <c r="H263" s="614"/>
    </row>
    <row r="264">
      <c r="A264" s="476" t="s">
        <v>132</v>
      </c>
      <c r="B264" s="611" t="str">
        <f t="shared" si="68"/>
        <v>Moon Sugar </v>
      </c>
      <c r="C264" s="611" t="str">
        <f>HYPERLINK("https://en.uesp.net/wiki/Skyrim:Resist_Frost", "Resist Frost")</f>
        <v>Resist Frost</v>
      </c>
      <c r="D264" s="612"/>
      <c r="E264" s="612"/>
      <c r="F264" s="612"/>
      <c r="G264" s="613">
        <v>50.0</v>
      </c>
      <c r="H264" s="614"/>
    </row>
    <row r="265">
      <c r="A265" s="476" t="s">
        <v>132</v>
      </c>
      <c r="B265" s="611" t="str">
        <f t="shared" si="68"/>
        <v>Moon Sugar </v>
      </c>
      <c r="C265" s="611" t="str">
        <f>HYPERLINK("https://en.uesp.net/wiki/Skyrim:Restore_Magicka", "Restore Magicka")</f>
        <v>Restore Magicka</v>
      </c>
      <c r="D265" s="612"/>
      <c r="E265" s="612"/>
      <c r="F265" s="612"/>
      <c r="G265" s="613">
        <v>50.0</v>
      </c>
      <c r="H265" s="614"/>
    </row>
    <row r="266">
      <c r="A266" s="476" t="s">
        <v>132</v>
      </c>
      <c r="B266" s="611" t="str">
        <f t="shared" si="68"/>
        <v>Moon Sugar </v>
      </c>
      <c r="C266" s="611" t="str">
        <f>HYPERLINK("https://en.uesp.net/wiki/Skyrim:Regenerate_Magicka", "Regenerate Magicka")</f>
        <v>Regenerate Magicka</v>
      </c>
      <c r="D266" s="612"/>
      <c r="E266" s="612"/>
      <c r="F266" s="612"/>
      <c r="G266" s="613">
        <v>50.0</v>
      </c>
      <c r="H266" s="614"/>
    </row>
    <row r="267">
      <c r="A267" s="476" t="s">
        <v>132</v>
      </c>
      <c r="B267" s="611" t="str">
        <f t="shared" ref="B267:B270" si="69">HYPERLINK("https://en.uesp.net/wiki/Skyrim:Mora_Tapinella", "Mora Tapinella ")</f>
        <v>Mora Tapinella </v>
      </c>
      <c r="C267" s="611" t="str">
        <f>HYPERLINK("https://en.uesp.net/wiki/Skyrim:Restore_Magicka", "Restore Magicka")</f>
        <v>Restore Magicka</v>
      </c>
      <c r="D267" s="612"/>
      <c r="E267" s="612"/>
      <c r="F267" s="612"/>
      <c r="G267" s="613">
        <v>4.0</v>
      </c>
      <c r="H267" s="613">
        <v>3.0</v>
      </c>
    </row>
    <row r="268">
      <c r="A268" s="476" t="s">
        <v>132</v>
      </c>
      <c r="B268" s="611" t="str">
        <f t="shared" si="69"/>
        <v>Mora Tapinella </v>
      </c>
      <c r="C268" s="611" t="str">
        <f>HYPERLINK("https://en.uesp.net/wiki/Skyrim:Lingering_Damage_Health", "Lingering Damage Health")</f>
        <v>Lingering Damage Health</v>
      </c>
      <c r="D268" s="612"/>
      <c r="E268" s="612"/>
      <c r="F268" s="612"/>
      <c r="G268" s="613">
        <v>4.0</v>
      </c>
      <c r="H268" s="613">
        <v>3.0</v>
      </c>
    </row>
    <row r="269">
      <c r="A269" s="476" t="s">
        <v>132</v>
      </c>
      <c r="B269" s="611" t="str">
        <f t="shared" si="69"/>
        <v>Mora Tapinella </v>
      </c>
      <c r="C269" s="611" t="str">
        <f>HYPERLINK("https://en.uesp.net/wiki/Skyrim:Regenerate_Stamina", "Regenerate Stamina")</f>
        <v>Regenerate Stamina</v>
      </c>
      <c r="D269" s="612"/>
      <c r="E269" s="612"/>
      <c r="F269" s="612"/>
      <c r="G269" s="613">
        <v>4.0</v>
      </c>
      <c r="H269" s="613">
        <v>3.0</v>
      </c>
    </row>
    <row r="270">
      <c r="A270" s="476" t="s">
        <v>132</v>
      </c>
      <c r="B270" s="611" t="str">
        <f t="shared" si="69"/>
        <v>Mora Tapinella </v>
      </c>
      <c r="C270" s="611" t="str">
        <f>HYPERLINK("https://en.uesp.net/wiki/Skyrim:Fortify_Illusion", "Fortify Illusion")</f>
        <v>Fortify Illusion</v>
      </c>
      <c r="D270" s="612"/>
      <c r="E270" s="612"/>
      <c r="F270" s="612"/>
      <c r="G270" s="613">
        <v>4.0</v>
      </c>
      <c r="H270" s="613">
        <v>3.0</v>
      </c>
    </row>
    <row r="271">
      <c r="A271" s="476" t="s">
        <v>132</v>
      </c>
      <c r="B271" s="611" t="str">
        <f t="shared" ref="B271:B274" si="70">HYPERLINK("https://en.uesp.net/wiki/Skyrim:Mudcrab_Chitin", "Mudcrab Chitin ")</f>
        <v>Mudcrab Chitin </v>
      </c>
      <c r="C271" s="611" t="str">
        <f>HYPERLINK("https://en.uesp.net/wiki/Skyrim:Restore_Stamina", "Restore Stamina")</f>
        <v>Restore Stamina</v>
      </c>
      <c r="D271" s="612"/>
      <c r="E271" s="612"/>
      <c r="F271" s="612"/>
      <c r="G271" s="613">
        <v>2.0</v>
      </c>
      <c r="H271" s="614"/>
    </row>
    <row r="272">
      <c r="A272" s="476" t="s">
        <v>132</v>
      </c>
      <c r="B272" s="611" t="str">
        <f t="shared" si="70"/>
        <v>Mudcrab Chitin </v>
      </c>
      <c r="C272" s="611" t="str">
        <f>HYPERLINK("https://en.uesp.net/wiki/Skyrim:Cure_Disease", "Cure Disease")</f>
        <v>Cure Disease</v>
      </c>
      <c r="D272" s="612"/>
      <c r="E272" s="612"/>
      <c r="F272" s="612"/>
      <c r="G272" s="613">
        <v>2.0</v>
      </c>
      <c r="H272" s="614"/>
    </row>
    <row r="273">
      <c r="A273" s="476" t="s">
        <v>132</v>
      </c>
      <c r="B273" s="611" t="str">
        <f t="shared" si="70"/>
        <v>Mudcrab Chitin </v>
      </c>
      <c r="C273" s="611" t="str">
        <f>HYPERLINK("https://en.uesp.net/wiki/Skyrim:Resist_Poison", "Resist Poison")</f>
        <v>Resist Poison</v>
      </c>
      <c r="D273" s="612"/>
      <c r="E273" s="612"/>
      <c r="F273" s="612"/>
      <c r="G273" s="613">
        <v>2.0</v>
      </c>
      <c r="H273" s="614"/>
    </row>
    <row r="274">
      <c r="A274" s="476" t="s">
        <v>132</v>
      </c>
      <c r="B274" s="611" t="str">
        <f t="shared" si="70"/>
        <v>Mudcrab Chitin </v>
      </c>
      <c r="C274" s="611" t="str">
        <f>HYPERLINK("https://en.uesp.net/wiki/Skyrim:Resist_Fire", "Resist Fire")</f>
        <v>Resist Fire</v>
      </c>
      <c r="D274" s="612"/>
      <c r="E274" s="612"/>
      <c r="F274" s="612"/>
      <c r="G274" s="613">
        <v>2.0</v>
      </c>
      <c r="H274" s="614"/>
    </row>
    <row r="275">
      <c r="A275" s="476" t="s">
        <v>132</v>
      </c>
      <c r="B275" s="611" t="str">
        <f t="shared" ref="B275:B278" si="71">HYPERLINK("https://en.uesp.net/wiki/Skyrim:Namira's_Rot", "Namira's Rot ")</f>
        <v>Namira's Rot </v>
      </c>
      <c r="C275" s="611" t="str">
        <f>HYPERLINK("https://en.uesp.net/wiki/Skyrim:Damage_Magicka", "Damage Magicka")</f>
        <v>Damage Magicka</v>
      </c>
      <c r="D275" s="612"/>
      <c r="E275" s="612"/>
      <c r="F275" s="612"/>
      <c r="G275" s="613">
        <v>0.0</v>
      </c>
      <c r="H275" s="613">
        <v>3.0</v>
      </c>
    </row>
    <row r="276">
      <c r="A276" s="476" t="s">
        <v>132</v>
      </c>
      <c r="B276" s="611" t="str">
        <f t="shared" si="71"/>
        <v>Namira's Rot </v>
      </c>
      <c r="C276" s="611" t="str">
        <f>HYPERLINK("https://en.uesp.net/wiki/Skyrim:Fortify_Lockpicking", "Fortify Lockpicking")</f>
        <v>Fortify Lockpicking</v>
      </c>
      <c r="D276" s="612"/>
      <c r="E276" s="612"/>
      <c r="F276" s="612"/>
      <c r="G276" s="613">
        <v>0.0</v>
      </c>
      <c r="H276" s="613">
        <v>3.0</v>
      </c>
    </row>
    <row r="277">
      <c r="A277" s="476" t="s">
        <v>132</v>
      </c>
      <c r="B277" s="611" t="str">
        <f t="shared" si="71"/>
        <v>Namira's Rot </v>
      </c>
      <c r="C277" s="611" t="str">
        <f>HYPERLINK("https://en.uesp.net/wiki/Skyrim:Fear", "Fear")</f>
        <v>Fear</v>
      </c>
      <c r="D277" s="612"/>
      <c r="E277" s="612"/>
      <c r="F277" s="612"/>
      <c r="G277" s="613">
        <v>0.0</v>
      </c>
      <c r="H277" s="613">
        <v>3.0</v>
      </c>
    </row>
    <row r="278">
      <c r="A278" s="476" t="s">
        <v>132</v>
      </c>
      <c r="B278" s="611" t="str">
        <f t="shared" si="71"/>
        <v>Namira's Rot </v>
      </c>
      <c r="C278" s="611" t="str">
        <f>HYPERLINK("https://en.uesp.net/wiki/Skyrim:Regenerate_Health", "Regenerate Health")</f>
        <v>Regenerate Health</v>
      </c>
      <c r="D278" s="612"/>
      <c r="E278" s="612"/>
      <c r="F278" s="612"/>
      <c r="G278" s="613">
        <v>0.0</v>
      </c>
      <c r="H278" s="613">
        <v>3.0</v>
      </c>
    </row>
    <row r="279">
      <c r="A279" s="476" t="s">
        <v>132</v>
      </c>
      <c r="B279" s="611" t="str">
        <f t="shared" ref="B279:B282" si="72">HYPERLINK("https://en.uesp.net/wiki/Skyrim:Netch_Jelly","Netch Jelly (DB)")</f>
        <v>Netch Jelly (DB)</v>
      </c>
      <c r="C279" s="611" t="str">
        <f>HYPERLINK("https://en.uesp.net/wiki/Skyrim:Paralysis", "Paralysis")</f>
        <v>Paralysis</v>
      </c>
      <c r="D279" s="612"/>
      <c r="E279" s="612"/>
      <c r="F279" s="612"/>
      <c r="G279" s="613">
        <v>20.0</v>
      </c>
      <c r="H279" s="614"/>
    </row>
    <row r="280">
      <c r="A280" s="476" t="s">
        <v>132</v>
      </c>
      <c r="B280" s="611" t="str">
        <f t="shared" si="72"/>
        <v>Netch Jelly (DB)</v>
      </c>
      <c r="C280" s="611" t="str">
        <f>HYPERLINK("https://en.uesp.net/wiki/Skyrim:Fortify_Carry_Weight", "Fortify Carry Weight")</f>
        <v>Fortify Carry Weight</v>
      </c>
      <c r="D280" s="612"/>
      <c r="E280" s="612"/>
      <c r="F280" s="612"/>
      <c r="G280" s="613">
        <v>20.0</v>
      </c>
      <c r="H280" s="614"/>
    </row>
    <row r="281">
      <c r="A281" s="476" t="s">
        <v>132</v>
      </c>
      <c r="B281" s="611" t="str">
        <f t="shared" si="72"/>
        <v>Netch Jelly (DB)</v>
      </c>
      <c r="C281" s="611" t="str">
        <f>HYPERLINK("https://en.uesp.net/wiki/Skyrim:Restore_Stamina", "Restore Stamina")</f>
        <v>Restore Stamina</v>
      </c>
      <c r="D281" s="616">
        <v>2.0</v>
      </c>
      <c r="E281" s="616"/>
      <c r="F281" s="612"/>
      <c r="G281" s="613">
        <v>20.0</v>
      </c>
      <c r="H281" s="614"/>
    </row>
    <row r="282">
      <c r="A282" s="476" t="s">
        <v>132</v>
      </c>
      <c r="B282" s="611" t="str">
        <f t="shared" si="72"/>
        <v>Netch Jelly (DB)</v>
      </c>
      <c r="C282" s="611" t="str">
        <f>HYPERLINK("https://en.uesp.net/wiki/Skyrim:Fear", "Fear")</f>
        <v>Fear</v>
      </c>
      <c r="D282" s="612"/>
      <c r="E282" s="612"/>
      <c r="F282" s="612"/>
      <c r="G282" s="613">
        <v>20.0</v>
      </c>
      <c r="H282" s="614"/>
    </row>
    <row r="283">
      <c r="A283" s="476" t="s">
        <v>132</v>
      </c>
      <c r="B283" s="611" t="str">
        <f t="shared" ref="B283:B286" si="73">HYPERLINK("https://en.uesp.net/wiki/Skyrim:Nightshade", "Nightshade ")</f>
        <v>Nightshade </v>
      </c>
      <c r="C283" s="611" t="str">
        <f>HYPERLINK("https://en.uesp.net/wiki/Skyrim:Damage_Health", "Damage Health")</f>
        <v>Damage Health</v>
      </c>
      <c r="D283" s="612"/>
      <c r="E283" s="612"/>
      <c r="F283" s="612"/>
      <c r="G283" s="613">
        <v>8.0</v>
      </c>
      <c r="H283" s="613">
        <v>3.0</v>
      </c>
    </row>
    <row r="284">
      <c r="A284" s="476" t="s">
        <v>132</v>
      </c>
      <c r="B284" s="611" t="str">
        <f t="shared" si="73"/>
        <v>Nightshade </v>
      </c>
      <c r="C284" s="611" t="str">
        <f>HYPERLINK("https://en.uesp.net/wiki/Skyrim:Damage_Magicka_Regen", "Damage Magicka Regen")</f>
        <v>Damage Magicka Regen</v>
      </c>
      <c r="D284" s="612"/>
      <c r="E284" s="612"/>
      <c r="F284" s="612"/>
      <c r="G284" s="613">
        <v>8.0</v>
      </c>
      <c r="H284" s="613">
        <v>3.0</v>
      </c>
    </row>
    <row r="285">
      <c r="A285" s="476" t="s">
        <v>132</v>
      </c>
      <c r="B285" s="611" t="str">
        <f t="shared" si="73"/>
        <v>Nightshade </v>
      </c>
      <c r="C285" s="611" t="str">
        <f>HYPERLINK("https://en.uesp.net/wiki/Skyrim:Lingering_Damage_Stamina", "Lingering Damage Stamina")</f>
        <v>Lingering Damage Stamina</v>
      </c>
      <c r="D285" s="612"/>
      <c r="E285" s="612"/>
      <c r="F285" s="612"/>
      <c r="G285" s="613">
        <v>8.0</v>
      </c>
      <c r="H285" s="613">
        <v>3.0</v>
      </c>
    </row>
    <row r="286">
      <c r="A286" s="476" t="s">
        <v>132</v>
      </c>
      <c r="B286" s="611" t="str">
        <f t="shared" si="73"/>
        <v>Nightshade </v>
      </c>
      <c r="C286" s="611" t="str">
        <f>HYPERLINK("https://en.uesp.net/wiki/Skyrim:Fortify_Destruction", "Fortify Destruction")</f>
        <v>Fortify Destruction</v>
      </c>
      <c r="D286" s="616">
        <v>0.8</v>
      </c>
      <c r="E286" s="616"/>
      <c r="F286" s="612"/>
      <c r="G286" s="613">
        <v>8.0</v>
      </c>
      <c r="H286" s="613">
        <v>3.0</v>
      </c>
    </row>
    <row r="287">
      <c r="A287" s="476" t="s">
        <v>132</v>
      </c>
      <c r="B287" s="611" t="str">
        <f t="shared" ref="B287:B290" si="74">HYPERLINK("https://en.uesp.net/wiki/Skyrim:Nirnroot", "Nirnroot ")</f>
        <v>Nirnroot </v>
      </c>
      <c r="C287" s="611" t="str">
        <f>HYPERLINK("https://en.uesp.net/wiki/Skyrim:Damage_Health", "Damage Health")</f>
        <v>Damage Health</v>
      </c>
      <c r="D287" s="616">
        <v>12.6</v>
      </c>
      <c r="E287" s="616"/>
      <c r="F287" s="612"/>
      <c r="G287" s="613">
        <v>10.0</v>
      </c>
      <c r="H287" s="614"/>
    </row>
    <row r="288">
      <c r="A288" s="476" t="s">
        <v>132</v>
      </c>
      <c r="B288" s="611" t="str">
        <f t="shared" si="74"/>
        <v>Nirnroot </v>
      </c>
      <c r="C288" s="611" t="str">
        <f>HYPERLINK("https://en.uesp.net/wiki/Skyrim:Damage_Stamina", "Damage Stamina")</f>
        <v>Damage Stamina</v>
      </c>
      <c r="D288" s="612"/>
      <c r="E288" s="612"/>
      <c r="F288" s="612"/>
      <c r="G288" s="613">
        <v>10.0</v>
      </c>
      <c r="H288" s="614"/>
    </row>
    <row r="289">
      <c r="A289" s="476" t="s">
        <v>132</v>
      </c>
      <c r="B289" s="611" t="str">
        <f t="shared" si="74"/>
        <v>Nirnroot </v>
      </c>
      <c r="C289" s="611" t="str">
        <f>HYPERLINK("https://en.uesp.net/wiki/Skyrim:Invisibility", "Invisibility")</f>
        <v>Invisibility</v>
      </c>
      <c r="D289" s="612"/>
      <c r="E289" s="612"/>
      <c r="F289" s="612"/>
      <c r="G289" s="613">
        <v>10.0</v>
      </c>
      <c r="H289" s="614"/>
    </row>
    <row r="290">
      <c r="A290" s="476" t="s">
        <v>132</v>
      </c>
      <c r="B290" s="611" t="str">
        <f t="shared" si="74"/>
        <v>Nirnroot </v>
      </c>
      <c r="C290" s="611" t="str">
        <f>HYPERLINK("https://en.uesp.net/wiki/Skyrim:Resist_Magic", "Resist Magic")</f>
        <v>Resist Magic</v>
      </c>
      <c r="D290" s="612"/>
      <c r="E290" s="612"/>
      <c r="F290" s="612"/>
      <c r="G290" s="613">
        <v>10.0</v>
      </c>
      <c r="H290" s="614"/>
    </row>
    <row r="291">
      <c r="A291" s="476" t="s">
        <v>132</v>
      </c>
      <c r="B291" s="611" t="str">
        <f t="shared" ref="B291:B294" si="75">HYPERLINK("https://en.uesp.net/wiki/Skyrim:Nordic_Barnacle", "Nordic Barnacle ")</f>
        <v>Nordic Barnacle </v>
      </c>
      <c r="C291" s="611" t="str">
        <f>HYPERLINK("https://en.uesp.net/wiki/Skyrim:Damage_Magicka", "Damage Magicka")</f>
        <v>Damage Magicka</v>
      </c>
      <c r="D291" s="612"/>
      <c r="E291" s="612"/>
      <c r="F291" s="612"/>
      <c r="G291" s="613">
        <v>5.0</v>
      </c>
      <c r="H291" s="614"/>
    </row>
    <row r="292">
      <c r="A292" s="476" t="s">
        <v>132</v>
      </c>
      <c r="B292" s="611" t="str">
        <f t="shared" si="75"/>
        <v>Nordic Barnacle </v>
      </c>
      <c r="C292" s="611" t="str">
        <f>HYPERLINK("https://en.uesp.net/wiki/Skyrim:Waterbreathing", "Waterbreathing")</f>
        <v>Waterbreathing</v>
      </c>
      <c r="D292" s="612"/>
      <c r="E292" s="612"/>
      <c r="F292" s="612"/>
      <c r="G292" s="613">
        <v>5.0</v>
      </c>
      <c r="H292" s="614"/>
    </row>
    <row r="293">
      <c r="A293" s="476" t="s">
        <v>132</v>
      </c>
      <c r="B293" s="611" t="str">
        <f t="shared" si="75"/>
        <v>Nordic Barnacle </v>
      </c>
      <c r="C293" s="611" t="str">
        <f>HYPERLINK("https://en.uesp.net/wiki/Skyrim:Regenerate_Health", "Regenerate Health")</f>
        <v>Regenerate Health</v>
      </c>
      <c r="D293" s="612"/>
      <c r="E293" s="612"/>
      <c r="F293" s="612"/>
      <c r="G293" s="613">
        <v>5.0</v>
      </c>
      <c r="H293" s="614"/>
    </row>
    <row r="294">
      <c r="A294" s="476" t="s">
        <v>132</v>
      </c>
      <c r="B294" s="611" t="str">
        <f t="shared" si="75"/>
        <v>Nordic Barnacle </v>
      </c>
      <c r="C294" s="611" t="str">
        <f>HYPERLINK("https://en.uesp.net/wiki/Skyrim:Fortify_Pickpocket", "Fortify Pickpocket")</f>
        <v>Fortify Pickpocket</v>
      </c>
      <c r="D294" s="612"/>
      <c r="E294" s="612"/>
      <c r="F294" s="612"/>
      <c r="G294" s="613">
        <v>5.0</v>
      </c>
      <c r="H294" s="614"/>
    </row>
    <row r="295">
      <c r="A295" s="476" t="s">
        <v>132</v>
      </c>
      <c r="B295" s="611" t="str">
        <f t="shared" ref="B295:B298" si="76">HYPERLINK("https://en.uesp.net/wiki/Skyrim:Orange_Dartwing", "Orange Dartwing ")</f>
        <v>Orange Dartwing </v>
      </c>
      <c r="C295" s="611" t="str">
        <f>HYPERLINK("https://en.uesp.net/wiki/Skyrim:Restore_Stamina", "Restore Stamina")</f>
        <v>Restore Stamina</v>
      </c>
      <c r="D295" s="612"/>
      <c r="E295" s="612"/>
      <c r="F295" s="612"/>
      <c r="G295" s="613">
        <v>1.0</v>
      </c>
      <c r="H295" s="614"/>
    </row>
    <row r="296">
      <c r="A296" s="476" t="s">
        <v>132</v>
      </c>
      <c r="B296" s="611" t="str">
        <f t="shared" si="76"/>
        <v>Orange Dartwing </v>
      </c>
      <c r="C296" s="611" t="str">
        <f>HYPERLINK("https://en.uesp.net/wiki/Skyrim:Ravage_Magicka", "Ravage Magicka")</f>
        <v>Ravage Magicka</v>
      </c>
      <c r="D296" s="612"/>
      <c r="E296" s="612"/>
      <c r="F296" s="612"/>
      <c r="G296" s="613">
        <v>1.0</v>
      </c>
      <c r="H296" s="614"/>
    </row>
    <row r="297">
      <c r="A297" s="476" t="s">
        <v>132</v>
      </c>
      <c r="B297" s="611" t="str">
        <f t="shared" si="76"/>
        <v>Orange Dartwing </v>
      </c>
      <c r="C297" s="611" t="str">
        <f>HYPERLINK("https://en.uesp.net/wiki/Skyrim:Fortify_Pickpocket", "Fortify Pickpocket")</f>
        <v>Fortify Pickpocket</v>
      </c>
      <c r="D297" s="612"/>
      <c r="E297" s="612"/>
      <c r="F297" s="612"/>
      <c r="G297" s="613">
        <v>1.0</v>
      </c>
      <c r="H297" s="614"/>
    </row>
    <row r="298">
      <c r="A298" s="476" t="s">
        <v>132</v>
      </c>
      <c r="B298" s="611" t="str">
        <f t="shared" si="76"/>
        <v>Orange Dartwing </v>
      </c>
      <c r="C298" s="611" t="str">
        <f>HYPERLINK("https://en.uesp.net/wiki/Skyrim:Lingering_Damage_Health", "Lingering Damage Health")</f>
        <v>Lingering Damage Health</v>
      </c>
      <c r="D298" s="612"/>
      <c r="E298" s="612"/>
      <c r="F298" s="612"/>
      <c r="G298" s="613">
        <v>1.0</v>
      </c>
      <c r="H298" s="614"/>
    </row>
    <row r="299">
      <c r="A299" s="476" t="s">
        <v>132</v>
      </c>
      <c r="B299" s="611" t="str">
        <f t="shared" ref="B299:B302" si="77">HYPERLINK("https://en.uesp.net/wiki/Skyrim:Pearl", "Pearl ")</f>
        <v>Pearl </v>
      </c>
      <c r="C299" s="611" t="str">
        <f>HYPERLINK("https://en.uesp.net/wiki/Skyrim:Restore_Stamina", "Restore Stamina")</f>
        <v>Restore Stamina</v>
      </c>
      <c r="D299" s="612"/>
      <c r="E299" s="612"/>
      <c r="F299" s="612"/>
      <c r="G299" s="613">
        <v>2.0</v>
      </c>
      <c r="H299" s="614"/>
    </row>
    <row r="300">
      <c r="A300" s="476" t="s">
        <v>132</v>
      </c>
      <c r="B300" s="611" t="str">
        <f t="shared" si="77"/>
        <v>Pearl </v>
      </c>
      <c r="C300" s="611" t="str">
        <f>HYPERLINK("https://en.uesp.net/wiki/Skyrim:Fortify_Block", "Fortify Block")</f>
        <v>Fortify Block</v>
      </c>
      <c r="D300" s="612"/>
      <c r="E300" s="612"/>
      <c r="F300" s="612"/>
      <c r="G300" s="613">
        <v>2.0</v>
      </c>
      <c r="H300" s="614"/>
    </row>
    <row r="301">
      <c r="A301" s="476" t="s">
        <v>132</v>
      </c>
      <c r="B301" s="611" t="str">
        <f t="shared" si="77"/>
        <v>Pearl </v>
      </c>
      <c r="C301" s="611" t="str">
        <f>HYPERLINK("https://en.uesp.net/wiki/Skyrim:Restore_Magicka", "Restore Magicka")</f>
        <v>Restore Magicka</v>
      </c>
      <c r="D301" s="612"/>
      <c r="E301" s="612"/>
      <c r="F301" s="612"/>
      <c r="G301" s="613">
        <v>2.0</v>
      </c>
      <c r="H301" s="614"/>
    </row>
    <row r="302">
      <c r="A302" s="476" t="s">
        <v>132</v>
      </c>
      <c r="B302" s="611" t="str">
        <f t="shared" si="77"/>
        <v>Pearl </v>
      </c>
      <c r="C302" s="611" t="str">
        <f>HYPERLINK("https://en.uesp.net/wiki/Skyrim:Resist_Shock", "Resist Shock")</f>
        <v>Resist Shock</v>
      </c>
      <c r="D302" s="612"/>
      <c r="E302" s="612"/>
      <c r="F302" s="612"/>
      <c r="G302" s="613">
        <v>2.0</v>
      </c>
      <c r="H302" s="614"/>
    </row>
    <row r="303">
      <c r="A303" s="476" t="s">
        <v>132</v>
      </c>
      <c r="B303" s="611" t="str">
        <f t="shared" ref="B303:B306" si="78">HYPERLINK("https://en.uesp.net/wiki/Skyrim:Pine_Thrush_Egg", "Pine Thrush Egg ")</f>
        <v>Pine Thrush Egg </v>
      </c>
      <c r="C303" s="611" t="str">
        <f>HYPERLINK("https://en.uesp.net/wiki/Skyrim:Restore_Stamina", "Restore Stamina")</f>
        <v>Restore Stamina</v>
      </c>
      <c r="D303" s="612"/>
      <c r="E303" s="612"/>
      <c r="F303" s="612"/>
      <c r="G303" s="613">
        <v>2.0</v>
      </c>
      <c r="H303" s="614"/>
    </row>
    <row r="304">
      <c r="A304" s="476" t="s">
        <v>132</v>
      </c>
      <c r="B304" s="611" t="str">
        <f t="shared" si="78"/>
        <v>Pine Thrush Egg </v>
      </c>
      <c r="C304" s="611" t="str">
        <f>HYPERLINK("https://en.uesp.net/wiki/Skyrim:Fortify_Lockpicking", "Fortify Lockpicking")</f>
        <v>Fortify Lockpicking</v>
      </c>
      <c r="D304" s="612"/>
      <c r="E304" s="612"/>
      <c r="F304" s="612"/>
      <c r="G304" s="613">
        <v>2.0</v>
      </c>
      <c r="H304" s="614"/>
    </row>
    <row r="305">
      <c r="A305" s="476" t="s">
        <v>132</v>
      </c>
      <c r="B305" s="611" t="str">
        <f t="shared" si="78"/>
        <v>Pine Thrush Egg </v>
      </c>
      <c r="C305" s="611" t="str">
        <f>HYPERLINK("https://en.uesp.net/wiki/Skyrim:Weakness_to_Poison", "Weakness to Poison")</f>
        <v>Weakness to Poison</v>
      </c>
      <c r="D305" s="612"/>
      <c r="E305" s="612"/>
      <c r="F305" s="612"/>
      <c r="G305" s="613">
        <v>2.0</v>
      </c>
      <c r="H305" s="614"/>
    </row>
    <row r="306">
      <c r="A306" s="476" t="s">
        <v>132</v>
      </c>
      <c r="B306" s="611" t="str">
        <f t="shared" si="78"/>
        <v>Pine Thrush Egg </v>
      </c>
      <c r="C306" s="611" t="str">
        <f>HYPERLINK("https://en.uesp.net/wiki/Skyrim:Resist_Shock", "Resist Shock")</f>
        <v>Resist Shock</v>
      </c>
      <c r="D306" s="612"/>
      <c r="E306" s="612"/>
      <c r="F306" s="612"/>
      <c r="G306" s="613">
        <v>2.0</v>
      </c>
      <c r="H306" s="614"/>
    </row>
    <row r="307">
      <c r="A307" s="476" t="s">
        <v>132</v>
      </c>
      <c r="B307" s="611" t="str">
        <f t="shared" ref="B307:B310" si="79">HYPERLINK("https://en.uesp.net/wiki/Skyrim:Poison_Bloom","Poison Bloom (DG)")</f>
        <v>Poison Bloom (DG)</v>
      </c>
      <c r="C307" s="611" t="str">
        <f>HYPERLINK("https://en.uesp.net/wiki/Skyrim:Damage_Health", "Damage Health")</f>
        <v>Damage Health</v>
      </c>
      <c r="D307" s="616">
        <v>1.5</v>
      </c>
      <c r="E307" s="616"/>
      <c r="F307" s="612"/>
      <c r="G307" s="613">
        <v>5.0</v>
      </c>
      <c r="H307" s="614"/>
    </row>
    <row r="308">
      <c r="A308" s="476" t="s">
        <v>132</v>
      </c>
      <c r="B308" s="611" t="str">
        <f t="shared" si="79"/>
        <v>Poison Bloom (DG)</v>
      </c>
      <c r="C308" s="611" t="str">
        <f>HYPERLINK("https://en.uesp.net/wiki/Skyrim:Slow", "Slow")</f>
        <v>Slow</v>
      </c>
      <c r="D308" s="612"/>
      <c r="E308" s="612"/>
      <c r="F308" s="612"/>
      <c r="G308" s="613">
        <v>5.0</v>
      </c>
      <c r="H308" s="614"/>
    </row>
    <row r="309">
      <c r="A309" s="476" t="s">
        <v>132</v>
      </c>
      <c r="B309" s="611" t="str">
        <f t="shared" si="79"/>
        <v>Poison Bloom (DG)</v>
      </c>
      <c r="C309" s="611" t="str">
        <f>HYPERLINK("https://en.uesp.net/wiki/Skyrim:Fortify_Carry_Weight", "Fortify Carry Weight")</f>
        <v>Fortify Carry Weight</v>
      </c>
      <c r="D309" s="612"/>
      <c r="E309" s="612"/>
      <c r="F309" s="612"/>
      <c r="G309" s="613">
        <v>5.0</v>
      </c>
      <c r="H309" s="614"/>
    </row>
    <row r="310">
      <c r="A310" s="476" t="s">
        <v>132</v>
      </c>
      <c r="B310" s="611" t="str">
        <f t="shared" si="79"/>
        <v>Poison Bloom (DG)</v>
      </c>
      <c r="C310" s="611" t="str">
        <f>HYPERLINK("https://en.uesp.net/wiki/Skyrim:Fear", "Fear")</f>
        <v>Fear</v>
      </c>
      <c r="D310" s="612"/>
      <c r="E310" s="612"/>
      <c r="F310" s="612"/>
      <c r="G310" s="613">
        <v>5.0</v>
      </c>
      <c r="H310" s="614"/>
    </row>
    <row r="311">
      <c r="A311" s="476" t="s">
        <v>132</v>
      </c>
      <c r="B311" s="611" t="str">
        <f t="shared" ref="B311:B314" si="80">HYPERLINK("https://en.uesp.net/wiki/Skyrim:Powdered_Mammoth_Tusk", "Powdered Mammoth Tusk ")</f>
        <v>Powdered Mammoth Tusk </v>
      </c>
      <c r="C311" s="611" t="str">
        <f>HYPERLINK("https://en.uesp.net/wiki/Skyrim:Restore_Stamina", "Restore Stamina")</f>
        <v>Restore Stamina</v>
      </c>
      <c r="D311" s="612"/>
      <c r="E311" s="612"/>
      <c r="F311" s="612"/>
      <c r="G311" s="613">
        <v>2.0</v>
      </c>
      <c r="H311" s="614"/>
    </row>
    <row r="312">
      <c r="A312" s="476" t="s">
        <v>132</v>
      </c>
      <c r="B312" s="611" t="str">
        <f t="shared" si="80"/>
        <v>Powdered Mammoth Tusk </v>
      </c>
      <c r="C312" s="611" t="str">
        <f>HYPERLINK("https://en.uesp.net/wiki/Skyrim:Fortify_Sneak", "Fortify Sneak")</f>
        <v>Fortify Sneak</v>
      </c>
      <c r="D312" s="612"/>
      <c r="E312" s="612"/>
      <c r="F312" s="612"/>
      <c r="G312" s="613">
        <v>2.0</v>
      </c>
      <c r="H312" s="614"/>
    </row>
    <row r="313">
      <c r="A313" s="476" t="s">
        <v>132</v>
      </c>
      <c r="B313" s="611" t="str">
        <f t="shared" si="80"/>
        <v>Powdered Mammoth Tusk </v>
      </c>
      <c r="C313" s="611" t="str">
        <f>HYPERLINK("https://en.uesp.net/wiki/Skyrim:Weakness_to_Fire", "Weakness to Fire")</f>
        <v>Weakness to Fire</v>
      </c>
      <c r="D313" s="612"/>
      <c r="E313" s="612"/>
      <c r="F313" s="612"/>
      <c r="G313" s="613">
        <v>2.0</v>
      </c>
      <c r="H313" s="614"/>
    </row>
    <row r="314">
      <c r="A314" s="476" t="s">
        <v>132</v>
      </c>
      <c r="B314" s="611" t="str">
        <f t="shared" si="80"/>
        <v>Powdered Mammoth Tusk </v>
      </c>
      <c r="C314" s="611" t="str">
        <f>HYPERLINK("https://en.uesp.net/wiki/Skyrim:Fear", "Fear")</f>
        <v>Fear</v>
      </c>
      <c r="D314" s="612"/>
      <c r="E314" s="612"/>
      <c r="F314" s="612"/>
      <c r="G314" s="613">
        <v>2.0</v>
      </c>
      <c r="H314" s="614"/>
    </row>
    <row r="315">
      <c r="A315" s="476" t="s">
        <v>132</v>
      </c>
      <c r="B315" s="611" t="str">
        <f t="shared" ref="B315:B318" si="81">HYPERLINK("https://en.uesp.net/wiki/Skyrim:Purple_Mountain_Flower", "Purple Mountain Flower ")</f>
        <v>Purple Mountain Flower </v>
      </c>
      <c r="C315" s="611" t="str">
        <f>HYPERLINK("https://en.uesp.net/wiki/Skyrim:Restore_Stamina", "Restore Stamina")</f>
        <v>Restore Stamina</v>
      </c>
      <c r="D315" s="612"/>
      <c r="E315" s="612"/>
      <c r="F315" s="612"/>
      <c r="G315" s="613">
        <v>2.0</v>
      </c>
      <c r="H315" s="613">
        <v>3.0</v>
      </c>
    </row>
    <row r="316">
      <c r="A316" s="476" t="s">
        <v>132</v>
      </c>
      <c r="B316" s="611" t="str">
        <f t="shared" si="81"/>
        <v>Purple Mountain Flower </v>
      </c>
      <c r="C316" s="611" t="str">
        <f>HYPERLINK("https://en.uesp.net/wiki/Skyrim:Fortify_Sneak", "Fortify Sneak")</f>
        <v>Fortify Sneak</v>
      </c>
      <c r="D316" s="612"/>
      <c r="E316" s="612"/>
      <c r="F316" s="612"/>
      <c r="G316" s="613">
        <v>2.0</v>
      </c>
      <c r="H316" s="613">
        <v>3.0</v>
      </c>
    </row>
    <row r="317">
      <c r="A317" s="476" t="s">
        <v>132</v>
      </c>
      <c r="B317" s="611" t="str">
        <f t="shared" si="81"/>
        <v>Purple Mountain Flower </v>
      </c>
      <c r="C317" s="611" t="str">
        <f>HYPERLINK("https://en.uesp.net/wiki/Skyrim:Lingering_Damage_Magicka", "Lingering Damage Magicka")</f>
        <v>Lingering Damage Magicka</v>
      </c>
      <c r="D317" s="612"/>
      <c r="E317" s="612"/>
      <c r="F317" s="612"/>
      <c r="G317" s="613">
        <v>2.0</v>
      </c>
      <c r="H317" s="613">
        <v>3.0</v>
      </c>
    </row>
    <row r="318">
      <c r="A318" s="476" t="s">
        <v>132</v>
      </c>
      <c r="B318" s="611" t="str">
        <f t="shared" si="81"/>
        <v>Purple Mountain Flower </v>
      </c>
      <c r="C318" s="611" t="str">
        <f>HYPERLINK("https://en.uesp.net/wiki/Skyrim:Resist_Frost", "Resist Frost")</f>
        <v>Resist Frost</v>
      </c>
      <c r="D318" s="612"/>
      <c r="E318" s="612"/>
      <c r="F318" s="612"/>
      <c r="G318" s="613">
        <v>2.0</v>
      </c>
      <c r="H318" s="613">
        <v>3.0</v>
      </c>
    </row>
    <row r="319">
      <c r="A319" s="476" t="s">
        <v>132</v>
      </c>
      <c r="B319" s="611" t="str">
        <f t="shared" ref="B319:B322" si="82">HYPERLINK("https://en.uesp.net/wiki/Skyrim:Red_Mountain_Flower", "Red Mountain Flower ")</f>
        <v>Red Mountain Flower </v>
      </c>
      <c r="C319" s="611" t="str">
        <f>HYPERLINK("https://en.uesp.net/wiki/Skyrim:Restore_Magicka", "Restore Magicka")</f>
        <v>Restore Magicka</v>
      </c>
      <c r="D319" s="612"/>
      <c r="E319" s="612"/>
      <c r="F319" s="612"/>
      <c r="G319" s="613">
        <v>2.0</v>
      </c>
      <c r="H319" s="613">
        <v>3.0</v>
      </c>
    </row>
    <row r="320">
      <c r="A320" s="476" t="s">
        <v>132</v>
      </c>
      <c r="B320" s="611" t="str">
        <f t="shared" si="82"/>
        <v>Red Mountain Flower </v>
      </c>
      <c r="C320" s="611" t="str">
        <f>HYPERLINK("https://en.uesp.net/wiki/Skyrim:Ravage_Magicka", "Ravage Magicka")</f>
        <v>Ravage Magicka</v>
      </c>
      <c r="D320" s="612"/>
      <c r="E320" s="612"/>
      <c r="F320" s="612"/>
      <c r="G320" s="613">
        <v>2.0</v>
      </c>
      <c r="H320" s="613">
        <v>3.0</v>
      </c>
    </row>
    <row r="321">
      <c r="A321" s="476" t="s">
        <v>132</v>
      </c>
      <c r="B321" s="611" t="str">
        <f t="shared" si="82"/>
        <v>Red Mountain Flower </v>
      </c>
      <c r="C321" s="611" t="str">
        <f>HYPERLINK("https://en.uesp.net/wiki/Skyrim:Fortify_Magicka", "Fortify Magicka")</f>
        <v>Fortify Magicka</v>
      </c>
      <c r="D321" s="612"/>
      <c r="E321" s="612"/>
      <c r="F321" s="612"/>
      <c r="G321" s="613">
        <v>2.0</v>
      </c>
      <c r="H321" s="613">
        <v>3.0</v>
      </c>
    </row>
    <row r="322">
      <c r="A322" s="476" t="s">
        <v>132</v>
      </c>
      <c r="B322" s="611" t="str">
        <f t="shared" si="82"/>
        <v>Red Mountain Flower </v>
      </c>
      <c r="C322" s="611" t="str">
        <f t="shared" ref="C322:C323" si="83">HYPERLINK("https://en.uesp.net/wiki/Skyrim:Damage_Health", "Damage Health")</f>
        <v>Damage Health</v>
      </c>
      <c r="D322" s="612"/>
      <c r="E322" s="612"/>
      <c r="F322" s="612"/>
      <c r="G322" s="613">
        <v>2.0</v>
      </c>
      <c r="H322" s="613">
        <v>3.0</v>
      </c>
    </row>
    <row r="323">
      <c r="A323" s="476" t="s">
        <v>132</v>
      </c>
      <c r="B323" s="611" t="str">
        <f t="shared" ref="B323:B326" si="84">HYPERLINK("https://en.uesp.net/wiki/Skyrim:River_Betty", "River Betty ")</f>
        <v>River Betty </v>
      </c>
      <c r="C323" s="611" t="str">
        <f t="shared" si="83"/>
        <v>Damage Health</v>
      </c>
      <c r="D323" s="616">
        <v>2.5</v>
      </c>
      <c r="E323" s="616"/>
      <c r="F323" s="612"/>
      <c r="G323" s="613">
        <v>15.0</v>
      </c>
      <c r="H323" s="614"/>
    </row>
    <row r="324">
      <c r="A324" s="476" t="s">
        <v>132</v>
      </c>
      <c r="B324" s="611" t="str">
        <f t="shared" si="84"/>
        <v>River Betty </v>
      </c>
      <c r="C324" s="611" t="str">
        <f>HYPERLINK("https://en.uesp.net/wiki/Skyrim:Fortify_Alteration", "Fortify Alteration")</f>
        <v>Fortify Alteration</v>
      </c>
      <c r="D324" s="612"/>
      <c r="E324" s="612"/>
      <c r="F324" s="612"/>
      <c r="G324" s="613">
        <v>15.0</v>
      </c>
      <c r="H324" s="614"/>
    </row>
    <row r="325">
      <c r="A325" s="476" t="s">
        <v>132</v>
      </c>
      <c r="B325" s="611" t="str">
        <f t="shared" si="84"/>
        <v>River Betty </v>
      </c>
      <c r="C325" s="611" t="str">
        <f>HYPERLINK("https://en.uesp.net/wiki/Skyrim:Slow", "Slow")</f>
        <v>Slow</v>
      </c>
      <c r="D325" s="612"/>
      <c r="E325" s="612"/>
      <c r="F325" s="612"/>
      <c r="G325" s="613">
        <v>15.0</v>
      </c>
      <c r="H325" s="614"/>
    </row>
    <row r="326">
      <c r="A326" s="476" t="s">
        <v>132</v>
      </c>
      <c r="B326" s="611" t="str">
        <f t="shared" si="84"/>
        <v>River Betty </v>
      </c>
      <c r="C326" s="611" t="str">
        <f>HYPERLINK("https://en.uesp.net/wiki/Skyrim:Fortify_Carry_Weight", "Fortify Carry Weight")</f>
        <v>Fortify Carry Weight</v>
      </c>
      <c r="D326" s="612"/>
      <c r="E326" s="612"/>
      <c r="F326" s="612"/>
      <c r="G326" s="613">
        <v>15.0</v>
      </c>
      <c r="H326" s="614"/>
    </row>
    <row r="327">
      <c r="A327" s="476" t="s">
        <v>132</v>
      </c>
      <c r="B327" s="611" t="str">
        <f t="shared" ref="B327:B330" si="85">HYPERLINK("https://en.uesp.net/wiki/Skyrim:Rock_Warbler_Egg", "Rock Warbler Egg ")</f>
        <v>Rock Warbler Egg </v>
      </c>
      <c r="C327" s="611" t="str">
        <f>HYPERLINK("https://en.uesp.net/wiki/Skyrim:Restore_Health", "Restore Health")</f>
        <v>Restore Health</v>
      </c>
      <c r="D327" s="612"/>
      <c r="E327" s="612"/>
      <c r="F327" s="612"/>
      <c r="G327" s="613">
        <v>2.0</v>
      </c>
      <c r="H327" s="614"/>
    </row>
    <row r="328">
      <c r="A328" s="476" t="s">
        <v>132</v>
      </c>
      <c r="B328" s="611" t="str">
        <f t="shared" si="85"/>
        <v>Rock Warbler Egg </v>
      </c>
      <c r="C328" s="611" t="str">
        <f>HYPERLINK("https://en.uesp.net/wiki/Skyrim:Fortify_One-handed", "Fortify One-handed")</f>
        <v>Fortify One-handed</v>
      </c>
      <c r="D328" s="612"/>
      <c r="E328" s="612"/>
      <c r="F328" s="612"/>
      <c r="G328" s="613">
        <v>2.0</v>
      </c>
      <c r="H328" s="614"/>
    </row>
    <row r="329">
      <c r="A329" s="476" t="s">
        <v>132</v>
      </c>
      <c r="B329" s="611" t="str">
        <f t="shared" si="85"/>
        <v>Rock Warbler Egg </v>
      </c>
      <c r="C329" s="611" t="str">
        <f>HYPERLINK("https://en.uesp.net/wiki/Skyrim:Damage_Stamina", "Damage Stamina")</f>
        <v>Damage Stamina</v>
      </c>
      <c r="D329" s="612"/>
      <c r="E329" s="612"/>
      <c r="F329" s="612"/>
      <c r="G329" s="613">
        <v>2.0</v>
      </c>
      <c r="H329" s="614"/>
    </row>
    <row r="330">
      <c r="A330" s="476" t="s">
        <v>132</v>
      </c>
      <c r="B330" s="611" t="str">
        <f t="shared" si="85"/>
        <v>Rock Warbler Egg </v>
      </c>
      <c r="C330" s="611" t="str">
        <f>HYPERLINK("https://en.uesp.net/wiki/Skyrim:Weakness_to_Magic", "Weakness to Magic")</f>
        <v>Weakness to Magic</v>
      </c>
      <c r="D330" s="612"/>
      <c r="E330" s="612"/>
      <c r="F330" s="612"/>
      <c r="G330" s="613">
        <v>2.0</v>
      </c>
      <c r="H330" s="614"/>
    </row>
    <row r="331">
      <c r="A331" s="476" t="s">
        <v>132</v>
      </c>
      <c r="B331" s="611" t="str">
        <f t="shared" ref="B331:B334" si="86">HYPERLINK("https://en.uesp.net/wiki/Skyrim:Sabre_Cat_Tooth", "Sabre Cat Tooth ")</f>
        <v>Sabre Cat Tooth </v>
      </c>
      <c r="C331" s="611" t="str">
        <f>HYPERLINK("https://en.uesp.net/wiki/Skyrim:Restore_Stamina", "Restore Stamina")</f>
        <v>Restore Stamina</v>
      </c>
      <c r="D331" s="612"/>
      <c r="E331" s="612"/>
      <c r="F331" s="612"/>
      <c r="G331" s="613">
        <v>2.0</v>
      </c>
      <c r="H331" s="614"/>
    </row>
    <row r="332">
      <c r="A332" s="476" t="s">
        <v>132</v>
      </c>
      <c r="B332" s="611" t="str">
        <f t="shared" si="86"/>
        <v>Sabre Cat Tooth </v>
      </c>
      <c r="C332" s="611" t="str">
        <f>HYPERLINK("https://en.uesp.net/wiki/Skyrim:Fortify_Heavy_Armor", "Fortify Heavy Armor")</f>
        <v>Fortify Heavy Armor</v>
      </c>
      <c r="D332" s="612"/>
      <c r="E332" s="612"/>
      <c r="F332" s="612"/>
      <c r="G332" s="613">
        <v>2.0</v>
      </c>
      <c r="H332" s="614"/>
    </row>
    <row r="333">
      <c r="A333" s="476" t="s">
        <v>132</v>
      </c>
      <c r="B333" s="611" t="str">
        <f t="shared" si="86"/>
        <v>Sabre Cat Tooth </v>
      </c>
      <c r="C333" s="611" t="str">
        <f>HYPERLINK("https://en.uesp.net/wiki/Skyrim:Fortify_Smithing", "Fortify Smithing")</f>
        <v>Fortify Smithing</v>
      </c>
      <c r="D333" s="612"/>
      <c r="E333" s="612"/>
      <c r="F333" s="612"/>
      <c r="G333" s="613">
        <v>2.0</v>
      </c>
      <c r="H333" s="614"/>
    </row>
    <row r="334">
      <c r="A334" s="476" t="s">
        <v>132</v>
      </c>
      <c r="B334" s="611" t="str">
        <f t="shared" si="86"/>
        <v>Sabre Cat Tooth </v>
      </c>
      <c r="C334" s="611" t="str">
        <f>HYPERLINK("https://en.uesp.net/wiki/Skyrim:Weakness_to_Poison", "Weakness to Poison")</f>
        <v>Weakness to Poison</v>
      </c>
      <c r="D334" s="612"/>
      <c r="E334" s="612"/>
      <c r="F334" s="612"/>
      <c r="G334" s="613">
        <v>2.0</v>
      </c>
      <c r="H334" s="614"/>
    </row>
    <row r="335">
      <c r="A335" s="476" t="s">
        <v>132</v>
      </c>
      <c r="B335" s="611" t="str">
        <f t="shared" ref="B335:B338" si="87">HYPERLINK("https://en.uesp.net/wiki/Skyrim:Salmon_Roe","Salmon Roe (HF)")</f>
        <v>Salmon Roe (HF)</v>
      </c>
      <c r="C335" s="611" t="str">
        <f>HYPERLINK("https://en.uesp.net/wiki/Skyrim:Restore_Stamina", "Restore Stamina")</f>
        <v>Restore Stamina</v>
      </c>
      <c r="D335" s="616">
        <v>0.4</v>
      </c>
      <c r="E335" s="616"/>
      <c r="F335" s="616">
        <v>0.36</v>
      </c>
      <c r="G335" s="613">
        <v>5.0</v>
      </c>
      <c r="H335" s="614"/>
    </row>
    <row r="336">
      <c r="A336" s="476" t="s">
        <v>132</v>
      </c>
      <c r="B336" s="611" t="str">
        <f t="shared" si="87"/>
        <v>Salmon Roe (HF)</v>
      </c>
      <c r="C336" s="611" t="str">
        <f>HYPERLINK("https://en.uesp.net/wiki/Skyrim:Waterbreathing", "Waterbreathing")</f>
        <v>Waterbreathing</v>
      </c>
      <c r="D336" s="616"/>
      <c r="E336" s="616">
        <v>12.0</v>
      </c>
      <c r="F336" s="616">
        <v>15.4</v>
      </c>
      <c r="G336" s="613">
        <v>5.0</v>
      </c>
      <c r="H336" s="614"/>
    </row>
    <row r="337">
      <c r="A337" s="476" t="s">
        <v>132</v>
      </c>
      <c r="B337" s="611" t="str">
        <f t="shared" si="87"/>
        <v>Salmon Roe (HF)</v>
      </c>
      <c r="C337" s="611" t="str">
        <f>HYPERLINK("https://en.uesp.net/wiki/Skyrim:Fortify_Magicka", "Fortify Magicka")</f>
        <v>Fortify Magicka</v>
      </c>
      <c r="D337" s="616">
        <v>12.5</v>
      </c>
      <c r="E337" s="616">
        <v>0.08</v>
      </c>
      <c r="F337" s="616">
        <v>1.05</v>
      </c>
      <c r="G337" s="613">
        <v>5.0</v>
      </c>
      <c r="H337" s="614"/>
    </row>
    <row r="338">
      <c r="A338" s="476" t="s">
        <v>132</v>
      </c>
      <c r="B338" s="611" t="str">
        <f t="shared" si="87"/>
        <v>Salmon Roe (HF)</v>
      </c>
      <c r="C338" s="611" t="str">
        <f>HYPERLINK("https://en.uesp.net/wiki/Skyrim:Regenerate_Magicka", "Regenerate Magicka")</f>
        <v>Regenerate Magicka</v>
      </c>
      <c r="D338" s="612"/>
      <c r="E338" s="612"/>
      <c r="F338" s="612"/>
      <c r="G338" s="613">
        <v>5.0</v>
      </c>
      <c r="H338" s="614"/>
    </row>
    <row r="339">
      <c r="A339" s="476" t="s">
        <v>132</v>
      </c>
      <c r="B339" s="611" t="str">
        <f t="shared" ref="B339:B342" si="88">HYPERLINK("https://en.uesp.net/wiki/Skyrim:Salt_Pile", "Salt Pile ")</f>
        <v>Salt Pile </v>
      </c>
      <c r="C339" s="611" t="str">
        <f>HYPERLINK("https://en.uesp.net/wiki/Skyrim:Weakness_to_Magic", "Weakness to Magic")</f>
        <v>Weakness to Magic</v>
      </c>
      <c r="D339" s="612"/>
      <c r="E339" s="612"/>
      <c r="F339" s="612"/>
      <c r="G339" s="613">
        <v>1.0</v>
      </c>
      <c r="H339" s="614"/>
    </row>
    <row r="340">
      <c r="A340" s="476" t="s">
        <v>132</v>
      </c>
      <c r="B340" s="611" t="str">
        <f t="shared" si="88"/>
        <v>Salt Pile </v>
      </c>
      <c r="C340" s="611" t="str">
        <f>HYPERLINK("https://en.uesp.net/wiki/Skyrim:Fortify_Restoration", "Fortify Restoration")</f>
        <v>Fortify Restoration</v>
      </c>
      <c r="D340" s="612"/>
      <c r="E340" s="612"/>
      <c r="F340" s="612"/>
      <c r="G340" s="613">
        <v>1.0</v>
      </c>
      <c r="H340" s="614"/>
    </row>
    <row r="341">
      <c r="A341" s="476" t="s">
        <v>132</v>
      </c>
      <c r="B341" s="611" t="str">
        <f t="shared" si="88"/>
        <v>Salt Pile </v>
      </c>
      <c r="C341" s="611" t="str">
        <f>HYPERLINK("https://en.uesp.net/wiki/Skyrim:Slow", "Slow")</f>
        <v>Slow</v>
      </c>
      <c r="D341" s="612"/>
      <c r="E341" s="612"/>
      <c r="F341" s="612"/>
      <c r="G341" s="613">
        <v>1.0</v>
      </c>
      <c r="H341" s="614"/>
    </row>
    <row r="342">
      <c r="A342" s="476" t="s">
        <v>132</v>
      </c>
      <c r="B342" s="611" t="str">
        <f t="shared" si="88"/>
        <v>Salt Pile </v>
      </c>
      <c r="C342" s="611" t="str">
        <f>HYPERLINK("https://en.uesp.net/wiki/Skyrim:Regenerate_Magicka", "Regenerate Magicka")</f>
        <v>Regenerate Magicka</v>
      </c>
      <c r="D342" s="612"/>
      <c r="E342" s="612"/>
      <c r="F342" s="612"/>
      <c r="G342" s="613">
        <v>1.0</v>
      </c>
      <c r="H342" s="614"/>
    </row>
    <row r="343">
      <c r="A343" s="476" t="s">
        <v>132</v>
      </c>
      <c r="B343" s="611" t="str">
        <f t="shared" ref="B343:B346" si="89">HYPERLINK("https://en.uesp.net/wiki/Skyrim:Scaly_Pholiota", "Scaly Pholiota ")</f>
        <v>Scaly Pholiota </v>
      </c>
      <c r="C343" s="611" t="str">
        <f>HYPERLINK("https://en.uesp.net/wiki/Skyrim:Weakness_to_Magic", "Weakness to Magic")</f>
        <v>Weakness to Magic</v>
      </c>
      <c r="D343" s="612"/>
      <c r="E343" s="612"/>
      <c r="F343" s="612"/>
      <c r="G343" s="613">
        <v>4.0</v>
      </c>
      <c r="H343" s="613">
        <v>5.0</v>
      </c>
    </row>
    <row r="344">
      <c r="A344" s="476" t="s">
        <v>132</v>
      </c>
      <c r="B344" s="611" t="str">
        <f t="shared" si="89"/>
        <v>Scaly Pholiota </v>
      </c>
      <c r="C344" s="611" t="str">
        <f>HYPERLINK("https://en.uesp.net/wiki/Skyrim:Fortify_Illusion", "Fortify Illusion")</f>
        <v>Fortify Illusion</v>
      </c>
      <c r="D344" s="612"/>
      <c r="E344" s="612"/>
      <c r="F344" s="612"/>
      <c r="G344" s="613">
        <v>4.0</v>
      </c>
      <c r="H344" s="613">
        <v>5.0</v>
      </c>
    </row>
    <row r="345">
      <c r="A345" s="476" t="s">
        <v>132</v>
      </c>
      <c r="B345" s="611" t="str">
        <f t="shared" si="89"/>
        <v>Scaly Pholiota </v>
      </c>
      <c r="C345" s="611" t="str">
        <f>HYPERLINK("https://en.uesp.net/wiki/Skyrim:Regenerate_Stamina", "Regenerate Stamina")</f>
        <v>Regenerate Stamina</v>
      </c>
      <c r="D345" s="612"/>
      <c r="E345" s="612"/>
      <c r="F345" s="612"/>
      <c r="G345" s="613">
        <v>4.0</v>
      </c>
      <c r="H345" s="613">
        <v>5.0</v>
      </c>
    </row>
    <row r="346">
      <c r="A346" s="476" t="s">
        <v>132</v>
      </c>
      <c r="B346" s="611" t="str">
        <f t="shared" si="89"/>
        <v>Scaly Pholiota </v>
      </c>
      <c r="C346" s="611" t="str">
        <f>HYPERLINK("https://en.uesp.net/wiki/Skyrim:Fortify_Carry_Weight", "Fortify Carry Weight")</f>
        <v>Fortify Carry Weight</v>
      </c>
      <c r="D346" s="612"/>
      <c r="E346" s="612"/>
      <c r="F346" s="612"/>
      <c r="G346" s="613">
        <v>4.0</v>
      </c>
      <c r="H346" s="613">
        <v>5.0</v>
      </c>
    </row>
    <row r="347">
      <c r="A347" s="476" t="s">
        <v>132</v>
      </c>
      <c r="B347" s="611" t="str">
        <f t="shared" ref="B347:B350" si="90">HYPERLINK("https://en.uesp.net/wiki/Skyrim:Scathecraw","Scathecraw (DB)")</f>
        <v>Scathecraw (DB)</v>
      </c>
      <c r="C347" s="611" t="str">
        <f>HYPERLINK("https://en.uesp.net/wiki/Skyrim:Ravage_Health", "Ravage Health")</f>
        <v>Ravage Health</v>
      </c>
      <c r="D347" s="612"/>
      <c r="E347" s="612"/>
      <c r="F347" s="612"/>
      <c r="G347" s="613">
        <v>1.0</v>
      </c>
      <c r="H347" s="614"/>
    </row>
    <row r="348">
      <c r="A348" s="476" t="s">
        <v>132</v>
      </c>
      <c r="B348" s="611" t="str">
        <f t="shared" si="90"/>
        <v>Scathecraw (DB)</v>
      </c>
      <c r="C348" s="611" t="str">
        <f>HYPERLINK("https://en.uesp.net/wiki/Skyrim:Ravage_Stamina", "Ravage Stamina")</f>
        <v>Ravage Stamina</v>
      </c>
      <c r="D348" s="612"/>
      <c r="E348" s="612"/>
      <c r="F348" s="612"/>
      <c r="G348" s="613">
        <v>1.0</v>
      </c>
      <c r="H348" s="614"/>
    </row>
    <row r="349">
      <c r="A349" s="476" t="s">
        <v>132</v>
      </c>
      <c r="B349" s="611" t="str">
        <f t="shared" si="90"/>
        <v>Scathecraw (DB)</v>
      </c>
      <c r="C349" s="611" t="str">
        <f>HYPERLINK("https://en.uesp.net/wiki/Skyrim:Ravage_Magicka", "Ravage Magicka")</f>
        <v>Ravage Magicka</v>
      </c>
      <c r="D349" s="612"/>
      <c r="E349" s="612"/>
      <c r="F349" s="612"/>
      <c r="G349" s="613">
        <v>1.0</v>
      </c>
      <c r="H349" s="614"/>
    </row>
    <row r="350">
      <c r="A350" s="476" t="s">
        <v>132</v>
      </c>
      <c r="B350" s="611" t="str">
        <f t="shared" si="90"/>
        <v>Scathecraw (DB)</v>
      </c>
      <c r="C350" s="611" t="str">
        <f>HYPERLINK("https://en.uesp.net/wiki/Skyrim:Lingering_Damage_Health", "Lingering Damage Health")</f>
        <v>Lingering Damage Health</v>
      </c>
      <c r="D350" s="612"/>
      <c r="E350" s="612"/>
      <c r="F350" s="612"/>
      <c r="G350" s="613">
        <v>1.0</v>
      </c>
      <c r="H350" s="614"/>
    </row>
    <row r="351">
      <c r="A351" s="476" t="s">
        <v>132</v>
      </c>
      <c r="B351" s="611" t="str">
        <f t="shared" ref="B351:B354" si="91">HYPERLINK("https://en.uesp.net/wiki/Skyrim:Silverside_Perch", "Silverside Perch ")</f>
        <v>Silverside Perch </v>
      </c>
      <c r="C351" s="611" t="str">
        <f>HYPERLINK("https://en.uesp.net/wiki/Skyrim:Restore_Stamina", "Restore Stamina")</f>
        <v>Restore Stamina</v>
      </c>
      <c r="D351" s="612"/>
      <c r="E351" s="612"/>
      <c r="F351" s="612"/>
      <c r="G351" s="613">
        <v>15.0</v>
      </c>
      <c r="H351" s="614"/>
    </row>
    <row r="352">
      <c r="A352" s="476" t="s">
        <v>132</v>
      </c>
      <c r="B352" s="611" t="str">
        <f t="shared" si="91"/>
        <v>Silverside Perch </v>
      </c>
      <c r="C352" s="611" t="str">
        <f>HYPERLINK("https://en.uesp.net/wiki/Skyrim:Damage_Stamina_Regen", "Damage Stamina Regen")</f>
        <v>Damage Stamina Regen</v>
      </c>
      <c r="D352" s="612"/>
      <c r="E352" s="612"/>
      <c r="F352" s="612"/>
      <c r="G352" s="613">
        <v>15.0</v>
      </c>
      <c r="H352" s="614"/>
    </row>
    <row r="353">
      <c r="A353" s="476" t="s">
        <v>132</v>
      </c>
      <c r="B353" s="611" t="str">
        <f t="shared" si="91"/>
        <v>Silverside Perch </v>
      </c>
      <c r="C353" s="611" t="str">
        <f>HYPERLINK("https://en.uesp.net/wiki/Skyrim:Ravage_Health", "Ravage Health")</f>
        <v>Ravage Health</v>
      </c>
      <c r="D353" s="612"/>
      <c r="E353" s="612"/>
      <c r="F353" s="612"/>
      <c r="G353" s="613">
        <v>15.0</v>
      </c>
      <c r="H353" s="614"/>
    </row>
    <row r="354">
      <c r="A354" s="476" t="s">
        <v>132</v>
      </c>
      <c r="B354" s="611" t="str">
        <f t="shared" si="91"/>
        <v>Silverside Perch </v>
      </c>
      <c r="C354" s="611" t="str">
        <f>HYPERLINK("https://en.uesp.net/wiki/Skyrim:Resist_Frost", "Resist Frost")</f>
        <v>Resist Frost</v>
      </c>
      <c r="D354" s="612"/>
      <c r="E354" s="612"/>
      <c r="F354" s="612"/>
      <c r="G354" s="613">
        <v>15.0</v>
      </c>
      <c r="H354" s="614"/>
    </row>
    <row r="355">
      <c r="A355" s="476" t="s">
        <v>132</v>
      </c>
      <c r="B355" s="611" t="str">
        <f t="shared" ref="B355:B358" si="92">HYPERLINK("https://en.uesp.net/wiki/Skyrim:Skeever_Tail", "Skeever Tail ")</f>
        <v>Skeever Tail </v>
      </c>
      <c r="C355" s="611" t="str">
        <f>HYPERLINK("https://en.uesp.net/wiki/Skyrim:Damage_Stamina_Regen", "Damage Stamina Regen")</f>
        <v>Damage Stamina Regen</v>
      </c>
      <c r="D355" s="612"/>
      <c r="E355" s="612"/>
      <c r="F355" s="612"/>
      <c r="G355" s="613">
        <v>3.0</v>
      </c>
      <c r="H355" s="614"/>
    </row>
    <row r="356">
      <c r="A356" s="476" t="s">
        <v>132</v>
      </c>
      <c r="B356" s="611" t="str">
        <f t="shared" si="92"/>
        <v>Skeever Tail </v>
      </c>
      <c r="C356" s="611" t="str">
        <f>HYPERLINK("https://en.uesp.net/wiki/Skyrim:Ravage_Health", "Ravage Health")</f>
        <v>Ravage Health</v>
      </c>
      <c r="D356" s="612"/>
      <c r="E356" s="612"/>
      <c r="F356" s="612"/>
      <c r="G356" s="613">
        <v>3.0</v>
      </c>
      <c r="H356" s="614"/>
    </row>
    <row r="357">
      <c r="A357" s="476" t="s">
        <v>132</v>
      </c>
      <c r="B357" s="611" t="str">
        <f t="shared" si="92"/>
        <v>Skeever Tail </v>
      </c>
      <c r="C357" s="611" t="str">
        <f>HYPERLINK("https://en.uesp.net/wiki/Skyrim:Damage_Health", "Damage Health")</f>
        <v>Damage Health</v>
      </c>
      <c r="D357" s="612"/>
      <c r="E357" s="612"/>
      <c r="F357" s="612"/>
      <c r="G357" s="613">
        <v>3.0</v>
      </c>
      <c r="H357" s="614"/>
    </row>
    <row r="358">
      <c r="A358" s="476" t="s">
        <v>132</v>
      </c>
      <c r="B358" s="611" t="str">
        <f t="shared" si="92"/>
        <v>Skeever Tail </v>
      </c>
      <c r="C358" s="611" t="str">
        <f>HYPERLINK("https://en.uesp.net/wiki/Skyrim:Fortify_Light_Armor", "Fortify Light Armor")</f>
        <v>Fortify Light Armor</v>
      </c>
      <c r="D358" s="612"/>
      <c r="E358" s="612"/>
      <c r="F358" s="612"/>
      <c r="G358" s="613">
        <v>3.0</v>
      </c>
      <c r="H358" s="614"/>
    </row>
    <row r="359">
      <c r="A359" s="476" t="s">
        <v>132</v>
      </c>
      <c r="B359" s="611" t="str">
        <f t="shared" ref="B359:B362" si="93">HYPERLINK("https://en.uesp.net/wiki/Skyrim:Slaughterfish_Egg", "Slaughterfish Egg ")</f>
        <v>Slaughterfish Egg </v>
      </c>
      <c r="C359" s="611" t="str">
        <f>HYPERLINK("https://en.uesp.net/wiki/Skyrim:Resist_Poison", "Resist Poison")</f>
        <v>Resist Poison</v>
      </c>
      <c r="D359" s="612"/>
      <c r="E359" s="612"/>
      <c r="F359" s="612"/>
      <c r="G359" s="613">
        <v>3.0</v>
      </c>
      <c r="H359" s="614"/>
    </row>
    <row r="360">
      <c r="A360" s="476" t="s">
        <v>132</v>
      </c>
      <c r="B360" s="611" t="str">
        <f t="shared" si="93"/>
        <v>Slaughterfish Egg </v>
      </c>
      <c r="C360" s="611" t="str">
        <f>HYPERLINK("https://en.uesp.net/wiki/Skyrim:Fortify_Pickpocket", "Fortify Pickpocket")</f>
        <v>Fortify Pickpocket</v>
      </c>
      <c r="D360" s="612"/>
      <c r="E360" s="612"/>
      <c r="F360" s="612"/>
      <c r="G360" s="613">
        <v>3.0</v>
      </c>
      <c r="H360" s="614"/>
    </row>
    <row r="361">
      <c r="A361" s="476" t="s">
        <v>132</v>
      </c>
      <c r="B361" s="611" t="str">
        <f t="shared" si="93"/>
        <v>Slaughterfish Egg </v>
      </c>
      <c r="C361" s="611" t="str">
        <f>HYPERLINK("https://en.uesp.net/wiki/Skyrim:Lingering_Damage_Health", "Lingering Damage Health")</f>
        <v>Lingering Damage Health</v>
      </c>
      <c r="D361" s="612"/>
      <c r="E361" s="612"/>
      <c r="F361" s="612"/>
      <c r="G361" s="613">
        <v>3.0</v>
      </c>
      <c r="H361" s="614"/>
    </row>
    <row r="362">
      <c r="A362" s="476" t="s">
        <v>132</v>
      </c>
      <c r="B362" s="611" t="str">
        <f t="shared" si="93"/>
        <v>Slaughterfish Egg </v>
      </c>
      <c r="C362" s="611" t="str">
        <f>HYPERLINK("https://en.uesp.net/wiki/Skyrim:Fortify_Stamina", "Fortify Stamina")</f>
        <v>Fortify Stamina</v>
      </c>
      <c r="D362" s="612"/>
      <c r="E362" s="612"/>
      <c r="F362" s="612"/>
      <c r="G362" s="613">
        <v>3.0</v>
      </c>
      <c r="H362" s="614"/>
    </row>
    <row r="363">
      <c r="A363" s="476" t="s">
        <v>132</v>
      </c>
      <c r="B363" s="611" t="str">
        <f t="shared" ref="B363:B366" si="94">HYPERLINK("https://en.uesp.net/wiki/Skyrim:Slaughterfish_Scales", "Slaughterfish Scales ")</f>
        <v>Slaughterfish Scales </v>
      </c>
      <c r="C363" s="611" t="str">
        <f>HYPERLINK("https://en.uesp.net/wiki/Skyrim:Resist_Frost", "Resist Frost")</f>
        <v>Resist Frost</v>
      </c>
      <c r="D363" s="612"/>
      <c r="E363" s="612"/>
      <c r="F363" s="612"/>
      <c r="G363" s="613">
        <v>3.0</v>
      </c>
      <c r="H363" s="614"/>
    </row>
    <row r="364">
      <c r="A364" s="476" t="s">
        <v>132</v>
      </c>
      <c r="B364" s="611" t="str">
        <f t="shared" si="94"/>
        <v>Slaughterfish Scales </v>
      </c>
      <c r="C364" s="611" t="str">
        <f>HYPERLINK("https://en.uesp.net/wiki/Skyrim:Lingering_Damage_Health", "Lingering Damage Health")</f>
        <v>Lingering Damage Health</v>
      </c>
      <c r="D364" s="612"/>
      <c r="E364" s="612"/>
      <c r="F364" s="612"/>
      <c r="G364" s="613">
        <v>3.0</v>
      </c>
      <c r="H364" s="614"/>
    </row>
    <row r="365">
      <c r="A365" s="476" t="s">
        <v>132</v>
      </c>
      <c r="B365" s="611" t="str">
        <f t="shared" si="94"/>
        <v>Slaughterfish Scales </v>
      </c>
      <c r="C365" s="611" t="str">
        <f>HYPERLINK("https://en.uesp.net/wiki/Skyrim:Fortify_Heavy_Armor", "Fortify Heavy Armor")</f>
        <v>Fortify Heavy Armor</v>
      </c>
      <c r="D365" s="612"/>
      <c r="E365" s="612"/>
      <c r="F365" s="612"/>
      <c r="G365" s="613">
        <v>3.0</v>
      </c>
      <c r="H365" s="614"/>
    </row>
    <row r="366">
      <c r="A366" s="476" t="s">
        <v>132</v>
      </c>
      <c r="B366" s="611" t="str">
        <f t="shared" si="94"/>
        <v>Slaughterfish Scales </v>
      </c>
      <c r="C366" s="611" t="str">
        <f>HYPERLINK("https://en.uesp.net/wiki/Skyrim:Fortify_Block", "Fortify Block")</f>
        <v>Fortify Block</v>
      </c>
      <c r="D366" s="612"/>
      <c r="E366" s="612"/>
      <c r="F366" s="612"/>
      <c r="G366" s="613">
        <v>3.0</v>
      </c>
      <c r="H366" s="614"/>
    </row>
    <row r="367">
      <c r="A367" s="476" t="s">
        <v>132</v>
      </c>
      <c r="B367" s="611" t="str">
        <f t="shared" ref="B367:B370" si="95">HYPERLINK("https://en.uesp.net/wiki/Skyrim:Small_Antlers", "Small Antlers ")</f>
        <v>Small Antlers </v>
      </c>
      <c r="C367" s="611" t="str">
        <f>HYPERLINK("https://en.uesp.net/wiki/Skyrim:Weakness_to_Poison", "Weakness to Poison")</f>
        <v>Weakness to Poison</v>
      </c>
      <c r="D367" s="612"/>
      <c r="E367" s="612"/>
      <c r="F367" s="612"/>
      <c r="G367" s="613">
        <v>2.0</v>
      </c>
      <c r="H367" s="614"/>
    </row>
    <row r="368">
      <c r="A368" s="476" t="s">
        <v>132</v>
      </c>
      <c r="B368" s="611" t="str">
        <f t="shared" si="95"/>
        <v>Small Antlers </v>
      </c>
      <c r="C368" s="611" t="str">
        <f>HYPERLINK("https://en.uesp.net/wiki/Skyrim:Fortify_Restoration", "Fortify Restoration")</f>
        <v>Fortify Restoration</v>
      </c>
      <c r="D368" s="612"/>
      <c r="E368" s="612"/>
      <c r="F368" s="612"/>
      <c r="G368" s="613">
        <v>2.0</v>
      </c>
      <c r="H368" s="614"/>
    </row>
    <row r="369">
      <c r="A369" s="476" t="s">
        <v>132</v>
      </c>
      <c r="B369" s="611" t="str">
        <f t="shared" si="95"/>
        <v>Small Antlers </v>
      </c>
      <c r="C369" s="611" t="str">
        <f>HYPERLINK("https://en.uesp.net/wiki/Skyrim:Lingering_Damage_Stamina", "Lingering Damage Stamina")</f>
        <v>Lingering Damage Stamina</v>
      </c>
      <c r="D369" s="612"/>
      <c r="E369" s="612"/>
      <c r="F369" s="612"/>
      <c r="G369" s="613">
        <v>2.0</v>
      </c>
      <c r="H369" s="614"/>
    </row>
    <row r="370">
      <c r="A370" s="476" t="s">
        <v>132</v>
      </c>
      <c r="B370" s="611" t="str">
        <f t="shared" si="95"/>
        <v>Small Antlers </v>
      </c>
      <c r="C370" s="611" t="str">
        <f>HYPERLINK("https://en.uesp.net/wiki/Skyrim:Damage_Health", "Damage Health")</f>
        <v>Damage Health</v>
      </c>
      <c r="D370" s="612"/>
      <c r="E370" s="612"/>
      <c r="F370" s="612"/>
      <c r="G370" s="613">
        <v>2.0</v>
      </c>
      <c r="H370" s="614"/>
    </row>
    <row r="371">
      <c r="A371" s="476" t="s">
        <v>132</v>
      </c>
      <c r="B371" s="611" t="str">
        <f t="shared" ref="B371:B374" si="96">HYPERLINK("https://en.uesp.net/wiki/Skyrim:Small_Pearl", "Small Pearl ")</f>
        <v>Small Pearl </v>
      </c>
      <c r="C371" s="611" t="str">
        <f>HYPERLINK("https://en.uesp.net/wiki/Skyrim:Restore_Stamina", "Restore Stamina")</f>
        <v>Restore Stamina</v>
      </c>
      <c r="D371" s="612"/>
      <c r="E371" s="612"/>
      <c r="F371" s="612"/>
      <c r="G371" s="613">
        <v>2.0</v>
      </c>
      <c r="H371" s="614"/>
    </row>
    <row r="372">
      <c r="A372" s="476" t="s">
        <v>132</v>
      </c>
      <c r="B372" s="611" t="str">
        <f t="shared" si="96"/>
        <v>Small Pearl </v>
      </c>
      <c r="C372" s="611" t="str">
        <f>HYPERLINK("https://en.uesp.net/wiki/Skyrim:Fortify_One-handed", "Fortify One-handed")</f>
        <v>Fortify One-handed</v>
      </c>
      <c r="D372" s="612"/>
      <c r="E372" s="612"/>
      <c r="F372" s="612"/>
      <c r="G372" s="613">
        <v>2.0</v>
      </c>
      <c r="H372" s="614"/>
    </row>
    <row r="373">
      <c r="A373" s="476" t="s">
        <v>132</v>
      </c>
      <c r="B373" s="611" t="str">
        <f t="shared" si="96"/>
        <v>Small Pearl </v>
      </c>
      <c r="C373" s="611" t="str">
        <f>HYPERLINK("https://en.uesp.net/wiki/Skyrim:Fortify_Restoration", "Fortify Restoration")</f>
        <v>Fortify Restoration</v>
      </c>
      <c r="D373" s="612"/>
      <c r="E373" s="612"/>
      <c r="F373" s="612"/>
      <c r="G373" s="613">
        <v>2.0</v>
      </c>
      <c r="H373" s="614"/>
    </row>
    <row r="374">
      <c r="A374" s="476" t="s">
        <v>132</v>
      </c>
      <c r="B374" s="611" t="str">
        <f t="shared" si="96"/>
        <v>Small Pearl </v>
      </c>
      <c r="C374" s="611" t="str">
        <f>HYPERLINK("https://en.uesp.net/wiki/Skyrim:Resist_Frost", "Resist Frost")</f>
        <v>Resist Frost</v>
      </c>
      <c r="D374" s="612"/>
      <c r="E374" s="612"/>
      <c r="F374" s="612"/>
      <c r="G374" s="613">
        <v>2.0</v>
      </c>
      <c r="H374" s="614"/>
    </row>
    <row r="375">
      <c r="A375" s="476" t="s">
        <v>132</v>
      </c>
      <c r="B375" s="611" t="str">
        <f t="shared" ref="B375:B378" si="97">HYPERLINK("https://en.uesp.net/wiki/Skyrim:Snowberries", "Snowberries ")</f>
        <v>Snowberries </v>
      </c>
      <c r="C375" s="611" t="str">
        <f>HYPERLINK("https://en.uesp.net/wiki/Skyrim:Resist_Fire", "Resist Fire")</f>
        <v>Resist Fire</v>
      </c>
      <c r="D375" s="612"/>
      <c r="E375" s="612"/>
      <c r="F375" s="612"/>
      <c r="G375" s="613">
        <v>4.0</v>
      </c>
      <c r="H375" s="613">
        <v>4.0</v>
      </c>
    </row>
    <row r="376">
      <c r="A376" s="476" t="s">
        <v>132</v>
      </c>
      <c r="B376" s="611" t="str">
        <f t="shared" si="97"/>
        <v>Snowberries </v>
      </c>
      <c r="C376" s="611" t="str">
        <f>HYPERLINK("https://en.uesp.net/wiki/Skyrim:Fortify_Enchanting", "Fortify Enchanting")</f>
        <v>Fortify Enchanting</v>
      </c>
      <c r="D376" s="612"/>
      <c r="E376" s="612"/>
      <c r="F376" s="612"/>
      <c r="G376" s="613">
        <v>4.0</v>
      </c>
      <c r="H376" s="613">
        <v>4.0</v>
      </c>
    </row>
    <row r="377">
      <c r="A377" s="476" t="s">
        <v>132</v>
      </c>
      <c r="B377" s="611" t="str">
        <f t="shared" si="97"/>
        <v>Snowberries </v>
      </c>
      <c r="C377" s="611" t="str">
        <f>HYPERLINK("https://en.uesp.net/wiki/Skyrim:Resist_Frost", "Resist Frost")</f>
        <v>Resist Frost</v>
      </c>
      <c r="D377" s="612"/>
      <c r="E377" s="612"/>
      <c r="F377" s="612"/>
      <c r="G377" s="613">
        <v>4.0</v>
      </c>
      <c r="H377" s="613">
        <v>4.0</v>
      </c>
    </row>
    <row r="378">
      <c r="A378" s="476" t="s">
        <v>132</v>
      </c>
      <c r="B378" s="611" t="str">
        <f t="shared" si="97"/>
        <v>Snowberries </v>
      </c>
      <c r="C378" s="611" t="str">
        <f>HYPERLINK("https://en.uesp.net/wiki/Skyrim:Resist_Shock", "Resist Shock")</f>
        <v>Resist Shock</v>
      </c>
      <c r="D378" s="612"/>
      <c r="E378" s="612"/>
      <c r="F378" s="612"/>
      <c r="G378" s="613">
        <v>4.0</v>
      </c>
      <c r="H378" s="613">
        <v>4.0</v>
      </c>
    </row>
    <row r="379">
      <c r="A379" s="476" t="s">
        <v>132</v>
      </c>
      <c r="B379" s="611" t="str">
        <f t="shared" ref="B379:B382" si="98">HYPERLINK("https://en.uesp.net/wiki/Skyrim:Spawn_Ash","Spawn Ash (DB)")</f>
        <v>Spawn Ash (DB)</v>
      </c>
      <c r="C379" s="611" t="str">
        <f>HYPERLINK("https://en.uesp.net/wiki/Skyrim:Ravage_Stamina", "Ravage Stamina")</f>
        <v>Ravage Stamina</v>
      </c>
      <c r="D379" s="612"/>
      <c r="E379" s="612"/>
      <c r="F379" s="612"/>
      <c r="G379" s="613">
        <v>20.0</v>
      </c>
      <c r="H379" s="614"/>
    </row>
    <row r="380">
      <c r="A380" s="476" t="s">
        <v>132</v>
      </c>
      <c r="B380" s="611" t="str">
        <f t="shared" si="98"/>
        <v>Spawn Ash (DB)</v>
      </c>
      <c r="C380" s="611" t="str">
        <f>HYPERLINK("https://en.uesp.net/wiki/Skyrim:Resist_Fire", "Resist Fire")</f>
        <v>Resist Fire</v>
      </c>
      <c r="D380" s="612"/>
      <c r="E380" s="612"/>
      <c r="F380" s="612"/>
      <c r="G380" s="613">
        <v>20.0</v>
      </c>
      <c r="H380" s="614"/>
    </row>
    <row r="381">
      <c r="A381" s="476" t="s">
        <v>132</v>
      </c>
      <c r="B381" s="611" t="str">
        <f t="shared" si="98"/>
        <v>Spawn Ash (DB)</v>
      </c>
      <c r="C381" s="611" t="str">
        <f>HYPERLINK("https://en.uesp.net/wiki/Skyrim:Fortify_Enchanting", "Fortify Enchanting")</f>
        <v>Fortify Enchanting</v>
      </c>
      <c r="D381" s="612"/>
      <c r="E381" s="612"/>
      <c r="F381" s="612"/>
      <c r="G381" s="613">
        <v>20.0</v>
      </c>
      <c r="H381" s="614"/>
    </row>
    <row r="382">
      <c r="A382" s="476" t="s">
        <v>132</v>
      </c>
      <c r="B382" s="611" t="str">
        <f t="shared" si="98"/>
        <v>Spawn Ash (DB)</v>
      </c>
      <c r="C382" s="611" t="str">
        <f>HYPERLINK("https://en.uesp.net/wiki/Skyrim:Ravage_Magicka", "Ravage Magicka")</f>
        <v>Ravage Magicka</v>
      </c>
      <c r="D382" s="612"/>
      <c r="E382" s="612"/>
      <c r="F382" s="612"/>
      <c r="G382" s="613">
        <v>20.0</v>
      </c>
      <c r="H382" s="614"/>
    </row>
    <row r="383">
      <c r="A383" s="476" t="s">
        <v>132</v>
      </c>
      <c r="B383" s="611" t="str">
        <f t="shared" ref="B383:B386" si="99">HYPERLINK("https://en.uesp.net/wiki/Skyrim:Spider_Egg", "Spider Egg ")</f>
        <v>Spider Egg </v>
      </c>
      <c r="C383" s="611" t="str">
        <f>HYPERLINK("https://en.uesp.net/wiki/Skyrim:Damage_Stamina", "Damage Stamina")</f>
        <v>Damage Stamina</v>
      </c>
      <c r="D383" s="612"/>
      <c r="E383" s="612"/>
      <c r="F383" s="612"/>
      <c r="G383" s="613">
        <v>5.0</v>
      </c>
      <c r="H383" s="614"/>
    </row>
    <row r="384">
      <c r="A384" s="476" t="s">
        <v>132</v>
      </c>
      <c r="B384" s="611" t="str">
        <f t="shared" si="99"/>
        <v>Spider Egg </v>
      </c>
      <c r="C384" s="611" t="str">
        <f>HYPERLINK("https://en.uesp.net/wiki/Skyrim:Damage_Magicka_Regen", "Damage Magicka Regen")</f>
        <v>Damage Magicka Regen</v>
      </c>
      <c r="D384" s="612"/>
      <c r="E384" s="612"/>
      <c r="F384" s="612"/>
      <c r="G384" s="613">
        <v>5.0</v>
      </c>
      <c r="H384" s="614"/>
    </row>
    <row r="385">
      <c r="A385" s="476" t="s">
        <v>132</v>
      </c>
      <c r="B385" s="611" t="str">
        <f t="shared" si="99"/>
        <v>Spider Egg </v>
      </c>
      <c r="C385" s="611" t="str">
        <f>HYPERLINK("https://en.uesp.net/wiki/Skyrim:Fortify_Lockpicking", "Fortify Lockpicking")</f>
        <v>Fortify Lockpicking</v>
      </c>
      <c r="D385" s="612"/>
      <c r="E385" s="612"/>
      <c r="F385" s="612"/>
      <c r="G385" s="613">
        <v>5.0</v>
      </c>
      <c r="H385" s="614"/>
    </row>
    <row r="386">
      <c r="A386" s="476" t="s">
        <v>132</v>
      </c>
      <c r="B386" s="611" t="str">
        <f t="shared" si="99"/>
        <v>Spider Egg </v>
      </c>
      <c r="C386" s="611" t="str">
        <f>HYPERLINK("https://en.uesp.net/wiki/Skyrim:Fortify_Marksman", "Fortify Marksman")</f>
        <v>Fortify Marksman</v>
      </c>
      <c r="D386" s="612"/>
      <c r="E386" s="612"/>
      <c r="F386" s="612"/>
      <c r="G386" s="613">
        <v>5.0</v>
      </c>
      <c r="H386" s="614"/>
    </row>
    <row r="387">
      <c r="A387" s="476" t="s">
        <v>132</v>
      </c>
      <c r="B387" s="611" t="str">
        <f t="shared" ref="B387:B390" si="100">HYPERLINK("https://en.uesp.net/wiki/Skyrim:Spriggan_Sap", "Spriggan Sap ")</f>
        <v>Spriggan Sap </v>
      </c>
      <c r="C387" s="611" t="str">
        <f>HYPERLINK("https://en.uesp.net/wiki/Skyrim:Damage_Magicka_Regen", "Damage Magicka Regen")</f>
        <v>Damage Magicka Regen</v>
      </c>
      <c r="D387" s="612"/>
      <c r="E387" s="612"/>
      <c r="F387" s="612"/>
      <c r="G387" s="613">
        <v>15.0</v>
      </c>
      <c r="H387" s="614"/>
    </row>
    <row r="388">
      <c r="A388" s="476" t="s">
        <v>132</v>
      </c>
      <c r="B388" s="611" t="str">
        <f t="shared" si="100"/>
        <v>Spriggan Sap </v>
      </c>
      <c r="C388" s="611" t="str">
        <f>HYPERLINK("https://en.uesp.net/wiki/Skyrim:Fortify_Enchanting", "Fortify Enchanting")</f>
        <v>Fortify Enchanting</v>
      </c>
      <c r="D388" s="612"/>
      <c r="E388" s="612"/>
      <c r="F388" s="612"/>
      <c r="G388" s="613">
        <v>15.0</v>
      </c>
      <c r="H388" s="614"/>
    </row>
    <row r="389">
      <c r="A389" s="476" t="s">
        <v>132</v>
      </c>
      <c r="B389" s="611" t="str">
        <f t="shared" si="100"/>
        <v>Spriggan Sap </v>
      </c>
      <c r="C389" s="611" t="str">
        <f>HYPERLINK("https://en.uesp.net/wiki/Skyrim:Fortify_Smithing", "Fortify Smithing")</f>
        <v>Fortify Smithing</v>
      </c>
      <c r="D389" s="612"/>
      <c r="E389" s="612"/>
      <c r="F389" s="612"/>
      <c r="G389" s="613">
        <v>15.0</v>
      </c>
      <c r="H389" s="614"/>
    </row>
    <row r="390">
      <c r="A390" s="476" t="s">
        <v>132</v>
      </c>
      <c r="B390" s="611" t="str">
        <f t="shared" si="100"/>
        <v>Spriggan Sap </v>
      </c>
      <c r="C390" s="611" t="str">
        <f>HYPERLINK("https://en.uesp.net/wiki/Skyrim:Fortify_Alteration", "Fortify Alteration")</f>
        <v>Fortify Alteration</v>
      </c>
      <c r="D390" s="612"/>
      <c r="E390" s="612"/>
      <c r="F390" s="612"/>
      <c r="G390" s="613">
        <v>15.0</v>
      </c>
      <c r="H390" s="614"/>
    </row>
    <row r="391">
      <c r="A391" s="476" t="s">
        <v>132</v>
      </c>
      <c r="B391" s="611" t="str">
        <f t="shared" ref="B391:B394" si="101">HYPERLINK("https://en.uesp.net/wiki/Skyrim:Swamp_Fungal_Pod", "Swamp Fungal Pod ")</f>
        <v>Swamp Fungal Pod </v>
      </c>
      <c r="C391" s="611" t="str">
        <f>HYPERLINK("https://en.uesp.net/wiki/Skyrim:Resist_Shock", "Resist Shock")</f>
        <v>Resist Shock</v>
      </c>
      <c r="D391" s="612"/>
      <c r="E391" s="612"/>
      <c r="F391" s="612"/>
      <c r="G391" s="613">
        <v>5.0</v>
      </c>
      <c r="H391" s="613">
        <v>3.0</v>
      </c>
    </row>
    <row r="392">
      <c r="A392" s="476" t="s">
        <v>132</v>
      </c>
      <c r="B392" s="611" t="str">
        <f t="shared" si="101"/>
        <v>Swamp Fungal Pod </v>
      </c>
      <c r="C392" s="611" t="str">
        <f>HYPERLINK("https://en.uesp.net/wiki/Skyrim:Lingering_Damage_Magicka", "Lingering Damage Magicka")</f>
        <v>Lingering Damage Magicka</v>
      </c>
      <c r="D392" s="612"/>
      <c r="E392" s="612"/>
      <c r="F392" s="612"/>
      <c r="G392" s="613">
        <v>5.0</v>
      </c>
      <c r="H392" s="613">
        <v>3.0</v>
      </c>
    </row>
    <row r="393">
      <c r="A393" s="476" t="s">
        <v>132</v>
      </c>
      <c r="B393" s="611" t="str">
        <f t="shared" si="101"/>
        <v>Swamp Fungal Pod </v>
      </c>
      <c r="C393" s="611" t="str">
        <f>HYPERLINK("https://en.uesp.net/wiki/Skyrim:Paralysis", "Paralysis")</f>
        <v>Paralysis</v>
      </c>
      <c r="D393" s="612"/>
      <c r="E393" s="612"/>
      <c r="F393" s="612"/>
      <c r="G393" s="613">
        <v>5.0</v>
      </c>
      <c r="H393" s="613">
        <v>3.0</v>
      </c>
    </row>
    <row r="394">
      <c r="A394" s="476" t="s">
        <v>132</v>
      </c>
      <c r="B394" s="611" t="str">
        <f t="shared" si="101"/>
        <v>Swamp Fungal Pod </v>
      </c>
      <c r="C394" s="611" t="str">
        <f>HYPERLINK("https://en.uesp.net/wiki/Skyrim:Restore_Health", "Restore Health")</f>
        <v>Restore Health</v>
      </c>
      <c r="D394" s="612"/>
      <c r="E394" s="612"/>
      <c r="F394" s="612"/>
      <c r="G394" s="613">
        <v>5.0</v>
      </c>
      <c r="H394" s="613">
        <v>3.0</v>
      </c>
    </row>
    <row r="395">
      <c r="A395" s="476" t="s">
        <v>132</v>
      </c>
      <c r="B395" s="611" t="str">
        <f t="shared" ref="B395:B398" si="102">HYPERLINK("https://en.uesp.net/wiki/Skyrim:Taproot", "Taproot ")</f>
        <v>Taproot </v>
      </c>
      <c r="C395" s="611" t="str">
        <f>HYPERLINK("https://en.uesp.net/wiki/Skyrim:Weakness_to_Magic", "Weakness to Magic")</f>
        <v>Weakness to Magic</v>
      </c>
      <c r="D395" s="612"/>
      <c r="E395" s="612"/>
      <c r="F395" s="612"/>
      <c r="G395" s="613">
        <v>15.0</v>
      </c>
      <c r="H395" s="614"/>
    </row>
    <row r="396">
      <c r="A396" s="476" t="s">
        <v>132</v>
      </c>
      <c r="B396" s="611" t="str">
        <f t="shared" si="102"/>
        <v>Taproot </v>
      </c>
      <c r="C396" s="611" t="str">
        <f>HYPERLINK("https://en.uesp.net/wiki/Skyrim:Fortify_Illusion", "Fortify Illusion")</f>
        <v>Fortify Illusion</v>
      </c>
      <c r="D396" s="612"/>
      <c r="E396" s="612"/>
      <c r="F396" s="612"/>
      <c r="G396" s="613">
        <v>15.0</v>
      </c>
      <c r="H396" s="614"/>
    </row>
    <row r="397">
      <c r="A397" s="476" t="s">
        <v>132</v>
      </c>
      <c r="B397" s="611" t="str">
        <f t="shared" si="102"/>
        <v>Taproot </v>
      </c>
      <c r="C397" s="611" t="str">
        <f>HYPERLINK("https://en.uesp.net/wiki/Skyrim:Regenerate_Magicka", "Regenerate Magicka")</f>
        <v>Regenerate Magicka</v>
      </c>
      <c r="D397" s="612"/>
      <c r="E397" s="612"/>
      <c r="F397" s="612"/>
      <c r="G397" s="613">
        <v>15.0</v>
      </c>
      <c r="H397" s="614"/>
    </row>
    <row r="398">
      <c r="A398" s="476" t="s">
        <v>132</v>
      </c>
      <c r="B398" s="611" t="str">
        <f t="shared" si="102"/>
        <v>Taproot </v>
      </c>
      <c r="C398" s="611" t="str">
        <f>HYPERLINK("https://en.uesp.net/wiki/Skyrim:Restore_Magicka", "Restore Magicka")</f>
        <v>Restore Magicka</v>
      </c>
      <c r="D398" s="612"/>
      <c r="E398" s="612"/>
      <c r="F398" s="612"/>
      <c r="G398" s="613">
        <v>15.0</v>
      </c>
      <c r="H398" s="614"/>
    </row>
    <row r="399">
      <c r="A399" s="476" t="s">
        <v>132</v>
      </c>
      <c r="B399" s="611" t="str">
        <f t="shared" ref="B399:B402" si="103">HYPERLINK("https://en.uesp.net/wiki/Skyrim:Thistle_Branch", "Thistle Branch ")</f>
        <v>Thistle Branch </v>
      </c>
      <c r="C399" s="611" t="str">
        <f>HYPERLINK("https://en.uesp.net/wiki/Skyrim:Resist_Frost", "Resist Frost")</f>
        <v>Resist Frost</v>
      </c>
      <c r="D399" s="612"/>
      <c r="E399" s="612"/>
      <c r="F399" s="612"/>
      <c r="G399" s="613">
        <v>1.0</v>
      </c>
      <c r="H399" s="613">
        <v>3.0</v>
      </c>
    </row>
    <row r="400">
      <c r="A400" s="476" t="s">
        <v>132</v>
      </c>
      <c r="B400" s="611" t="str">
        <f t="shared" si="103"/>
        <v>Thistle Branch </v>
      </c>
      <c r="C400" s="611" t="str">
        <f>HYPERLINK("https://en.uesp.net/wiki/Skyrim:Ravage_Stamina", "Ravage Stamina")</f>
        <v>Ravage Stamina</v>
      </c>
      <c r="D400" s="612"/>
      <c r="E400" s="612"/>
      <c r="F400" s="612"/>
      <c r="G400" s="613">
        <v>1.0</v>
      </c>
      <c r="H400" s="613">
        <v>3.0</v>
      </c>
    </row>
    <row r="401">
      <c r="A401" s="476" t="s">
        <v>132</v>
      </c>
      <c r="B401" s="611" t="str">
        <f t="shared" si="103"/>
        <v>Thistle Branch </v>
      </c>
      <c r="C401" s="611" t="str">
        <f>HYPERLINK("https://en.uesp.net/wiki/Skyrim:Resist_Poison", "Resist Poison")</f>
        <v>Resist Poison</v>
      </c>
      <c r="D401" s="616">
        <v>0.75</v>
      </c>
      <c r="E401" s="616">
        <v>0.0</v>
      </c>
      <c r="F401" s="616">
        <v>0.1</v>
      </c>
      <c r="G401" s="613">
        <v>1.0</v>
      </c>
      <c r="H401" s="613">
        <v>3.0</v>
      </c>
    </row>
    <row r="402">
      <c r="A402" s="476" t="s">
        <v>132</v>
      </c>
      <c r="B402" s="611" t="str">
        <f t="shared" si="103"/>
        <v>Thistle Branch </v>
      </c>
      <c r="C402" s="611" t="str">
        <f>HYPERLINK("https://en.uesp.net/wiki/Skyrim:Fortify_Heavy_Armor", "Fortify Heavy Armor")</f>
        <v>Fortify Heavy Armor</v>
      </c>
      <c r="D402" s="612"/>
      <c r="E402" s="612"/>
      <c r="F402" s="612"/>
      <c r="G402" s="613">
        <v>1.0</v>
      </c>
      <c r="H402" s="613">
        <v>3.0</v>
      </c>
    </row>
    <row r="403">
      <c r="A403" s="476" t="s">
        <v>132</v>
      </c>
      <c r="B403" s="611" t="str">
        <f t="shared" ref="B403:B406" si="104">HYPERLINK("https://en.uesp.net/wiki/Skyrim:Torchbug_Thorax", "Torchbug Thorax ")</f>
        <v>Torchbug Thorax </v>
      </c>
      <c r="C403" s="611" t="str">
        <f>HYPERLINK("https://en.uesp.net/wiki/Skyrim:Restore_Stamina", "Restore Stamina")</f>
        <v>Restore Stamina</v>
      </c>
      <c r="D403" s="612"/>
      <c r="E403" s="612"/>
      <c r="F403" s="612"/>
      <c r="G403" s="613">
        <v>1.0</v>
      </c>
      <c r="H403" s="614"/>
    </row>
    <row r="404">
      <c r="A404" s="476" t="s">
        <v>132</v>
      </c>
      <c r="B404" s="611" t="str">
        <f t="shared" si="104"/>
        <v>Torchbug Thorax </v>
      </c>
      <c r="C404" s="611" t="str">
        <f>HYPERLINK("https://en.uesp.net/wiki/Skyrim:Lingering_Damage_Magicka", "Lingering Damage Magicka")</f>
        <v>Lingering Damage Magicka</v>
      </c>
      <c r="D404" s="612"/>
      <c r="E404" s="612"/>
      <c r="F404" s="612"/>
      <c r="G404" s="613">
        <v>1.0</v>
      </c>
      <c r="H404" s="614"/>
    </row>
    <row r="405">
      <c r="A405" s="476" t="s">
        <v>132</v>
      </c>
      <c r="B405" s="611" t="str">
        <f t="shared" si="104"/>
        <v>Torchbug Thorax </v>
      </c>
      <c r="C405" s="611" t="str">
        <f>HYPERLINK("https://en.uesp.net/wiki/Skyrim:Weakness_to_Magic", "Weakness to Magic")</f>
        <v>Weakness to Magic</v>
      </c>
      <c r="D405" s="612"/>
      <c r="E405" s="612"/>
      <c r="F405" s="612"/>
      <c r="G405" s="613">
        <v>1.0</v>
      </c>
      <c r="H405" s="614"/>
    </row>
    <row r="406">
      <c r="A406" s="476" t="s">
        <v>132</v>
      </c>
      <c r="B406" s="611" t="str">
        <f t="shared" si="104"/>
        <v>Torchbug Thorax </v>
      </c>
      <c r="C406" s="611" t="str">
        <f>HYPERLINK("https://en.uesp.net/wiki/Skyrim:Fortify_Stamina", "Fortify Stamina")</f>
        <v>Fortify Stamina</v>
      </c>
      <c r="D406" s="612"/>
      <c r="E406" s="612"/>
      <c r="F406" s="612"/>
      <c r="G406" s="613">
        <v>1.0</v>
      </c>
      <c r="H406" s="614"/>
    </row>
    <row r="407">
      <c r="A407" s="476" t="s">
        <v>132</v>
      </c>
      <c r="B407" s="611" t="str">
        <f t="shared" ref="B407:B410" si="105">HYPERLINK("https://en.uesp.net/wiki/Skyrim:Trama_Root","Trama Root (DB)")</f>
        <v>Trama Root (DB)</v>
      </c>
      <c r="C407" s="611" t="str">
        <f>HYPERLINK("https://en.uesp.net/wiki/Skyrim:Weakness_to_Shock", "Weakness to Shock")</f>
        <v>Weakness to Shock</v>
      </c>
      <c r="D407" s="612"/>
      <c r="E407" s="612"/>
      <c r="F407" s="612"/>
      <c r="G407" s="613">
        <v>1.0</v>
      </c>
      <c r="H407" s="614"/>
    </row>
    <row r="408">
      <c r="A408" s="476" t="s">
        <v>132</v>
      </c>
      <c r="B408" s="611" t="str">
        <f t="shared" si="105"/>
        <v>Trama Root (DB)</v>
      </c>
      <c r="C408" s="611" t="str">
        <f>HYPERLINK("https://en.uesp.net/wiki/Skyrim:Fortify_Carry_Weight", "Fortify Carry Weight")</f>
        <v>Fortify Carry Weight</v>
      </c>
      <c r="D408" s="612"/>
      <c r="E408" s="612"/>
      <c r="F408" s="612"/>
      <c r="G408" s="613">
        <v>1.0</v>
      </c>
      <c r="H408" s="614"/>
    </row>
    <row r="409">
      <c r="A409" s="476" t="s">
        <v>132</v>
      </c>
      <c r="B409" s="611" t="str">
        <f t="shared" si="105"/>
        <v>Trama Root (DB)</v>
      </c>
      <c r="C409" s="611" t="str">
        <f>HYPERLINK("https://en.uesp.net/wiki/Skyrim:Damage_Magicka", "Damage Magicka")</f>
        <v>Damage Magicka</v>
      </c>
      <c r="D409" s="612"/>
      <c r="E409" s="612"/>
      <c r="F409" s="612"/>
      <c r="G409" s="613">
        <v>1.0</v>
      </c>
      <c r="H409" s="614"/>
    </row>
    <row r="410">
      <c r="A410" s="476" t="s">
        <v>132</v>
      </c>
      <c r="B410" s="611" t="str">
        <f t="shared" si="105"/>
        <v>Trama Root (DB)</v>
      </c>
      <c r="C410" s="611" t="str">
        <f>HYPERLINK("https://en.uesp.net/wiki/Skyrim:Slow", "Slow")</f>
        <v>Slow</v>
      </c>
      <c r="D410" s="612"/>
      <c r="E410" s="612"/>
      <c r="F410" s="612"/>
      <c r="G410" s="613">
        <v>1.0</v>
      </c>
      <c r="H410" s="614"/>
    </row>
    <row r="411">
      <c r="A411" s="476" t="s">
        <v>132</v>
      </c>
      <c r="B411" s="611" t="str">
        <f t="shared" ref="B411:B414" si="106">HYPERLINK("https://en.uesp.net/wiki/Skyrim:Troll_Fat", "Troll Fat ")</f>
        <v>Troll Fat </v>
      </c>
      <c r="C411" s="611" t="str">
        <f>HYPERLINK("https://en.uesp.net/wiki/Skyrim:Resist_Poison", "Resist Poison")</f>
        <v>Resist Poison</v>
      </c>
      <c r="D411" s="612"/>
      <c r="E411" s="612"/>
      <c r="F411" s="612"/>
      <c r="G411" s="613">
        <v>15.0</v>
      </c>
      <c r="H411" s="614"/>
    </row>
    <row r="412">
      <c r="A412" s="476" t="s">
        <v>132</v>
      </c>
      <c r="B412" s="611" t="str">
        <f t="shared" si="106"/>
        <v>Troll Fat </v>
      </c>
      <c r="C412" s="611" t="str">
        <f>HYPERLINK("https://en.uesp.net/wiki/Skyrim:Fortify_Two-handed", "Fortify Two-handed")</f>
        <v>Fortify Two-handed</v>
      </c>
      <c r="D412" s="612"/>
      <c r="E412" s="612"/>
      <c r="F412" s="612"/>
      <c r="G412" s="613">
        <v>15.0</v>
      </c>
      <c r="H412" s="614"/>
    </row>
    <row r="413">
      <c r="A413" s="476" t="s">
        <v>132</v>
      </c>
      <c r="B413" s="611" t="str">
        <f t="shared" si="106"/>
        <v>Troll Fat </v>
      </c>
      <c r="C413" s="611" t="str">
        <f>HYPERLINK("https://en.uesp.net/wiki/Skyrim:Frenzy", "Frenzy")</f>
        <v>Frenzy</v>
      </c>
      <c r="D413" s="612"/>
      <c r="E413" s="612"/>
      <c r="F413" s="612"/>
      <c r="G413" s="613">
        <v>15.0</v>
      </c>
      <c r="H413" s="614"/>
    </row>
    <row r="414">
      <c r="A414" s="476" t="s">
        <v>132</v>
      </c>
      <c r="B414" s="611" t="str">
        <f t="shared" si="106"/>
        <v>Troll Fat </v>
      </c>
      <c r="C414" s="611" t="str">
        <f>HYPERLINK("https://en.uesp.net/wiki/Skyrim:Damage_Health", "Damage Health")</f>
        <v>Damage Health</v>
      </c>
      <c r="D414" s="612"/>
      <c r="E414" s="612"/>
      <c r="F414" s="612"/>
      <c r="G414" s="613">
        <v>15.0</v>
      </c>
      <c r="H414" s="614"/>
    </row>
    <row r="415">
      <c r="A415" s="476" t="s">
        <v>132</v>
      </c>
      <c r="B415" s="611" t="str">
        <f t="shared" ref="B415:B418" si="107">HYPERLINK("https://en.uesp.net/wiki/Skyrim:Tundra_Cotton", "Tundra Cotton ")</f>
        <v>Tundra Cotton </v>
      </c>
      <c r="C415" s="611" t="str">
        <f>HYPERLINK("https://en.uesp.net/wiki/Skyrim:Resist_Magic", "Resist Magic")</f>
        <v>Resist Magic</v>
      </c>
      <c r="D415" s="612"/>
      <c r="E415" s="612"/>
      <c r="F415" s="612"/>
      <c r="G415" s="613">
        <v>1.0</v>
      </c>
      <c r="H415" s="613">
        <v>3.0</v>
      </c>
    </row>
    <row r="416">
      <c r="A416" s="476" t="s">
        <v>132</v>
      </c>
      <c r="B416" s="611" t="str">
        <f t="shared" si="107"/>
        <v>Tundra Cotton </v>
      </c>
      <c r="C416" s="611" t="str">
        <f>HYPERLINK("https://en.uesp.net/wiki/Skyrim:Fortify_Magicka", "Fortify Magicka")</f>
        <v>Fortify Magicka</v>
      </c>
      <c r="D416" s="612"/>
      <c r="E416" s="612"/>
      <c r="F416" s="612"/>
      <c r="G416" s="613">
        <v>1.0</v>
      </c>
      <c r="H416" s="613">
        <v>3.0</v>
      </c>
    </row>
    <row r="417">
      <c r="A417" s="476" t="s">
        <v>132</v>
      </c>
      <c r="B417" s="611" t="str">
        <f t="shared" si="107"/>
        <v>Tundra Cotton </v>
      </c>
      <c r="C417" s="611" t="str">
        <f>HYPERLINK("https://en.uesp.net/wiki/Skyrim:Fortify_Block", "Fortify Block")</f>
        <v>Fortify Block</v>
      </c>
      <c r="D417" s="612"/>
      <c r="E417" s="612"/>
      <c r="F417" s="612"/>
      <c r="G417" s="613">
        <v>1.0</v>
      </c>
      <c r="H417" s="613">
        <v>3.0</v>
      </c>
    </row>
    <row r="418">
      <c r="A418" s="476" t="s">
        <v>132</v>
      </c>
      <c r="B418" s="611" t="str">
        <f t="shared" si="107"/>
        <v>Tundra Cotton </v>
      </c>
      <c r="C418" s="611" t="str">
        <f>HYPERLINK("https://en.uesp.net/wiki/Skyrim:Fortify_Barter", "Fortify Barter")</f>
        <v>Fortify Barter</v>
      </c>
      <c r="D418" s="612"/>
      <c r="E418" s="612"/>
      <c r="F418" s="612"/>
      <c r="G418" s="613">
        <v>1.0</v>
      </c>
      <c r="H418" s="613">
        <v>3.0</v>
      </c>
    </row>
    <row r="419">
      <c r="A419" s="476" t="s">
        <v>132</v>
      </c>
      <c r="B419" s="611" t="str">
        <f t="shared" ref="B419:B422" si="108">HYPERLINK("https://en.uesp.net/wiki/Skyrim:Vampire_Dust", "Vampire Dust ")</f>
        <v>Vampire Dust </v>
      </c>
      <c r="C419" s="611" t="str">
        <f>HYPERLINK("https://en.uesp.net/wiki/Skyrim:Invisibility", "Invisibility")</f>
        <v>Invisibility</v>
      </c>
      <c r="D419" s="612"/>
      <c r="E419" s="612"/>
      <c r="F419" s="612"/>
      <c r="G419" s="613">
        <v>25.0</v>
      </c>
      <c r="H419" s="614"/>
    </row>
    <row r="420">
      <c r="A420" s="476" t="s">
        <v>132</v>
      </c>
      <c r="B420" s="611" t="str">
        <f t="shared" si="108"/>
        <v>Vampire Dust </v>
      </c>
      <c r="C420" s="611" t="str">
        <f>HYPERLINK("https://en.uesp.net/wiki/Skyrim:Restore_Magicka", "Restore Magicka")</f>
        <v>Restore Magicka</v>
      </c>
      <c r="D420" s="612"/>
      <c r="E420" s="612"/>
      <c r="F420" s="612"/>
      <c r="G420" s="613">
        <v>25.0</v>
      </c>
      <c r="H420" s="614"/>
    </row>
    <row r="421">
      <c r="A421" s="476" t="s">
        <v>132</v>
      </c>
      <c r="B421" s="611" t="str">
        <f t="shared" si="108"/>
        <v>Vampire Dust </v>
      </c>
      <c r="C421" s="611" t="str">
        <f>HYPERLINK("https://en.uesp.net/wiki/Skyrim:Regenerate_Health", "Regenerate Health")</f>
        <v>Regenerate Health</v>
      </c>
      <c r="D421" s="612"/>
      <c r="E421" s="612"/>
      <c r="F421" s="612"/>
      <c r="G421" s="613">
        <v>25.0</v>
      </c>
      <c r="H421" s="614"/>
    </row>
    <row r="422">
      <c r="A422" s="476" t="s">
        <v>132</v>
      </c>
      <c r="B422" s="611" t="str">
        <f t="shared" si="108"/>
        <v>Vampire Dust </v>
      </c>
      <c r="C422" s="611" t="str">
        <f>HYPERLINK("https://en.uesp.net/wiki/Skyrim:Cure_Disease", "Cure Disease")</f>
        <v>Cure Disease</v>
      </c>
      <c r="D422" s="612"/>
      <c r="E422" s="612"/>
      <c r="F422" s="612"/>
      <c r="G422" s="613">
        <v>25.0</v>
      </c>
      <c r="H422" s="614"/>
    </row>
    <row r="423">
      <c r="A423" s="476" t="s">
        <v>132</v>
      </c>
      <c r="B423" s="611" t="str">
        <f t="shared" ref="B423:B426" si="109">HYPERLINK("https://en.uesp.net/wiki/Skyrim:Void_Salts", "Void Salts ")</f>
        <v>Void Salts </v>
      </c>
      <c r="C423" s="611" t="str">
        <f>HYPERLINK("https://en.uesp.net/wiki/Skyrim:Weakness_to_Shock", "Weakness to Shock")</f>
        <v>Weakness to Shock</v>
      </c>
      <c r="D423" s="612"/>
      <c r="E423" s="612"/>
      <c r="F423" s="612"/>
      <c r="G423" s="613">
        <v>125.0</v>
      </c>
      <c r="H423" s="614"/>
    </row>
    <row r="424">
      <c r="A424" s="476" t="s">
        <v>132</v>
      </c>
      <c r="B424" s="611" t="str">
        <f t="shared" si="109"/>
        <v>Void Salts </v>
      </c>
      <c r="C424" s="611" t="str">
        <f>HYPERLINK("https://en.uesp.net/wiki/Skyrim:Resist_Magic", "Resist Magic")</f>
        <v>Resist Magic</v>
      </c>
      <c r="D424" s="612"/>
      <c r="E424" s="612"/>
      <c r="F424" s="612"/>
      <c r="G424" s="613">
        <v>125.0</v>
      </c>
      <c r="H424" s="614"/>
    </row>
    <row r="425">
      <c r="A425" s="476" t="s">
        <v>132</v>
      </c>
      <c r="B425" s="611" t="str">
        <f t="shared" si="109"/>
        <v>Void Salts </v>
      </c>
      <c r="C425" s="611" t="str">
        <f>HYPERLINK("https://en.uesp.net/wiki/Skyrim:Damage_Health", "Damage Health")</f>
        <v>Damage Health</v>
      </c>
      <c r="D425" s="612"/>
      <c r="E425" s="612"/>
      <c r="F425" s="612"/>
      <c r="G425" s="613">
        <v>125.0</v>
      </c>
      <c r="H425" s="614"/>
    </row>
    <row r="426">
      <c r="A426" s="476" t="s">
        <v>132</v>
      </c>
      <c r="B426" s="611" t="str">
        <f t="shared" si="109"/>
        <v>Void Salts </v>
      </c>
      <c r="C426" s="611" t="str">
        <f>HYPERLINK("https://en.uesp.net/wiki/Skyrim:Fortify_Magicka", "Fortify Magicka")</f>
        <v>Fortify Magicka</v>
      </c>
      <c r="D426" s="612"/>
      <c r="E426" s="612"/>
      <c r="F426" s="612"/>
      <c r="G426" s="613">
        <v>125.0</v>
      </c>
      <c r="H426" s="614"/>
    </row>
    <row r="427">
      <c r="A427" s="476" t="s">
        <v>132</v>
      </c>
      <c r="B427" s="611" t="str">
        <f t="shared" ref="B427:B430" si="110">HYPERLINK("https://en.uesp.net/wiki/Skyrim:Wheat", "Wheat ")</f>
        <v>Wheat </v>
      </c>
      <c r="C427" s="611" t="str">
        <f>HYPERLINK("https://en.uesp.net/wiki/Skyrim:Restore_Health", "Restore Health")</f>
        <v>Restore Health</v>
      </c>
      <c r="D427" s="612"/>
      <c r="E427" s="612"/>
      <c r="F427" s="612"/>
      <c r="G427" s="613">
        <v>5.0</v>
      </c>
      <c r="H427" s="613">
        <v>4.0</v>
      </c>
    </row>
    <row r="428">
      <c r="A428" s="476" t="s">
        <v>132</v>
      </c>
      <c r="B428" s="611" t="str">
        <f t="shared" si="110"/>
        <v>Wheat </v>
      </c>
      <c r="C428" s="611" t="str">
        <f>HYPERLINK("https://en.uesp.net/wiki/Skyrim:Fortify_Health", "Fortify Health")</f>
        <v>Fortify Health</v>
      </c>
      <c r="D428" s="612"/>
      <c r="E428" s="612"/>
      <c r="F428" s="612"/>
      <c r="G428" s="613">
        <v>5.0</v>
      </c>
      <c r="H428" s="613">
        <v>4.0</v>
      </c>
    </row>
    <row r="429">
      <c r="A429" s="476" t="s">
        <v>132</v>
      </c>
      <c r="B429" s="611" t="str">
        <f t="shared" si="110"/>
        <v>Wheat </v>
      </c>
      <c r="C429" s="611" t="str">
        <f>HYPERLINK("https://en.uesp.net/wiki/Skyrim:Damage_Stamina_Regen", "Damage Stamina Regen")</f>
        <v>Damage Stamina Regen</v>
      </c>
      <c r="D429" s="612"/>
      <c r="E429" s="612"/>
      <c r="F429" s="612"/>
      <c r="G429" s="613">
        <v>5.0</v>
      </c>
      <c r="H429" s="613">
        <v>4.0</v>
      </c>
    </row>
    <row r="430">
      <c r="A430" s="476" t="s">
        <v>132</v>
      </c>
      <c r="B430" s="611" t="str">
        <f t="shared" si="110"/>
        <v>Wheat </v>
      </c>
      <c r="C430" s="611" t="str">
        <f>HYPERLINK("https://en.uesp.net/wiki/Skyrim:Lingering_Damage_Magicka", "Lingering Damage Magicka")</f>
        <v>Lingering Damage Magicka</v>
      </c>
      <c r="D430" s="612"/>
      <c r="E430" s="612"/>
      <c r="F430" s="612"/>
      <c r="G430" s="613">
        <v>5.0</v>
      </c>
      <c r="H430" s="613">
        <v>4.0</v>
      </c>
    </row>
    <row r="431">
      <c r="A431" s="476" t="s">
        <v>132</v>
      </c>
      <c r="B431" s="611" t="str">
        <f t="shared" ref="B431:B434" si="111">HYPERLINK("https://en.uesp.net/wiki/Skyrim:White_Cap", "White Cap ")</f>
        <v>White Cap </v>
      </c>
      <c r="C431" s="611" t="str">
        <f>HYPERLINK("https://en.uesp.net/wiki/Skyrim:Weakness_to_Frost", "Weakness to Frost")</f>
        <v>Weakness to Frost</v>
      </c>
      <c r="D431" s="612"/>
      <c r="E431" s="612"/>
      <c r="F431" s="612"/>
      <c r="G431" s="613">
        <v>0.0</v>
      </c>
      <c r="H431" s="613">
        <v>2.0</v>
      </c>
    </row>
    <row r="432">
      <c r="A432" s="476" t="s">
        <v>132</v>
      </c>
      <c r="B432" s="611" t="str">
        <f t="shared" si="111"/>
        <v>White Cap </v>
      </c>
      <c r="C432" s="611" t="str">
        <f>HYPERLINK("https://en.uesp.net/wiki/Skyrim:Fortify_Heavy_Armor", "Fortify Heavy Armor")</f>
        <v>Fortify Heavy Armor</v>
      </c>
      <c r="D432" s="612"/>
      <c r="E432" s="612"/>
      <c r="F432" s="612"/>
      <c r="G432" s="613">
        <v>0.0</v>
      </c>
      <c r="H432" s="613">
        <v>2.0</v>
      </c>
    </row>
    <row r="433">
      <c r="A433" s="476" t="s">
        <v>132</v>
      </c>
      <c r="B433" s="611" t="str">
        <f t="shared" si="111"/>
        <v>White Cap </v>
      </c>
      <c r="C433" s="611" t="str">
        <f>HYPERLINK("https://en.uesp.net/wiki/Skyrim:Restore_Magicka", "Restore Magicka")</f>
        <v>Restore Magicka</v>
      </c>
      <c r="D433" s="612"/>
      <c r="E433" s="612"/>
      <c r="F433" s="612"/>
      <c r="G433" s="613">
        <v>0.0</v>
      </c>
      <c r="H433" s="613">
        <v>2.0</v>
      </c>
    </row>
    <row r="434">
      <c r="A434" s="476" t="s">
        <v>132</v>
      </c>
      <c r="B434" s="611" t="str">
        <f t="shared" si="111"/>
        <v>White Cap </v>
      </c>
      <c r="C434" s="611" t="str">
        <f>HYPERLINK("https://en.uesp.net/wiki/Skyrim:Ravage_Magicka", "Ravage Magicka")</f>
        <v>Ravage Magicka</v>
      </c>
      <c r="D434" s="612"/>
      <c r="E434" s="612"/>
      <c r="F434" s="612"/>
      <c r="G434" s="613">
        <v>0.0</v>
      </c>
      <c r="H434" s="613">
        <v>2.0</v>
      </c>
    </row>
    <row r="435">
      <c r="A435" s="476" t="s">
        <v>132</v>
      </c>
      <c r="B435" s="611" t="str">
        <f t="shared" ref="B435:B438" si="112">HYPERLINK("https://en.uesp.net/wiki/Skyrim:Wisp_Wrappings", "Wisp Wrappings ")</f>
        <v>Wisp Wrappings </v>
      </c>
      <c r="C435" s="611" t="str">
        <f>HYPERLINK("https://en.uesp.net/wiki/Skyrim:Restore_Stamina", "Restore Stamina")</f>
        <v>Restore Stamina</v>
      </c>
      <c r="D435" s="612"/>
      <c r="E435" s="612"/>
      <c r="F435" s="612"/>
      <c r="G435" s="613">
        <v>2.0</v>
      </c>
      <c r="H435" s="614"/>
    </row>
    <row r="436">
      <c r="A436" s="476" t="s">
        <v>132</v>
      </c>
      <c r="B436" s="611" t="str">
        <f t="shared" si="112"/>
        <v>Wisp Wrappings </v>
      </c>
      <c r="C436" s="611" t="str">
        <f>HYPERLINK("https://en.uesp.net/wiki/Skyrim:Fortify_Destruction", "Fortify Destruction")</f>
        <v>Fortify Destruction</v>
      </c>
      <c r="D436" s="612"/>
      <c r="E436" s="612"/>
      <c r="F436" s="612"/>
      <c r="G436" s="613">
        <v>2.0</v>
      </c>
      <c r="H436" s="614"/>
    </row>
    <row r="437">
      <c r="A437" s="476" t="s">
        <v>132</v>
      </c>
      <c r="B437" s="611" t="str">
        <f t="shared" si="112"/>
        <v>Wisp Wrappings </v>
      </c>
      <c r="C437" s="611" t="str">
        <f>HYPERLINK("https://en.uesp.net/wiki/Skyrim:Fortify_Carry_Weight", "Fortify Carry Weight")</f>
        <v>Fortify Carry Weight</v>
      </c>
      <c r="D437" s="612"/>
      <c r="E437" s="612"/>
      <c r="F437" s="612"/>
      <c r="G437" s="613">
        <v>2.0</v>
      </c>
      <c r="H437" s="614"/>
    </row>
    <row r="438">
      <c r="A438" s="476" t="s">
        <v>132</v>
      </c>
      <c r="B438" s="611" t="str">
        <f t="shared" si="112"/>
        <v>Wisp Wrappings </v>
      </c>
      <c r="C438" s="611" t="str">
        <f>HYPERLINK("https://en.uesp.net/wiki/Skyrim:Resist_Magic", "Resist Magic")</f>
        <v>Resist Magic</v>
      </c>
      <c r="D438" s="612"/>
      <c r="E438" s="612"/>
      <c r="F438" s="612"/>
      <c r="G438" s="613">
        <v>2.0</v>
      </c>
      <c r="H438" s="614"/>
    </row>
    <row r="439">
      <c r="A439" s="476" t="s">
        <v>132</v>
      </c>
      <c r="B439" s="611" t="str">
        <f t="shared" ref="B439:B442" si="113">HYPERLINK("https://en.uesp.net/wiki/Skyrim:Yellow_Mountain_Flower","Yellow Mountain Flower (DG)")</f>
        <v>Yellow Mountain Flower (DG)</v>
      </c>
      <c r="C439" s="611" t="str">
        <f>HYPERLINK("https://en.uesp.net/wiki/Skyrim:Resist_Poison", "Resist Poison")</f>
        <v>Resist Poison</v>
      </c>
      <c r="D439" s="612"/>
      <c r="E439" s="612"/>
      <c r="F439" s="612"/>
      <c r="G439" s="613">
        <v>2.0</v>
      </c>
      <c r="H439" s="614"/>
    </row>
    <row r="440">
      <c r="A440" s="476" t="s">
        <v>132</v>
      </c>
      <c r="B440" s="611" t="str">
        <f t="shared" si="113"/>
        <v>Yellow Mountain Flower (DG)</v>
      </c>
      <c r="C440" s="611" t="str">
        <f>HYPERLINK("https://en.uesp.net/wiki/Skyrim:Fortify_Restoration", "Fortify Restoration")</f>
        <v>Fortify Restoration</v>
      </c>
      <c r="D440" s="616">
        <v>1.25</v>
      </c>
      <c r="E440" s="616"/>
      <c r="F440" s="612"/>
      <c r="G440" s="613">
        <v>2.0</v>
      </c>
      <c r="H440" s="614"/>
    </row>
    <row r="441">
      <c r="A441" s="476" t="s">
        <v>132</v>
      </c>
      <c r="B441" s="611" t="str">
        <f t="shared" si="113"/>
        <v>Yellow Mountain Flower (DG)</v>
      </c>
      <c r="C441" s="611" t="str">
        <f>HYPERLINK("https://en.uesp.net/wiki/Skyrim:Fortify_Health", "Fortify Health")</f>
        <v>Fortify Health</v>
      </c>
      <c r="D441" s="612"/>
      <c r="E441" s="612"/>
      <c r="F441" s="612"/>
      <c r="G441" s="613">
        <v>2.0</v>
      </c>
      <c r="H441" s="614"/>
    </row>
    <row r="442">
      <c r="A442" s="476" t="s">
        <v>132</v>
      </c>
      <c r="B442" s="611" t="str">
        <f t="shared" si="113"/>
        <v>Yellow Mountain Flower (DG)</v>
      </c>
      <c r="C442" s="611" t="str">
        <f>HYPERLINK("https://en.uesp.net/wiki/Skyrim:Damage_Stamina_Regen", "Damage Stamina Regen")</f>
        <v>Damage Stamina Regen</v>
      </c>
      <c r="D442" s="612"/>
      <c r="E442" s="612"/>
      <c r="F442" s="612"/>
      <c r="G442" s="613">
        <v>2.0</v>
      </c>
      <c r="H442" s="614"/>
    </row>
    <row r="443">
      <c r="A443" s="476" t="s">
        <v>132</v>
      </c>
      <c r="B443" s="618" t="s">
        <v>3800</v>
      </c>
      <c r="C443" s="611" t="str">
        <f>HYPERLINK("https://en.uesp.net/wiki/Skyrim:Regenerate_Stamina", "Regenerate Stamina")</f>
        <v>Regenerate Stamina</v>
      </c>
      <c r="D443" s="616">
        <v>1.2</v>
      </c>
      <c r="E443" s="616"/>
      <c r="F443" s="616">
        <v>1.22</v>
      </c>
      <c r="G443" s="613">
        <v>22.0</v>
      </c>
      <c r="H443" s="613"/>
    </row>
    <row r="444">
      <c r="A444" s="476" t="s">
        <v>132</v>
      </c>
      <c r="B444" s="618" t="s">
        <v>3800</v>
      </c>
      <c r="C444" s="619" t="s">
        <v>3801</v>
      </c>
      <c r="D444" s="616"/>
      <c r="E444" s="616"/>
      <c r="F444" s="616"/>
      <c r="G444" s="613">
        <v>22.0</v>
      </c>
      <c r="H444" s="613"/>
    </row>
    <row r="445">
      <c r="A445" s="476" t="s">
        <v>132</v>
      </c>
      <c r="B445" s="618" t="s">
        <v>3800</v>
      </c>
      <c r="C445" s="611" t="str">
        <f>HYPERLINK("https://en.uesp.net/wiki/Skyrim:Ravage_Magicka", "Ravage Magicka")</f>
        <v>Ravage Magicka</v>
      </c>
      <c r="D445" s="616">
        <v>1.5</v>
      </c>
      <c r="E445" s="616"/>
      <c r="F445" s="616">
        <v>1.56</v>
      </c>
      <c r="G445" s="613">
        <v>22.0</v>
      </c>
      <c r="H445" s="613"/>
    </row>
    <row r="446">
      <c r="A446" s="476" t="s">
        <v>132</v>
      </c>
      <c r="B446" s="618" t="s">
        <v>3800</v>
      </c>
      <c r="C446" s="611" t="str">
        <f>HYPERLINK("https://en.uesp.net/wiki/Skyrim:Regenerate_Health", "Regenerate Health")</f>
        <v>Regenerate Health</v>
      </c>
      <c r="D446" s="616">
        <v>1.2</v>
      </c>
      <c r="E446" s="616"/>
      <c r="F446" s="616">
        <v>1.22</v>
      </c>
      <c r="G446" s="613">
        <v>22.0</v>
      </c>
      <c r="H446" s="613"/>
    </row>
    <row r="447">
      <c r="A447" s="476" t="s">
        <v>132</v>
      </c>
      <c r="B447" s="618" t="s">
        <v>3802</v>
      </c>
      <c r="C447" s="611" t="str">
        <f>HYPERLINK("https://en.uesp.net/wiki/Skyrim:Restore_Health", "Restore Health")</f>
        <v>Restore Health</v>
      </c>
      <c r="D447" s="616">
        <v>1.2</v>
      </c>
      <c r="E447" s="616"/>
      <c r="F447" s="616">
        <v>1.22</v>
      </c>
      <c r="G447" s="613">
        <v>15.0</v>
      </c>
      <c r="H447" s="613"/>
    </row>
    <row r="448">
      <c r="A448" s="476" t="s">
        <v>132</v>
      </c>
      <c r="B448" s="618" t="s">
        <v>3802</v>
      </c>
      <c r="C448" s="611" t="str">
        <f>HYPERLINK("https://en.uesp.net/wiki/Skyrim:Regenerate_Health", "Regenerate Health")</f>
        <v>Regenerate Health</v>
      </c>
      <c r="D448" s="616">
        <v>1.2</v>
      </c>
      <c r="E448" s="616"/>
      <c r="F448" s="616">
        <v>1.22</v>
      </c>
      <c r="G448" s="613">
        <v>15.0</v>
      </c>
      <c r="H448" s="613"/>
    </row>
    <row r="449">
      <c r="A449" s="476" t="s">
        <v>132</v>
      </c>
      <c r="B449" s="618" t="s">
        <v>3802</v>
      </c>
      <c r="C449" s="611" t="str">
        <f>HYPERLINK("https://en.uesp.net/wiki/Skyrim:Fortify_Health", "Fortify Health")</f>
        <v>Fortify Health</v>
      </c>
      <c r="D449" s="616">
        <v>1.25</v>
      </c>
      <c r="E449" s="616"/>
      <c r="F449" s="616">
        <v>1.27</v>
      </c>
      <c r="G449" s="613">
        <v>15.0</v>
      </c>
      <c r="H449" s="613"/>
    </row>
    <row r="450">
      <c r="A450" s="476" t="s">
        <v>132</v>
      </c>
      <c r="B450" s="618" t="s">
        <v>3802</v>
      </c>
      <c r="C450" s="619" t="s">
        <v>3803</v>
      </c>
      <c r="D450" s="616"/>
      <c r="E450" s="616"/>
      <c r="F450" s="616">
        <v>1.56</v>
      </c>
      <c r="G450" s="613">
        <v>15.0</v>
      </c>
      <c r="H450" s="613"/>
    </row>
    <row r="451">
      <c r="A451" s="476" t="s">
        <v>132</v>
      </c>
      <c r="B451" s="618" t="s">
        <v>3804</v>
      </c>
      <c r="C451" s="611" t="str">
        <f>HYPERLINK("https://en.uesp.net/wiki/Skyrim:Regenerate_Health", "Regenerate Health")</f>
        <v>Regenerate Health</v>
      </c>
      <c r="D451" s="616"/>
      <c r="E451" s="616"/>
      <c r="F451" s="616"/>
      <c r="G451" s="613">
        <v>30.0</v>
      </c>
      <c r="H451" s="614"/>
    </row>
    <row r="452">
      <c r="A452" s="476" t="s">
        <v>132</v>
      </c>
      <c r="B452" s="618" t="s">
        <v>3804</v>
      </c>
      <c r="C452" s="611" t="str">
        <f>HYPERLINK("https://en.uesp.net/wiki/Skyrim:Resist_Fire", "Resist Fire")</f>
        <v>Resist Fire</v>
      </c>
      <c r="D452" s="616"/>
      <c r="E452" s="616"/>
      <c r="F452" s="612"/>
      <c r="G452" s="613">
        <v>30.0</v>
      </c>
      <c r="H452" s="614"/>
    </row>
    <row r="453">
      <c r="A453" s="476" t="s">
        <v>132</v>
      </c>
      <c r="B453" s="618" t="s">
        <v>3804</v>
      </c>
      <c r="C453" s="611" t="str">
        <f>HYPERLINK("https://en.uesp.net/wiki/Skyrim:Fortify_Marksman", "Fortify Marksman")</f>
        <v>Fortify Marksman</v>
      </c>
      <c r="D453" s="612"/>
      <c r="E453" s="612"/>
      <c r="F453" s="612"/>
      <c r="G453" s="613">
        <v>30.0</v>
      </c>
      <c r="H453" s="614"/>
    </row>
    <row r="454">
      <c r="A454" s="476" t="s">
        <v>132</v>
      </c>
      <c r="B454" s="618" t="s">
        <v>3804</v>
      </c>
      <c r="C454" s="611" t="str">
        <f>HYPERLINK("https://en.uesp.net/wiki/Skyrim:Waterbreathing", "Waterbreathing")</f>
        <v>Waterbreathing</v>
      </c>
      <c r="D454" s="612"/>
      <c r="E454" s="612"/>
      <c r="F454" s="612"/>
      <c r="G454" s="613">
        <v>30.0</v>
      </c>
      <c r="H454" s="614"/>
    </row>
    <row r="455">
      <c r="A455" s="476" t="s">
        <v>132</v>
      </c>
      <c r="B455" s="618" t="s">
        <v>3805</v>
      </c>
      <c r="C455" s="611" t="str">
        <f>HYPERLINK("https://en.uesp.net/wiki/Skyrim:Lingering_Damage_Health", "Lingering Damage Health")</f>
        <v>Lingering Damage Health</v>
      </c>
      <c r="D455" s="612"/>
      <c r="E455" s="612"/>
      <c r="F455" s="612"/>
      <c r="G455" s="613">
        <v>1.0</v>
      </c>
      <c r="H455" s="614"/>
    </row>
    <row r="456">
      <c r="A456" s="476" t="s">
        <v>132</v>
      </c>
      <c r="B456" s="618" t="s">
        <v>3805</v>
      </c>
      <c r="C456" s="611" t="str">
        <f>HYPERLINK("https://en.uesp.net/wiki/Skyrim:Regenerate_Stamina", "Regenerate Stamina")</f>
        <v>Regenerate Stamina</v>
      </c>
      <c r="D456" s="612"/>
      <c r="E456" s="612"/>
      <c r="F456" s="612"/>
      <c r="G456" s="613">
        <v>1.0</v>
      </c>
      <c r="H456" s="614"/>
    </row>
    <row r="457">
      <c r="A457" s="476" t="s">
        <v>132</v>
      </c>
      <c r="B457" s="618" t="s">
        <v>3805</v>
      </c>
      <c r="C457" s="611" t="str">
        <f>HYPERLINK("https://en.uesp.net/wiki/Skyrim:Waterbreathing", "Waterbreathing")</f>
        <v>Waterbreathing</v>
      </c>
      <c r="D457" s="612"/>
      <c r="E457" s="612"/>
      <c r="F457" s="612"/>
      <c r="G457" s="613">
        <v>1.0</v>
      </c>
      <c r="H457" s="614"/>
    </row>
    <row r="458">
      <c r="A458" s="476" t="s">
        <v>132</v>
      </c>
      <c r="B458" s="618" t="s">
        <v>3805</v>
      </c>
      <c r="C458" s="611" t="str">
        <f>HYPERLINK("https://en.uesp.net/wiki/Skyrim:Fortify_Two-handed", "Fortify Two-handed")</f>
        <v>Fortify Two-handed</v>
      </c>
      <c r="D458" s="612"/>
      <c r="E458" s="612"/>
      <c r="F458" s="612"/>
      <c r="G458" s="613">
        <v>1.0</v>
      </c>
      <c r="H458" s="614"/>
    </row>
    <row r="459">
      <c r="A459" s="476" t="s">
        <v>132</v>
      </c>
      <c r="B459" s="618" t="s">
        <v>3806</v>
      </c>
      <c r="C459" s="611" t="str">
        <f>HYPERLINK("https://en.uesp.net/wiki/Skyrim:Resist_Magic", "Resist Magic")</f>
        <v>Resist Magic</v>
      </c>
      <c r="D459" s="616">
        <v>2.0</v>
      </c>
      <c r="E459" s="616"/>
      <c r="F459" s="616">
        <v>2.14</v>
      </c>
      <c r="G459" s="613">
        <v>40.0</v>
      </c>
      <c r="H459" s="614"/>
    </row>
    <row r="460">
      <c r="A460" s="476" t="s">
        <v>132</v>
      </c>
      <c r="B460" s="618" t="s">
        <v>3806</v>
      </c>
      <c r="C460" s="611" t="str">
        <f>HYPERLINK("https://en.uesp.net/wiki/Skyrim:Fortify_Light_Armor", "Fortify Light Armor")</f>
        <v>Fortify Light Armor</v>
      </c>
      <c r="D460" s="616">
        <v>2.0</v>
      </c>
      <c r="E460" s="616"/>
      <c r="F460" s="616">
        <v>2.14</v>
      </c>
      <c r="G460" s="613">
        <v>40.0</v>
      </c>
      <c r="H460" s="614"/>
    </row>
    <row r="461">
      <c r="A461" s="476" t="s">
        <v>132</v>
      </c>
      <c r="B461" s="618" t="s">
        <v>3806</v>
      </c>
      <c r="C461" s="611" t="str">
        <f>HYPERLINK("https://en.uesp.net/wiki/Skyrim:Fortify_Block", "Fortify Block")</f>
        <v>Fortify Block</v>
      </c>
      <c r="D461" s="616">
        <v>1.25</v>
      </c>
      <c r="E461" s="616"/>
      <c r="F461" s="616">
        <v>1.27</v>
      </c>
      <c r="G461" s="613">
        <v>40.0</v>
      </c>
      <c r="H461" s="614"/>
    </row>
    <row r="462">
      <c r="A462" s="476" t="s">
        <v>132</v>
      </c>
      <c r="B462" s="618" t="s">
        <v>3806</v>
      </c>
      <c r="C462" s="611" t="str">
        <f>HYPERLINK("https://en.uesp.net/wiki/Skyrim:Paralysis", "Paralysis")</f>
        <v>Paralysis</v>
      </c>
      <c r="D462" s="616"/>
      <c r="E462" s="616">
        <v>2.0</v>
      </c>
      <c r="F462" s="616">
        <v>2.14</v>
      </c>
      <c r="G462" s="613">
        <v>40.0</v>
      </c>
      <c r="H462" s="614"/>
    </row>
    <row r="463">
      <c r="A463" s="476" t="s">
        <v>132</v>
      </c>
      <c r="B463" s="618" t="s">
        <v>3807</v>
      </c>
      <c r="C463" s="611" t="str">
        <f>HYPERLINK("https://en.uesp.net/wiki/Skyrim:Lingering_Damage_Stamina", "Lingering Damage Stamina")</f>
        <v>Lingering Damage Stamina</v>
      </c>
      <c r="D463" s="616">
        <v>2.0</v>
      </c>
      <c r="E463" s="616"/>
      <c r="F463" s="616">
        <v>2.14</v>
      </c>
      <c r="G463" s="613">
        <v>25.0</v>
      </c>
      <c r="H463" s="614"/>
    </row>
    <row r="464">
      <c r="A464" s="476" t="s">
        <v>132</v>
      </c>
      <c r="B464" s="618" t="s">
        <v>3807</v>
      </c>
      <c r="C464" s="611" t="str">
        <f>HYPERLINK("https://en.uesp.net/wiki/Skyrim:Invisibility", "Invisibility")</f>
        <v>Invisibility</v>
      </c>
      <c r="D464" s="616"/>
      <c r="E464" s="616">
        <v>1.5</v>
      </c>
      <c r="F464" s="616">
        <v>1.56</v>
      </c>
      <c r="G464" s="613">
        <v>25.0</v>
      </c>
      <c r="H464" s="614"/>
    </row>
    <row r="465">
      <c r="A465" s="476" t="s">
        <v>132</v>
      </c>
      <c r="B465" s="618" t="s">
        <v>3807</v>
      </c>
      <c r="C465" s="619" t="s">
        <v>3803</v>
      </c>
      <c r="D465" s="612"/>
      <c r="E465" s="612"/>
      <c r="F465" s="612"/>
      <c r="G465" s="613">
        <v>25.0</v>
      </c>
      <c r="H465" s="614"/>
    </row>
    <row r="466">
      <c r="A466" s="476" t="s">
        <v>132</v>
      </c>
      <c r="B466" s="618" t="s">
        <v>3807</v>
      </c>
      <c r="C466" s="611" t="str">
        <f>HYPERLINK("https://en.uesp.net/wiki/Skyrim:Damage_Magicka", "Damage Magicka")</f>
        <v>Damage Magicka</v>
      </c>
      <c r="D466" s="616">
        <v>1.5</v>
      </c>
      <c r="E466" s="616"/>
      <c r="F466" s="616">
        <v>1.56</v>
      </c>
      <c r="G466" s="613">
        <v>25.0</v>
      </c>
      <c r="H466" s="614"/>
    </row>
    <row r="467">
      <c r="A467" s="476" t="s">
        <v>132</v>
      </c>
      <c r="B467" s="618" t="s">
        <v>3808</v>
      </c>
      <c r="C467" s="619" t="s">
        <v>3801</v>
      </c>
      <c r="D467" s="612"/>
      <c r="E467" s="612"/>
      <c r="F467" s="612"/>
      <c r="G467" s="613">
        <v>9.0</v>
      </c>
      <c r="H467" s="613"/>
    </row>
    <row r="468">
      <c r="A468" s="476" t="s">
        <v>132</v>
      </c>
      <c r="B468" s="618" t="s">
        <v>3808</v>
      </c>
      <c r="C468" s="611" t="str">
        <f>HYPERLINK("https://en.uesp.net/wiki/Skyrim:Fortify_Magicka", "Fortify Magicka")</f>
        <v>Fortify Magicka</v>
      </c>
      <c r="D468" s="616">
        <v>1.25</v>
      </c>
      <c r="E468" s="616"/>
      <c r="F468" s="616">
        <v>1.27</v>
      </c>
      <c r="G468" s="613">
        <v>9.0</v>
      </c>
      <c r="H468" s="613"/>
    </row>
    <row r="469">
      <c r="A469" s="476" t="s">
        <v>132</v>
      </c>
      <c r="B469" s="618" t="s">
        <v>3808</v>
      </c>
      <c r="C469" s="611" t="str">
        <f>HYPERLINK("https://en.uesp.net/wiki/Skyrim:Fortify_Alteration", "Fortify Alteration")</f>
        <v>Fortify Alteration</v>
      </c>
      <c r="D469" s="616">
        <v>1.25</v>
      </c>
      <c r="E469" s="616"/>
      <c r="F469" s="616">
        <v>1.27</v>
      </c>
      <c r="G469" s="613">
        <v>9.0</v>
      </c>
      <c r="H469" s="613"/>
    </row>
    <row r="470">
      <c r="A470" s="476" t="s">
        <v>132</v>
      </c>
      <c r="B470" s="618" t="s">
        <v>3808</v>
      </c>
      <c r="C470" s="619" t="s">
        <v>3809</v>
      </c>
      <c r="D470" s="612"/>
      <c r="E470" s="612"/>
      <c r="F470" s="612"/>
      <c r="G470" s="613">
        <v>9.0</v>
      </c>
      <c r="H470" s="613"/>
    </row>
    <row r="471">
      <c r="A471" s="476" t="s">
        <v>132</v>
      </c>
      <c r="B471" s="618" t="s">
        <v>3810</v>
      </c>
      <c r="C471" s="611" t="str">
        <f>HYPERLINK("https://en.uesp.net/wiki/Skyrim:Weakness_to_Fire", "Weakness to Fire")</f>
        <v>Weakness to Fire</v>
      </c>
      <c r="D471" s="612"/>
      <c r="E471" s="612"/>
      <c r="F471" s="612"/>
      <c r="G471" s="613">
        <v>1.0</v>
      </c>
      <c r="H471" s="613"/>
    </row>
    <row r="472">
      <c r="A472" s="476" t="s">
        <v>132</v>
      </c>
      <c r="B472" s="618" t="s">
        <v>3810</v>
      </c>
      <c r="C472" s="611" t="str">
        <f>HYPERLINK("https://en.uesp.net/wiki/Skyrim:Resist_Fire", "Resist Fire")</f>
        <v>Resist Fire</v>
      </c>
      <c r="D472" s="612"/>
      <c r="E472" s="612"/>
      <c r="F472" s="612"/>
      <c r="G472" s="613">
        <v>1.0</v>
      </c>
      <c r="H472" s="613"/>
    </row>
    <row r="473">
      <c r="A473" s="476" t="s">
        <v>132</v>
      </c>
      <c r="B473" s="618" t="s">
        <v>3810</v>
      </c>
      <c r="C473" s="611" t="str">
        <f>HYPERLINK("https://en.uesp.net/wiki/Skyrim:Fortify_Heavy_Armor", "Fortify Heavy Armor")</f>
        <v>Fortify Heavy Armor</v>
      </c>
      <c r="D473" s="612"/>
      <c r="E473" s="612"/>
      <c r="F473" s="612"/>
      <c r="G473" s="613">
        <v>1.0</v>
      </c>
      <c r="H473" s="613"/>
    </row>
    <row r="474">
      <c r="A474" s="476" t="s">
        <v>132</v>
      </c>
      <c r="B474" s="618" t="s">
        <v>3810</v>
      </c>
      <c r="C474" s="611" t="str">
        <f>HYPERLINK("https://en.uesp.net/wiki/Skyrim:Fortify_Illusion", "Fortify Illusion")</f>
        <v>Fortify Illusion</v>
      </c>
      <c r="D474" s="616">
        <v>0.25</v>
      </c>
      <c r="E474" s="616"/>
      <c r="F474" s="616">
        <v>0.21</v>
      </c>
      <c r="G474" s="613">
        <v>1.0</v>
      </c>
      <c r="H474" s="613"/>
    </row>
    <row r="475">
      <c r="A475" s="476" t="s">
        <v>132</v>
      </c>
      <c r="B475" s="618" t="s">
        <v>3811</v>
      </c>
      <c r="C475" s="611" t="str">
        <f>HYPERLINK("https://en.uesp.net/wiki/Skyrim:Restore_Magicka", "Restore Magicka")</f>
        <v>Restore Magicka</v>
      </c>
      <c r="D475" s="616">
        <v>1.2</v>
      </c>
      <c r="E475" s="616"/>
      <c r="F475" s="616">
        <v>1.22</v>
      </c>
      <c r="G475" s="613">
        <v>25.0</v>
      </c>
      <c r="H475" s="613"/>
    </row>
    <row r="476">
      <c r="A476" s="476" t="s">
        <v>132</v>
      </c>
      <c r="B476" s="618" t="s">
        <v>3811</v>
      </c>
      <c r="C476" s="611" t="str">
        <f>HYPERLINK("https://en.uesp.net/wiki/Skyrim:Fortify_Magicka", "Fortify Magicka")</f>
        <v>Fortify Magicka</v>
      </c>
      <c r="D476" s="616">
        <v>1.25</v>
      </c>
      <c r="E476" s="616"/>
      <c r="F476" s="616">
        <v>1.22</v>
      </c>
      <c r="G476" s="613">
        <v>25.0</v>
      </c>
      <c r="H476" s="613"/>
    </row>
    <row r="477">
      <c r="A477" s="476" t="s">
        <v>132</v>
      </c>
      <c r="B477" s="618" t="s">
        <v>3811</v>
      </c>
      <c r="C477" s="619" t="s">
        <v>3812</v>
      </c>
      <c r="D477" s="616"/>
      <c r="E477" s="616"/>
      <c r="F477" s="612"/>
      <c r="G477" s="613">
        <v>25.0</v>
      </c>
      <c r="H477" s="613"/>
    </row>
    <row r="478">
      <c r="A478" s="476" t="s">
        <v>132</v>
      </c>
      <c r="B478" s="618" t="s">
        <v>3811</v>
      </c>
      <c r="C478" s="611" t="str">
        <f t="shared" ref="C478:C479" si="114">HYPERLINK("https://en.uesp.net/wiki/Skyrim:Invisibility", "Invisibility")</f>
        <v>Invisibility</v>
      </c>
      <c r="D478" s="616"/>
      <c r="E478" s="616">
        <v>1.5</v>
      </c>
      <c r="F478" s="616">
        <v>1.27</v>
      </c>
      <c r="G478" s="613">
        <v>25.0</v>
      </c>
      <c r="H478" s="613"/>
    </row>
    <row r="479">
      <c r="A479" s="476" t="s">
        <v>132</v>
      </c>
      <c r="B479" s="618" t="s">
        <v>3813</v>
      </c>
      <c r="C479" s="611" t="str">
        <f t="shared" si="114"/>
        <v>Invisibility</v>
      </c>
      <c r="D479" s="612"/>
      <c r="E479" s="612"/>
      <c r="F479" s="612"/>
      <c r="G479" s="613">
        <v>25.0</v>
      </c>
      <c r="H479" s="613"/>
    </row>
    <row r="480">
      <c r="A480" s="476" t="s">
        <v>132</v>
      </c>
      <c r="B480" s="618" t="s">
        <v>3813</v>
      </c>
      <c r="C480" s="611" t="str">
        <f>HYPERLINK("https://en.uesp.net/wiki/Skyrim:Resist_Poison", "Resist Poison")</f>
        <v>Resist Poison</v>
      </c>
      <c r="D480" s="612"/>
      <c r="E480" s="612"/>
      <c r="F480" s="612"/>
      <c r="G480" s="613">
        <v>25.0</v>
      </c>
      <c r="H480" s="613"/>
    </row>
    <row r="481">
      <c r="A481" s="476" t="s">
        <v>132</v>
      </c>
      <c r="B481" s="618" t="s">
        <v>3813</v>
      </c>
      <c r="C481" s="611" t="str">
        <f>HYPERLINK("https://en.uesp.net/wiki/Skyrim:Slow", "Slow")</f>
        <v>Slow</v>
      </c>
      <c r="D481" s="616"/>
      <c r="E481" s="616">
        <v>6.0</v>
      </c>
      <c r="F481" s="616">
        <v>0.57</v>
      </c>
      <c r="G481" s="613">
        <v>25.0</v>
      </c>
      <c r="H481" s="613"/>
    </row>
    <row r="482">
      <c r="A482" s="476" t="s">
        <v>132</v>
      </c>
      <c r="B482" s="618" t="s">
        <v>3813</v>
      </c>
      <c r="C482" s="611" t="str">
        <f>HYPERLINK("https://en.uesp.net/wiki/Skyrim:Fortify_Health", "Fortify Health")</f>
        <v>Fortify Health</v>
      </c>
      <c r="D482" s="616">
        <v>1.25</v>
      </c>
      <c r="E482" s="616"/>
      <c r="F482" s="616">
        <v>1.27</v>
      </c>
      <c r="G482" s="613">
        <v>25.0</v>
      </c>
      <c r="H482" s="613"/>
    </row>
    <row r="483">
      <c r="A483" s="476" t="s">
        <v>132</v>
      </c>
      <c r="B483" s="618" t="s">
        <v>3814</v>
      </c>
      <c r="C483" s="611" t="str">
        <f>HYPERLINK("https://en.uesp.net/wiki/Skyrim:Restore_Magicka", "Restore Magicka")</f>
        <v>Restore Magicka</v>
      </c>
      <c r="D483" s="616">
        <v>1.2</v>
      </c>
      <c r="E483" s="616"/>
      <c r="F483" s="616">
        <v>1.22</v>
      </c>
      <c r="G483" s="613">
        <v>20.0</v>
      </c>
      <c r="H483" s="614"/>
    </row>
    <row r="484">
      <c r="A484" s="476" t="s">
        <v>132</v>
      </c>
      <c r="B484" s="618" t="s">
        <v>3814</v>
      </c>
      <c r="C484" s="611" t="str">
        <f>HYPERLINK("https://en.uesp.net/wiki/Skyrim:Fortify_Heavy_Armor", "Fortify Heavy Armor")</f>
        <v>Fortify Heavy Armor</v>
      </c>
      <c r="D484" s="616">
        <v>1.5</v>
      </c>
      <c r="E484" s="616"/>
      <c r="F484" s="616">
        <v>1.56</v>
      </c>
      <c r="G484" s="613">
        <v>20.0</v>
      </c>
      <c r="H484" s="614"/>
    </row>
    <row r="485">
      <c r="A485" s="476" t="s">
        <v>132</v>
      </c>
      <c r="B485" s="618" t="s">
        <v>3814</v>
      </c>
      <c r="C485" s="611" t="str">
        <f>HYPERLINK("https://en.uesp.net/wiki/Skyrim:Fear", "Fear")</f>
        <v>Fear</v>
      </c>
      <c r="D485" s="616">
        <v>2.0</v>
      </c>
      <c r="E485" s="616"/>
      <c r="F485" s="616">
        <v>2.14</v>
      </c>
      <c r="G485" s="613">
        <v>20.0</v>
      </c>
      <c r="H485" s="614"/>
    </row>
    <row r="486">
      <c r="A486" s="476" t="s">
        <v>132</v>
      </c>
      <c r="B486" s="618" t="s">
        <v>3814</v>
      </c>
      <c r="C486" s="611" t="str">
        <f>HYPERLINK("https://en.uesp.net/wiki/Skyrim:Damage_Stamina", "Damage Stamina")</f>
        <v>Damage Stamina</v>
      </c>
      <c r="D486" s="616">
        <v>1.33</v>
      </c>
      <c r="E486" s="616"/>
      <c r="F486" s="616">
        <v>1.36</v>
      </c>
      <c r="G486" s="613">
        <v>20.0</v>
      </c>
      <c r="H486" s="614"/>
    </row>
    <row r="487">
      <c r="A487" s="476" t="s">
        <v>132</v>
      </c>
      <c r="B487" s="618" t="s">
        <v>3815</v>
      </c>
      <c r="C487" s="611" t="str">
        <f>HYPERLINK("https://en.uesp.net/wiki/Skyrim:Slow", "Slow")</f>
        <v>Slow</v>
      </c>
      <c r="D487" s="616"/>
      <c r="E487" s="616">
        <v>2.0</v>
      </c>
      <c r="F487" s="616">
        <v>2.14</v>
      </c>
      <c r="G487" s="613">
        <v>50.0</v>
      </c>
      <c r="H487" s="614"/>
    </row>
    <row r="488">
      <c r="A488" s="476" t="s">
        <v>132</v>
      </c>
      <c r="B488" s="618" t="s">
        <v>3815</v>
      </c>
      <c r="C488" s="611" t="str">
        <f>HYPERLINK("https://en.uesp.net/wiki/Skyrim:Ravage_Stamina", "Ravage Stamina")</f>
        <v>Ravage Stamina</v>
      </c>
      <c r="D488" s="616">
        <v>1.5</v>
      </c>
      <c r="E488" s="616"/>
      <c r="F488" s="616">
        <v>3.34</v>
      </c>
      <c r="G488" s="613">
        <v>50.0</v>
      </c>
      <c r="H488" s="614"/>
    </row>
    <row r="489">
      <c r="A489" s="476" t="s">
        <v>132</v>
      </c>
      <c r="B489" s="618" t="s">
        <v>3815</v>
      </c>
      <c r="C489" s="611" t="str">
        <f>HYPERLINK("https://en.uesp.net/wiki/Skyrim:Damage_Stamina_Regen", "Damage Stamina Regen")</f>
        <v>Damage Stamina Regen</v>
      </c>
      <c r="D489" s="616"/>
      <c r="E489" s="616">
        <v>2.0</v>
      </c>
      <c r="F489" s="616">
        <v>2.14</v>
      </c>
      <c r="G489" s="613">
        <v>50.0</v>
      </c>
      <c r="H489" s="614"/>
    </row>
    <row r="490">
      <c r="A490" s="476" t="s">
        <v>132</v>
      </c>
      <c r="B490" s="618" t="s">
        <v>3815</v>
      </c>
      <c r="C490" s="611" t="str">
        <f>HYPERLINK("https://en.uesp.net/wiki/Skyrim:Resist_Magic", "Resist Magic")</f>
        <v>Resist Magic</v>
      </c>
      <c r="D490" s="616">
        <v>2.0</v>
      </c>
      <c r="E490" s="616"/>
      <c r="F490" s="616">
        <v>2.14</v>
      </c>
      <c r="G490" s="613">
        <v>50.0</v>
      </c>
      <c r="H490" s="614"/>
    </row>
    <row r="491">
      <c r="A491" s="476" t="s">
        <v>132</v>
      </c>
      <c r="B491" s="618" t="s">
        <v>3816</v>
      </c>
      <c r="C491" s="611" t="str">
        <f>HYPERLINK("https://en.uesp.net/wiki/Skyrim:Damage_Health", "Damage Health")</f>
        <v>Damage Health</v>
      </c>
      <c r="D491" s="616">
        <v>1.5</v>
      </c>
      <c r="E491" s="616"/>
      <c r="F491" s="616">
        <v>1.56</v>
      </c>
      <c r="G491" s="613">
        <v>15.0</v>
      </c>
      <c r="H491" s="614"/>
    </row>
    <row r="492">
      <c r="A492" s="476" t="s">
        <v>132</v>
      </c>
      <c r="B492" s="618" t="s">
        <v>3816</v>
      </c>
      <c r="C492" s="611" t="str">
        <f>HYPERLINK("https://en.uesp.net/wiki/Skyrim:Ravage_Health", "Ravage Health")</f>
        <v>Ravage Health</v>
      </c>
      <c r="D492" s="616">
        <v>1.5</v>
      </c>
      <c r="E492" s="616"/>
      <c r="F492" s="616">
        <v>3.34</v>
      </c>
      <c r="G492" s="613">
        <v>15.0</v>
      </c>
      <c r="H492" s="614"/>
    </row>
    <row r="493">
      <c r="A493" s="476" t="s">
        <v>132</v>
      </c>
      <c r="B493" s="618" t="s">
        <v>3816</v>
      </c>
      <c r="C493" s="611" t="str">
        <f>HYPERLINK("https://en.uesp.net/wiki/Skyrim:Lingering_Damage_Health", "Lingering Damage Health")</f>
        <v>Lingering Damage Health</v>
      </c>
      <c r="D493" s="616">
        <v>2.0</v>
      </c>
      <c r="E493" s="616"/>
      <c r="F493" s="616">
        <v>2.14</v>
      </c>
      <c r="G493" s="613">
        <v>15.0</v>
      </c>
      <c r="H493" s="614"/>
    </row>
    <row r="494">
      <c r="A494" s="476" t="s">
        <v>132</v>
      </c>
      <c r="B494" s="618" t="s">
        <v>3816</v>
      </c>
      <c r="C494" s="611" t="str">
        <f>HYPERLINK("https://en.uesp.net/wiki/Skyrim:Weakness_to_Poison", "Weakness to Poison")</f>
        <v>Weakness to Poison</v>
      </c>
      <c r="D494" s="616">
        <v>1.5</v>
      </c>
      <c r="E494" s="616"/>
      <c r="F494" s="616">
        <v>1.56</v>
      </c>
      <c r="G494" s="613">
        <v>15.0</v>
      </c>
      <c r="H494" s="614"/>
    </row>
    <row r="495">
      <c r="A495" s="476" t="s">
        <v>132</v>
      </c>
      <c r="B495" s="618" t="s">
        <v>3817</v>
      </c>
      <c r="C495" s="611" t="str">
        <f>HYPERLINK("https://en.uesp.net/wiki/Skyrim:Weakness_to_Frost", "Weakness to Frost")</f>
        <v>Weakness to Frost</v>
      </c>
      <c r="D495" s="616">
        <v>1.33</v>
      </c>
      <c r="E495" s="616"/>
      <c r="F495" s="616">
        <v>1.37</v>
      </c>
      <c r="G495" s="613">
        <v>7.0</v>
      </c>
      <c r="H495" s="614"/>
    </row>
    <row r="496">
      <c r="A496" s="476" t="s">
        <v>132</v>
      </c>
      <c r="B496" s="618" t="s">
        <v>3817</v>
      </c>
      <c r="C496" s="611" t="str">
        <f>HYPERLINK("https://en.uesp.net/wiki/Skyrim:Restore_Stamina", "Restore Stamina")</f>
        <v>Restore Stamina</v>
      </c>
      <c r="D496" s="616">
        <v>1.2</v>
      </c>
      <c r="E496" s="616"/>
      <c r="F496" s="616">
        <v>1.22</v>
      </c>
      <c r="G496" s="613">
        <v>7.0</v>
      </c>
      <c r="H496" s="614"/>
    </row>
    <row r="497">
      <c r="A497" s="476" t="s">
        <v>132</v>
      </c>
      <c r="B497" s="618" t="s">
        <v>3817</v>
      </c>
      <c r="C497" s="611" t="str">
        <f>HYPERLINK("https://en.uesp.net/wiki/Skyrim:Cure_Disease", "Cure Disease")</f>
        <v>Cure Disease</v>
      </c>
      <c r="D497" s="612"/>
      <c r="E497" s="612"/>
      <c r="F497" s="616">
        <v>0.36</v>
      </c>
      <c r="G497" s="613">
        <v>7.0</v>
      </c>
      <c r="H497" s="614"/>
    </row>
    <row r="498">
      <c r="A498" s="476" t="s">
        <v>132</v>
      </c>
      <c r="B498" s="618" t="s">
        <v>3817</v>
      </c>
      <c r="C498" s="611" t="str">
        <f>HYPERLINK("https://en.uesp.net/wiki/Skyrim:Damage_Magicka", "Damage Magicka")</f>
        <v>Damage Magicka</v>
      </c>
      <c r="D498" s="616">
        <v>1.33</v>
      </c>
      <c r="E498" s="616"/>
      <c r="F498" s="616">
        <v>1.37</v>
      </c>
      <c r="G498" s="613">
        <v>7.0</v>
      </c>
      <c r="H498" s="614"/>
    </row>
    <row r="499">
      <c r="A499" s="476" t="s">
        <v>132</v>
      </c>
      <c r="B499" s="618" t="s">
        <v>3818</v>
      </c>
      <c r="C499" s="611" t="str">
        <f>HYPERLINK("https://en.uesp.net/wiki/Skyrim:Damage_Health", "Damage Health")</f>
        <v>Damage Health</v>
      </c>
      <c r="D499" s="616">
        <v>1.5</v>
      </c>
      <c r="E499" s="616"/>
      <c r="F499" s="616">
        <v>1.56</v>
      </c>
      <c r="G499" s="613">
        <v>30.0</v>
      </c>
      <c r="H499" s="614"/>
    </row>
    <row r="500">
      <c r="A500" s="476" t="s">
        <v>132</v>
      </c>
      <c r="B500" s="618" t="s">
        <v>3818</v>
      </c>
      <c r="C500" s="611" t="str">
        <f>HYPERLINK("https://en.uesp.net/wiki/Skyrim:Lingering_Damage_Stamina", "Lingering Damage Stamina")</f>
        <v>Lingering Damage Stamina</v>
      </c>
      <c r="D500" s="616">
        <v>2.0</v>
      </c>
      <c r="E500" s="616"/>
      <c r="F500" s="616">
        <v>2.14</v>
      </c>
      <c r="G500" s="613">
        <v>30.0</v>
      </c>
      <c r="H500" s="614"/>
    </row>
    <row r="501">
      <c r="A501" s="476" t="s">
        <v>132</v>
      </c>
      <c r="B501" s="618" t="s">
        <v>3818</v>
      </c>
      <c r="C501" s="611" t="str">
        <f>HYPERLINK("https://en.uesp.net/wiki/Skyrim:Ravage_Magicka", "Ravage Magicka")</f>
        <v>Ravage Magicka</v>
      </c>
      <c r="D501" s="616">
        <v>1.5</v>
      </c>
      <c r="E501" s="616"/>
      <c r="F501" s="616">
        <v>1.56</v>
      </c>
      <c r="G501" s="613">
        <v>30.0</v>
      </c>
      <c r="H501" s="614"/>
    </row>
    <row r="502">
      <c r="A502" s="476" t="s">
        <v>132</v>
      </c>
      <c r="B502" s="618" t="s">
        <v>3818</v>
      </c>
      <c r="C502" s="611" t="str">
        <f>HYPERLINK("https://en.uesp.net/wiki/Skyrim:Fortify_Carry_Weight", "Fortify Carry Weight")</f>
        <v>Fortify Carry Weight</v>
      </c>
      <c r="D502" s="616">
        <v>1.25</v>
      </c>
      <c r="E502" s="616"/>
      <c r="F502" s="616">
        <v>1.27</v>
      </c>
      <c r="G502" s="613">
        <v>30.0</v>
      </c>
      <c r="H502" s="614"/>
    </row>
    <row r="503">
      <c r="A503" s="476" t="s">
        <v>132</v>
      </c>
      <c r="B503" s="618" t="s">
        <v>3819</v>
      </c>
      <c r="C503" s="611" t="str">
        <f>HYPERLINK("https://en.uesp.net/wiki/Skyrim:Damage_Stamina", "Damage Stamina")</f>
        <v>Damage Stamina</v>
      </c>
      <c r="D503" s="616">
        <v>1.33</v>
      </c>
      <c r="E503" s="616"/>
      <c r="F503" s="616">
        <v>1.36</v>
      </c>
      <c r="G503" s="613">
        <v>12.0</v>
      </c>
      <c r="H503" s="614"/>
    </row>
    <row r="504">
      <c r="A504" s="476" t="s">
        <v>132</v>
      </c>
      <c r="B504" s="618" t="s">
        <v>3819</v>
      </c>
      <c r="C504" s="619" t="s">
        <v>3809</v>
      </c>
      <c r="D504" s="612"/>
      <c r="E504" s="612"/>
      <c r="F504" s="612"/>
      <c r="G504" s="613">
        <v>12.0</v>
      </c>
      <c r="H504" s="614"/>
    </row>
    <row r="505">
      <c r="A505" s="476" t="s">
        <v>132</v>
      </c>
      <c r="B505" s="618" t="s">
        <v>3819</v>
      </c>
      <c r="C505" s="611" t="str">
        <f>HYPERLINK("https://en.uesp.net/wiki/Skyrim:Restore_Magicka", "Restore Magicka")</f>
        <v>Restore Magicka</v>
      </c>
      <c r="D505" s="616">
        <v>1.2</v>
      </c>
      <c r="E505" s="616"/>
      <c r="F505" s="616">
        <v>1.22</v>
      </c>
      <c r="G505" s="613">
        <v>12.0</v>
      </c>
      <c r="H505" s="614"/>
    </row>
    <row r="506">
      <c r="A506" s="476" t="s">
        <v>132</v>
      </c>
      <c r="B506" s="618" t="s">
        <v>3819</v>
      </c>
      <c r="C506" s="611" t="str">
        <f>HYPERLINK("https://en.uesp.net/wiki/Skyrim:Fortify_Destruction", "Fortify Destruction")</f>
        <v>Fortify Destruction</v>
      </c>
      <c r="D506" s="616">
        <v>1.2</v>
      </c>
      <c r="E506" s="616"/>
      <c r="F506" s="616">
        <v>1.22</v>
      </c>
      <c r="G506" s="613">
        <v>12.0</v>
      </c>
      <c r="H506" s="614"/>
    </row>
    <row r="507">
      <c r="A507" s="476" t="s">
        <v>132</v>
      </c>
      <c r="B507" s="618" t="s">
        <v>3820</v>
      </c>
      <c r="C507" s="611" t="str">
        <f>HYPERLINK("https://en.uesp.net/wiki/Skyrim:Ravage_Health", "Ravage Health")</f>
        <v>Ravage Health</v>
      </c>
      <c r="D507" s="616">
        <v>1.5</v>
      </c>
      <c r="E507" s="616"/>
      <c r="F507" s="616">
        <v>3.34</v>
      </c>
      <c r="G507" s="613">
        <v>9.0</v>
      </c>
      <c r="H507" s="614"/>
    </row>
    <row r="508">
      <c r="A508" s="476" t="s">
        <v>132</v>
      </c>
      <c r="B508" s="618" t="s">
        <v>3820</v>
      </c>
      <c r="C508" s="611" t="str">
        <f>HYPERLINK("https://en.uesp.net/wiki/Skyrim:Restore_Magicka", "Restore Magicka")</f>
        <v>Restore Magicka</v>
      </c>
      <c r="D508" s="616">
        <v>1.2</v>
      </c>
      <c r="E508" s="616"/>
      <c r="F508" s="616">
        <v>1.22</v>
      </c>
      <c r="G508" s="613">
        <v>9.0</v>
      </c>
      <c r="H508" s="614"/>
    </row>
    <row r="509">
      <c r="A509" s="476" t="s">
        <v>132</v>
      </c>
      <c r="B509" s="618" t="s">
        <v>3820</v>
      </c>
      <c r="C509" s="611" t="str">
        <f>HYPERLINK("https://en.uesp.net/wiki/Skyrim:Weakness_to_Fire", "Weakness to Fire")</f>
        <v>Weakness to Fire</v>
      </c>
      <c r="D509" s="616">
        <v>1.33</v>
      </c>
      <c r="E509" s="616"/>
      <c r="F509" s="616">
        <v>1.36</v>
      </c>
      <c r="G509" s="613">
        <v>9.0</v>
      </c>
      <c r="H509" s="614"/>
    </row>
    <row r="510">
      <c r="A510" s="476" t="s">
        <v>132</v>
      </c>
      <c r="B510" s="618" t="s">
        <v>3820</v>
      </c>
      <c r="C510" s="611" t="str">
        <f>HYPERLINK("https://en.uesp.net/wiki/Skyrim:Fortify_Conjuration", "Fortify Conjuration")</f>
        <v>Fortify Conjuration</v>
      </c>
      <c r="D510" s="616">
        <v>1.2</v>
      </c>
      <c r="E510" s="616"/>
      <c r="F510" s="616">
        <v>1.22</v>
      </c>
      <c r="G510" s="613">
        <v>9.0</v>
      </c>
      <c r="H510" s="614"/>
    </row>
    <row r="511">
      <c r="A511" s="476" t="s">
        <v>132</v>
      </c>
      <c r="B511" s="618" t="s">
        <v>3821</v>
      </c>
      <c r="C511" s="611" t="str">
        <f>HYPERLINK("https://en.uesp.net/wiki/Skyrim:Paralysis", "Paralysis")</f>
        <v>Paralysis</v>
      </c>
      <c r="D511" s="616"/>
      <c r="E511" s="616">
        <v>2.0</v>
      </c>
      <c r="F511" s="616">
        <v>2.14</v>
      </c>
      <c r="G511" s="613">
        <v>30.0</v>
      </c>
      <c r="H511" s="614"/>
    </row>
    <row r="512">
      <c r="A512" s="476" t="s">
        <v>132</v>
      </c>
      <c r="B512" s="618" t="s">
        <v>3821</v>
      </c>
      <c r="C512" s="611" t="str">
        <f>HYPERLINK("https://en.uesp.net/wiki/Skyrim:Restore_Health", "Restore Health")</f>
        <v>Restore Health</v>
      </c>
      <c r="D512" s="616">
        <v>1.2</v>
      </c>
      <c r="E512" s="616"/>
      <c r="F512" s="616">
        <v>1.22</v>
      </c>
      <c r="G512" s="613">
        <v>30.0</v>
      </c>
      <c r="H512" s="614"/>
    </row>
    <row r="513">
      <c r="A513" s="476" t="s">
        <v>132</v>
      </c>
      <c r="B513" s="618" t="s">
        <v>3821</v>
      </c>
      <c r="C513" s="611" t="str">
        <f>HYPERLINK("https://en.uesp.net/wiki/Skyrim:Resist_Shock", "Resist Shock")</f>
        <v>Resist Shock</v>
      </c>
      <c r="D513" s="616">
        <v>1.33</v>
      </c>
      <c r="E513" s="616"/>
      <c r="F513" s="616">
        <v>1.36</v>
      </c>
      <c r="G513" s="613">
        <v>30.0</v>
      </c>
      <c r="H513" s="614"/>
    </row>
    <row r="514">
      <c r="A514" s="476" t="s">
        <v>132</v>
      </c>
      <c r="B514" s="618" t="s">
        <v>3821</v>
      </c>
      <c r="C514" s="611" t="str">
        <f>HYPERLINK("https://en.uesp.net/wiki/Skyrim:Fortify_Marksman", "Fortify Marksman")</f>
        <v>Fortify Marksman</v>
      </c>
      <c r="D514" s="616">
        <v>1.25</v>
      </c>
      <c r="E514" s="616"/>
      <c r="F514" s="616">
        <v>1.27</v>
      </c>
      <c r="G514" s="613">
        <v>30.0</v>
      </c>
      <c r="H514" s="614"/>
    </row>
    <row r="515">
      <c r="A515" s="476" t="s">
        <v>132</v>
      </c>
      <c r="B515" s="618" t="s">
        <v>3822</v>
      </c>
      <c r="C515" s="611" t="str">
        <f>HYPERLINK("https://en.uesp.net/wiki/Skyrim:Lingering_Damage_Stamina", "Lingering Damage Stamina")</f>
        <v>Lingering Damage Stamina</v>
      </c>
      <c r="D515" s="616">
        <v>2.0</v>
      </c>
      <c r="E515" s="616"/>
      <c r="F515" s="616">
        <v>2.14</v>
      </c>
      <c r="G515" s="613">
        <v>50.0</v>
      </c>
      <c r="H515" s="614"/>
    </row>
    <row r="516">
      <c r="A516" s="476" t="s">
        <v>132</v>
      </c>
      <c r="B516" s="618" t="s">
        <v>3822</v>
      </c>
      <c r="C516" s="611" t="str">
        <f>HYPERLINK("https://en.uesp.net/wiki/Skyrim:Paralysis", "Paralysis")</f>
        <v>Paralysis</v>
      </c>
      <c r="D516" s="616"/>
      <c r="E516" s="616">
        <v>2.0</v>
      </c>
      <c r="F516" s="616">
        <v>2.14</v>
      </c>
      <c r="G516" s="613">
        <v>50.0</v>
      </c>
      <c r="H516" s="614"/>
    </row>
    <row r="517">
      <c r="A517" s="476" t="s">
        <v>132</v>
      </c>
      <c r="B517" s="618" t="s">
        <v>3822</v>
      </c>
      <c r="C517" s="619" t="s">
        <v>3812</v>
      </c>
      <c r="D517" s="612"/>
      <c r="E517" s="612"/>
      <c r="F517" s="612"/>
      <c r="G517" s="613">
        <v>50.0</v>
      </c>
      <c r="H517" s="614"/>
    </row>
    <row r="518">
      <c r="A518" s="476" t="s">
        <v>132</v>
      </c>
      <c r="B518" s="618" t="s">
        <v>3822</v>
      </c>
      <c r="C518" s="611" t="str">
        <f>HYPERLINK("https://en.uesp.net/wiki/Skyrim:Invisibility", "Invisibility")</f>
        <v>Invisibility</v>
      </c>
      <c r="D518" s="616"/>
      <c r="E518" s="616">
        <v>1.5</v>
      </c>
      <c r="F518" s="616">
        <v>1.56</v>
      </c>
      <c r="G518" s="613">
        <v>50.0</v>
      </c>
      <c r="H518" s="614"/>
    </row>
    <row r="519">
      <c r="A519" s="476" t="s">
        <v>132</v>
      </c>
      <c r="B519" s="618" t="s">
        <v>3823</v>
      </c>
      <c r="C519" s="611" t="str">
        <f>HYPERLINK("https://en.uesp.net/wiki/Skyrim:Ravage_Health", "Ravage Health")</f>
        <v>Ravage Health</v>
      </c>
      <c r="D519" s="616">
        <v>1.5</v>
      </c>
      <c r="E519" s="616"/>
      <c r="F519" s="616">
        <v>3.34</v>
      </c>
      <c r="G519" s="613">
        <v>50.0</v>
      </c>
      <c r="H519" s="614"/>
    </row>
    <row r="520">
      <c r="A520" s="476" t="s">
        <v>132</v>
      </c>
      <c r="B520" s="618" t="s">
        <v>3823</v>
      </c>
      <c r="C520" s="611" t="str">
        <f>HYPERLINK("https://en.uesp.net/wiki/Skyrim:Paralysis", "Paralysis")</f>
        <v>Paralysis</v>
      </c>
      <c r="D520" s="616"/>
      <c r="E520" s="616">
        <v>2.0</v>
      </c>
      <c r="F520" s="616">
        <v>2.14</v>
      </c>
      <c r="G520" s="613">
        <v>50.0</v>
      </c>
      <c r="H520" s="614"/>
    </row>
    <row r="521">
      <c r="A521" s="476" t="s">
        <v>132</v>
      </c>
      <c r="B521" s="618" t="s">
        <v>3823</v>
      </c>
      <c r="C521" s="611" t="str">
        <f>HYPERLINK("https://en.uesp.net/wiki/Skyrim:Fortify_Destruction", "Fortify Destruction")</f>
        <v>Fortify Destruction</v>
      </c>
      <c r="D521" s="616">
        <v>1.2</v>
      </c>
      <c r="E521" s="616"/>
      <c r="F521" s="616">
        <v>1.22</v>
      </c>
      <c r="G521" s="613">
        <v>50.0</v>
      </c>
      <c r="H521" s="614"/>
    </row>
    <row r="522">
      <c r="A522" s="476" t="s">
        <v>132</v>
      </c>
      <c r="B522" s="618" t="s">
        <v>3823</v>
      </c>
      <c r="C522" s="619" t="s">
        <v>3809</v>
      </c>
      <c r="D522" s="612"/>
      <c r="E522" s="612"/>
      <c r="F522" s="612"/>
      <c r="G522" s="613">
        <v>50.0</v>
      </c>
      <c r="H522" s="614"/>
    </row>
    <row r="523">
      <c r="A523" s="476" t="s">
        <v>132</v>
      </c>
      <c r="B523" s="618" t="s">
        <v>3824</v>
      </c>
      <c r="C523" s="611" t="str">
        <f>HYPERLINK("https://en.uesp.net/wiki/Skyrim:Resist_Frost", "Resist Frost")</f>
        <v>Resist Frost</v>
      </c>
      <c r="D523" s="616">
        <v>1.33</v>
      </c>
      <c r="E523" s="616"/>
      <c r="F523" s="616">
        <v>1.36</v>
      </c>
      <c r="G523" s="613">
        <v>50.0</v>
      </c>
      <c r="H523" s="614"/>
    </row>
    <row r="524">
      <c r="A524" s="476" t="s">
        <v>132</v>
      </c>
      <c r="B524" s="618" t="s">
        <v>3824</v>
      </c>
      <c r="C524" s="619" t="s">
        <v>3801</v>
      </c>
      <c r="D524" s="612"/>
      <c r="E524" s="612"/>
      <c r="F524" s="612"/>
      <c r="G524" s="613">
        <v>50.0</v>
      </c>
      <c r="H524" s="614"/>
    </row>
    <row r="525">
      <c r="A525" s="476" t="s">
        <v>132</v>
      </c>
      <c r="B525" s="618" t="s">
        <v>3824</v>
      </c>
      <c r="C525" s="611" t="str">
        <f>HYPERLINK("https://en.uesp.net/wiki/Skyrim:Damage_Magicka_Regen", "Damage Magicka Regen")</f>
        <v>Damage Magicka Regen</v>
      </c>
      <c r="D525" s="616"/>
      <c r="E525" s="616">
        <v>2.0</v>
      </c>
      <c r="F525" s="616">
        <v>2.14</v>
      </c>
      <c r="G525" s="613">
        <v>50.0</v>
      </c>
      <c r="H525" s="614"/>
    </row>
    <row r="526">
      <c r="A526" s="476" t="s">
        <v>132</v>
      </c>
      <c r="B526" s="618" t="s">
        <v>3824</v>
      </c>
      <c r="C526" s="611" t="str">
        <f>HYPERLINK("https://en.uesp.net/wiki/Skyrim:Regenerate_Stamina", "Regenerate Stamina")</f>
        <v>Regenerate Stamina</v>
      </c>
      <c r="D526" s="616">
        <v>1.2</v>
      </c>
      <c r="E526" s="616"/>
      <c r="F526" s="616">
        <v>1.22</v>
      </c>
      <c r="G526" s="613">
        <v>50.0</v>
      </c>
      <c r="H526" s="614"/>
    </row>
    <row r="527">
      <c r="A527" s="476" t="s">
        <v>132</v>
      </c>
      <c r="B527" s="618" t="s">
        <v>3825</v>
      </c>
      <c r="C527" s="611" t="str">
        <f>HYPERLINK("https://en.uesp.net/wiki/Skyrim:Weakness_to_Magic", "Weakness to Magic")</f>
        <v>Weakness to Magic</v>
      </c>
      <c r="D527" s="616">
        <v>1.5</v>
      </c>
      <c r="E527" s="616"/>
      <c r="F527" s="616">
        <v>1.56</v>
      </c>
      <c r="G527" s="613">
        <v>25.0</v>
      </c>
      <c r="H527" s="613"/>
    </row>
    <row r="528">
      <c r="A528" s="476" t="s">
        <v>132</v>
      </c>
      <c r="B528" s="618" t="s">
        <v>3825</v>
      </c>
      <c r="C528" s="611" t="str">
        <f>HYPERLINK("https://en.uesp.net/wiki/Skyrim:Frenzy", "Frenzy")</f>
        <v>Frenzy</v>
      </c>
      <c r="D528" s="616"/>
      <c r="E528" s="616">
        <v>2.0</v>
      </c>
      <c r="F528" s="616">
        <v>2.14</v>
      </c>
      <c r="G528" s="613">
        <v>25.0</v>
      </c>
      <c r="H528" s="613"/>
    </row>
    <row r="529">
      <c r="A529" s="476" t="s">
        <v>132</v>
      </c>
      <c r="B529" s="618" t="s">
        <v>3825</v>
      </c>
      <c r="C529" s="611" t="str">
        <f>HYPERLINK("https://en.uesp.net/wiki/Skyrim:Fortify_Enchanting", "Fortify Enchanting")</f>
        <v>Fortify Enchanting</v>
      </c>
      <c r="D529" s="616">
        <v>2.0</v>
      </c>
      <c r="E529" s="616"/>
      <c r="F529" s="616">
        <v>2.14</v>
      </c>
      <c r="G529" s="613">
        <v>25.0</v>
      </c>
      <c r="H529" s="613"/>
    </row>
    <row r="530">
      <c r="A530" s="476" t="s">
        <v>132</v>
      </c>
      <c r="B530" s="618" t="s">
        <v>3825</v>
      </c>
      <c r="C530" s="611" t="str">
        <f>HYPERLINK("https://en.uesp.net/wiki/Skyrim:Fortify_Smithing", "Fortify Smithing")</f>
        <v>Fortify Smithing</v>
      </c>
      <c r="D530" s="616">
        <v>1.25</v>
      </c>
      <c r="E530" s="616"/>
      <c r="F530" s="616">
        <v>1.27</v>
      </c>
      <c r="G530" s="613">
        <v>25.0</v>
      </c>
      <c r="H530" s="613"/>
    </row>
    <row r="531">
      <c r="A531" s="476" t="s">
        <v>132</v>
      </c>
      <c r="B531" s="618" t="s">
        <v>3826</v>
      </c>
      <c r="C531" s="611" t="str">
        <f>HYPERLINK("https://en.uesp.net/wiki/Skyrim:Restore_Magicka", "Restore Magicka")</f>
        <v>Restore Magicka</v>
      </c>
      <c r="D531" s="616">
        <v>1.2</v>
      </c>
      <c r="E531" s="616"/>
      <c r="F531" s="616">
        <v>1.22</v>
      </c>
      <c r="G531" s="613">
        <v>30.0</v>
      </c>
      <c r="H531" s="614"/>
    </row>
    <row r="532">
      <c r="A532" s="476" t="s">
        <v>132</v>
      </c>
      <c r="B532" s="618" t="s">
        <v>3826</v>
      </c>
      <c r="C532" s="611" t="str">
        <f>HYPERLINK("https://en.uesp.net/wiki/Skyrim:Invisibility", "Invisibility")</f>
        <v>Invisibility</v>
      </c>
      <c r="D532" s="616"/>
      <c r="E532" s="616">
        <v>1.5</v>
      </c>
      <c r="F532" s="616">
        <v>1.56</v>
      </c>
      <c r="G532" s="613">
        <v>30.0</v>
      </c>
      <c r="H532" s="614"/>
    </row>
    <row r="533">
      <c r="A533" s="476" t="s">
        <v>132</v>
      </c>
      <c r="B533" s="618" t="s">
        <v>3826</v>
      </c>
      <c r="C533" s="611" t="str">
        <f>HYPERLINK("https://en.uesp.net/wiki/Skyrim:Slow", "Slow")</f>
        <v>Slow</v>
      </c>
      <c r="D533" s="616"/>
      <c r="E533" s="616">
        <v>2.0</v>
      </c>
      <c r="F533" s="616">
        <v>2.14</v>
      </c>
      <c r="G533" s="613">
        <v>30.0</v>
      </c>
      <c r="H533" s="614"/>
    </row>
    <row r="534">
      <c r="A534" s="476" t="s">
        <v>132</v>
      </c>
      <c r="B534" s="618" t="s">
        <v>3826</v>
      </c>
      <c r="C534" s="611" t="str">
        <f>HYPERLINK("https://en.uesp.net/wiki/Skyrim:Fear", "Fear")</f>
        <v>Fear</v>
      </c>
      <c r="D534" s="616">
        <v>2.0</v>
      </c>
      <c r="E534" s="616"/>
      <c r="F534" s="616">
        <v>2.14</v>
      </c>
      <c r="G534" s="613">
        <v>30.0</v>
      </c>
      <c r="H534" s="614"/>
    </row>
    <row r="535">
      <c r="A535" s="476" t="s">
        <v>132</v>
      </c>
      <c r="B535" s="618" t="s">
        <v>3827</v>
      </c>
      <c r="C535" s="611" t="str">
        <f>HYPERLINK("https://en.uesp.net/wiki/Skyrim:Damage_Health", "Damage Health")</f>
        <v>Damage Health</v>
      </c>
      <c r="D535" s="616">
        <v>1.5</v>
      </c>
      <c r="E535" s="616"/>
      <c r="F535" s="616">
        <v>1.56</v>
      </c>
      <c r="G535" s="613">
        <v>30.0</v>
      </c>
      <c r="H535" s="614"/>
    </row>
    <row r="536">
      <c r="A536" s="476" t="s">
        <v>132</v>
      </c>
      <c r="B536" s="618" t="s">
        <v>3827</v>
      </c>
      <c r="C536" s="611" t="str">
        <f>HYPERLINK("https://en.uesp.net/wiki/Skyrim:Resist_Fire", "Resist Fire")</f>
        <v>Resist Fire</v>
      </c>
      <c r="D536" s="616">
        <v>1.33</v>
      </c>
      <c r="E536" s="616"/>
      <c r="F536" s="616">
        <v>1.36</v>
      </c>
      <c r="G536" s="613">
        <v>30.0</v>
      </c>
      <c r="H536" s="614"/>
    </row>
    <row r="537">
      <c r="A537" s="476" t="s">
        <v>132</v>
      </c>
      <c r="B537" s="618" t="s">
        <v>3827</v>
      </c>
      <c r="C537" s="619" t="s">
        <v>3809</v>
      </c>
      <c r="D537" s="612"/>
      <c r="E537" s="612"/>
      <c r="F537" s="612"/>
      <c r="G537" s="613">
        <v>30.0</v>
      </c>
      <c r="H537" s="614"/>
    </row>
    <row r="538">
      <c r="A538" s="476" t="s">
        <v>132</v>
      </c>
      <c r="B538" s="618" t="s">
        <v>3827</v>
      </c>
      <c r="C538" s="611" t="str">
        <f>HYPERLINK("https://en.uesp.net/wiki/Skyrim:Paralysis", "Paralysis")</f>
        <v>Paralysis</v>
      </c>
      <c r="D538" s="616"/>
      <c r="E538" s="616">
        <v>2.0</v>
      </c>
      <c r="F538" s="616">
        <v>2.14</v>
      </c>
      <c r="G538" s="613">
        <v>30.0</v>
      </c>
      <c r="H538" s="614"/>
    </row>
    <row r="539">
      <c r="A539" s="476" t="s">
        <v>132</v>
      </c>
      <c r="B539" s="618" t="s">
        <v>3828</v>
      </c>
      <c r="C539" s="611" t="str">
        <f>HYPERLINK("https://en.uesp.net/wiki/Skyrim:Restore_Health", "Restore Health")</f>
        <v>Restore Health</v>
      </c>
      <c r="D539" s="616">
        <v>1.2</v>
      </c>
      <c r="E539" s="616"/>
      <c r="F539" s="616">
        <v>1.22</v>
      </c>
      <c r="G539" s="613">
        <v>25.0</v>
      </c>
      <c r="H539" s="614"/>
    </row>
    <row r="540">
      <c r="A540" s="476" t="s">
        <v>132</v>
      </c>
      <c r="B540" s="618" t="s">
        <v>3828</v>
      </c>
      <c r="C540" s="611" t="str">
        <f>HYPERLINK("https://en.uesp.net/wiki/Skyrim:Resist_Frost", "Resist Frost")</f>
        <v>Resist Frost</v>
      </c>
      <c r="D540" s="616">
        <v>1.33</v>
      </c>
      <c r="E540" s="616"/>
      <c r="F540" s="616">
        <v>1.36</v>
      </c>
      <c r="G540" s="613">
        <v>25.0</v>
      </c>
      <c r="H540" s="614"/>
    </row>
    <row r="541">
      <c r="A541" s="476" t="s">
        <v>132</v>
      </c>
      <c r="B541" s="618" t="s">
        <v>3828</v>
      </c>
      <c r="C541" s="611" t="str">
        <f>HYPERLINK("https://en.uesp.net/wiki/Skyrim:Weakness_to_Fire", "Weakness to Fire")</f>
        <v>Weakness to Fire</v>
      </c>
      <c r="D541" s="616">
        <v>1.33</v>
      </c>
      <c r="E541" s="616"/>
      <c r="F541" s="616">
        <v>1.36</v>
      </c>
      <c r="G541" s="613">
        <v>25.0</v>
      </c>
      <c r="H541" s="614"/>
    </row>
    <row r="542">
      <c r="A542" s="476" t="s">
        <v>132</v>
      </c>
      <c r="B542" s="618" t="s">
        <v>3828</v>
      </c>
      <c r="C542" s="611" t="str">
        <f>HYPERLINK("https://en.uesp.net/wiki/Skyrim:Invisibility", "Invisibility")</f>
        <v>Invisibility</v>
      </c>
      <c r="D542" s="616"/>
      <c r="E542" s="616">
        <v>1.5</v>
      </c>
      <c r="F542" s="616">
        <v>1.56</v>
      </c>
      <c r="G542" s="613">
        <v>25.0</v>
      </c>
      <c r="H542" s="614"/>
    </row>
    <row r="543">
      <c r="A543" s="476" t="s">
        <v>132</v>
      </c>
      <c r="B543" s="618" t="s">
        <v>3829</v>
      </c>
      <c r="C543" s="611" t="str">
        <f>HYPERLINK("https://en.uesp.net/wiki/Skyrim:Restore_Magicka", "Restore Magicka")</f>
        <v>Restore Magicka</v>
      </c>
      <c r="D543" s="616">
        <v>1.2</v>
      </c>
      <c r="E543" s="616"/>
      <c r="F543" s="616">
        <v>1.22</v>
      </c>
      <c r="G543" s="613">
        <v>30.0</v>
      </c>
      <c r="H543" s="614"/>
    </row>
    <row r="544">
      <c r="A544" s="476" t="s">
        <v>132</v>
      </c>
      <c r="B544" s="618" t="s">
        <v>3829</v>
      </c>
      <c r="C544" s="611" t="str">
        <f>HYPERLINK("https://en.uesp.net/wiki/Skyrim:Fortify_Health", "Fortify Health")</f>
        <v>Fortify Health</v>
      </c>
      <c r="D544" s="616">
        <v>1.25</v>
      </c>
      <c r="E544" s="616">
        <v>5.0</v>
      </c>
      <c r="F544" s="616">
        <v>7.5</v>
      </c>
      <c r="G544" s="613">
        <v>30.0</v>
      </c>
      <c r="H544" s="614"/>
    </row>
    <row r="545">
      <c r="A545" s="476" t="s">
        <v>132</v>
      </c>
      <c r="B545" s="618" t="s">
        <v>3829</v>
      </c>
      <c r="C545" s="611" t="str">
        <f>HYPERLINK("https://en.uesp.net/wiki/Skyrim:Fortify_Stamina", "Fortify Stamina")</f>
        <v>Fortify Stamina</v>
      </c>
      <c r="D545" s="616">
        <v>1.25</v>
      </c>
      <c r="E545" s="616">
        <v>5.0</v>
      </c>
      <c r="F545" s="616">
        <v>7.5</v>
      </c>
      <c r="G545" s="613">
        <v>30.0</v>
      </c>
      <c r="H545" s="614"/>
    </row>
    <row r="546">
      <c r="A546" s="476" t="s">
        <v>132</v>
      </c>
      <c r="B546" s="618" t="s">
        <v>3829</v>
      </c>
      <c r="C546" s="611" t="str">
        <f>HYPERLINK("https://en.uesp.net/wiki/Skyrim:Waterbreathing", "Waterbreathing")</f>
        <v>Waterbreathing</v>
      </c>
      <c r="D546" s="616"/>
      <c r="E546" s="616">
        <v>1.6</v>
      </c>
      <c r="F546" s="616">
        <v>1.67</v>
      </c>
      <c r="G546" s="613">
        <v>30.0</v>
      </c>
      <c r="H546" s="614"/>
    </row>
    <row r="547">
      <c r="A547" s="476" t="s">
        <v>132</v>
      </c>
      <c r="B547" s="618" t="s">
        <v>3830</v>
      </c>
      <c r="C547" s="611" t="str">
        <f>HYPERLINK("https://en.uesp.net/wiki/Skyrim:Restore_Magicka", "Restore Magicka")</f>
        <v>Restore Magicka</v>
      </c>
      <c r="D547" s="612"/>
      <c r="E547" s="612"/>
      <c r="F547" s="612"/>
      <c r="G547" s="613">
        <v>1.0</v>
      </c>
      <c r="H547" s="614"/>
    </row>
    <row r="548">
      <c r="A548" s="476" t="s">
        <v>132</v>
      </c>
      <c r="B548" s="618" t="s">
        <v>3830</v>
      </c>
      <c r="C548" s="611" t="str">
        <f>HYPERLINK("https://en.uesp.net/wiki/Skyrim:Invisibility", "Invisibility")</f>
        <v>Invisibility</v>
      </c>
      <c r="D548" s="612"/>
      <c r="E548" s="612"/>
      <c r="F548" s="612"/>
      <c r="G548" s="613">
        <v>1.0</v>
      </c>
      <c r="H548" s="614"/>
    </row>
    <row r="549">
      <c r="A549" s="476" t="s">
        <v>132</v>
      </c>
      <c r="B549" s="618" t="s">
        <v>3830</v>
      </c>
      <c r="C549" s="611" t="str">
        <f>HYPERLINK("https://en.uesp.net/wiki/Skyrim:Fortify_Illusion", "Fortify Illusion")</f>
        <v>Fortify Illusion</v>
      </c>
      <c r="D549" s="616">
        <v>0.25</v>
      </c>
      <c r="E549" s="616"/>
      <c r="F549" s="616">
        <v>0.21</v>
      </c>
      <c r="G549" s="613">
        <v>1.0</v>
      </c>
      <c r="H549" s="614"/>
    </row>
    <row r="550">
      <c r="A550" s="476" t="s">
        <v>132</v>
      </c>
      <c r="B550" s="618" t="s">
        <v>3830</v>
      </c>
      <c r="C550" s="619" t="s">
        <v>3831</v>
      </c>
      <c r="D550" s="612"/>
      <c r="E550" s="612"/>
      <c r="F550" s="612"/>
      <c r="G550" s="613">
        <v>1.0</v>
      </c>
      <c r="H550" s="614"/>
    </row>
    <row r="551">
      <c r="A551" s="476" t="s">
        <v>132</v>
      </c>
      <c r="B551" s="618" t="s">
        <v>3832</v>
      </c>
      <c r="C551" s="611" t="str">
        <f>HYPERLINK("https://en.uesp.net/wiki/Skyrim:Damage_Health", "Damage Health")</f>
        <v>Damage Health</v>
      </c>
      <c r="D551" s="616">
        <v>1.5</v>
      </c>
      <c r="E551" s="616"/>
      <c r="F551" s="616">
        <v>1.56</v>
      </c>
      <c r="G551" s="613">
        <v>15.0</v>
      </c>
      <c r="H551" s="613"/>
    </row>
    <row r="552">
      <c r="A552" s="476" t="s">
        <v>132</v>
      </c>
      <c r="B552" s="618" t="s">
        <v>3832</v>
      </c>
      <c r="C552" s="611" t="str">
        <f>HYPERLINK("https://en.uesp.net/wiki/Skyrim:Regenerate_Health", "Regenerate Health")</f>
        <v>Regenerate Health</v>
      </c>
      <c r="D552" s="616">
        <v>1.2</v>
      </c>
      <c r="E552" s="616"/>
      <c r="F552" s="616">
        <v>1.22</v>
      </c>
      <c r="G552" s="613">
        <v>15.0</v>
      </c>
      <c r="H552" s="613"/>
    </row>
    <row r="553">
      <c r="A553" s="476" t="s">
        <v>132</v>
      </c>
      <c r="B553" s="618" t="s">
        <v>3832</v>
      </c>
      <c r="C553" s="611" t="str">
        <f>HYPERLINK("https://en.uesp.net/wiki/Skyrim:Fortify_Heavy_Armor", "Fortify Heavy Armor")</f>
        <v>Fortify Heavy Armor</v>
      </c>
      <c r="D553" s="616">
        <v>1.5</v>
      </c>
      <c r="E553" s="616"/>
      <c r="F553" s="616">
        <v>1.56</v>
      </c>
      <c r="G553" s="613">
        <v>15.0</v>
      </c>
      <c r="H553" s="613"/>
    </row>
    <row r="554">
      <c r="A554" s="476" t="s">
        <v>132</v>
      </c>
      <c r="B554" s="618" t="s">
        <v>3832</v>
      </c>
      <c r="C554" s="611" t="str">
        <f>HYPERLINK("https://en.uesp.net/wiki/Skyrim:Resist_Fire", "Resist Fire")</f>
        <v>Resist Fire</v>
      </c>
      <c r="D554" s="616">
        <v>1.33</v>
      </c>
      <c r="E554" s="616"/>
      <c r="F554" s="616">
        <v>1.36</v>
      </c>
      <c r="G554" s="613">
        <v>15.0</v>
      </c>
      <c r="H554" s="613"/>
    </row>
    <row r="555">
      <c r="A555" s="476" t="s">
        <v>132</v>
      </c>
      <c r="B555" s="618" t="s">
        <v>3833</v>
      </c>
      <c r="C555" s="611" t="str">
        <f>HYPERLINK("https://en.uesp.net/wiki/Skyrim:Restore_Stamina", "Restore Stamina")</f>
        <v>Restore Stamina</v>
      </c>
      <c r="D555" s="612"/>
      <c r="E555" s="612"/>
      <c r="F555" s="612"/>
      <c r="G555" s="613">
        <v>10.0</v>
      </c>
      <c r="H555" s="613"/>
    </row>
    <row r="556">
      <c r="A556" s="476" t="s">
        <v>132</v>
      </c>
      <c r="B556" s="618" t="s">
        <v>3833</v>
      </c>
      <c r="C556" s="611" t="str">
        <f>HYPERLINK("https://en.uesp.net/wiki/Skyrim:Fortify_Heavy_Armor", "Fortify Heavy Armor")</f>
        <v>Fortify Heavy Armor</v>
      </c>
      <c r="D556" s="612"/>
      <c r="E556" s="612"/>
      <c r="F556" s="612"/>
      <c r="G556" s="613">
        <v>10.0</v>
      </c>
      <c r="H556" s="613"/>
    </row>
    <row r="557">
      <c r="A557" s="476" t="s">
        <v>132</v>
      </c>
      <c r="B557" s="618" t="s">
        <v>3833</v>
      </c>
      <c r="C557" s="611" t="str">
        <f>HYPERLINK("https://en.uesp.net/wiki/Skyrim:Waterbreathing", "Waterbreathing")</f>
        <v>Waterbreathing</v>
      </c>
      <c r="D557" s="612"/>
      <c r="E557" s="612"/>
      <c r="F557" s="612"/>
      <c r="G557" s="613">
        <v>10.0</v>
      </c>
      <c r="H557" s="613"/>
    </row>
    <row r="558">
      <c r="A558" s="476" t="s">
        <v>132</v>
      </c>
      <c r="B558" s="618" t="s">
        <v>3833</v>
      </c>
      <c r="C558" s="611" t="str">
        <f>HYPERLINK("https://en.uesp.net/wiki/Skyrim:Resist_Frost", "Resist Frost")</f>
        <v>Resist Frost</v>
      </c>
      <c r="D558" s="612"/>
      <c r="E558" s="612"/>
      <c r="F558" s="612"/>
      <c r="G558" s="613">
        <v>10.0</v>
      </c>
      <c r="H558" s="613"/>
    </row>
    <row r="559">
      <c r="A559" s="476" t="s">
        <v>132</v>
      </c>
      <c r="B559" s="618" t="s">
        <v>3834</v>
      </c>
      <c r="C559" s="611" t="str">
        <f>HYPERLINK("https://en.uesp.net/wiki/Skyrim:Paralysis", "Paralysis")</f>
        <v>Paralysis</v>
      </c>
      <c r="D559" s="616"/>
      <c r="E559" s="616">
        <v>2.0</v>
      </c>
      <c r="F559" s="616">
        <v>2.14</v>
      </c>
      <c r="G559" s="613">
        <v>30.0</v>
      </c>
      <c r="H559" s="613"/>
    </row>
    <row r="560">
      <c r="A560" s="476" t="s">
        <v>132</v>
      </c>
      <c r="B560" s="618" t="s">
        <v>3834</v>
      </c>
      <c r="C560" s="611" t="str">
        <f>HYPERLINK("https://en.uesp.net/wiki/Skyrim:Ravage_Health", "Ravage Health")</f>
        <v>Ravage Health</v>
      </c>
      <c r="D560" s="616">
        <v>1.5</v>
      </c>
      <c r="E560" s="616"/>
      <c r="F560" s="616">
        <v>3.34</v>
      </c>
      <c r="G560" s="613">
        <v>30.0</v>
      </c>
      <c r="H560" s="613"/>
    </row>
    <row r="561">
      <c r="A561" s="476" t="s">
        <v>132</v>
      </c>
      <c r="B561" s="618" t="s">
        <v>3834</v>
      </c>
      <c r="C561" s="611" t="str">
        <f>HYPERLINK("https://en.uesp.net/wiki/Skyrim:Weakness_to_Frost", "Weakness to Frost")</f>
        <v>Weakness to Frost</v>
      </c>
      <c r="D561" s="616">
        <v>1.33</v>
      </c>
      <c r="E561" s="616"/>
      <c r="F561" s="616">
        <v>1.36</v>
      </c>
      <c r="G561" s="613">
        <v>30.0</v>
      </c>
      <c r="H561" s="613"/>
    </row>
    <row r="562">
      <c r="A562" s="476" t="s">
        <v>132</v>
      </c>
      <c r="B562" s="618" t="s">
        <v>3834</v>
      </c>
      <c r="C562" s="611" t="str">
        <f>HYPERLINK("https://en.uesp.net/wiki/Skyrim:Fortify_Smithing", "Fortify Smithing")</f>
        <v>Fortify Smithing</v>
      </c>
      <c r="D562" s="616">
        <v>1.25</v>
      </c>
      <c r="E562" s="616"/>
      <c r="F562" s="616">
        <v>1.27</v>
      </c>
      <c r="G562" s="613">
        <v>30.0</v>
      </c>
      <c r="H562" s="613"/>
    </row>
    <row r="563">
      <c r="A563" s="476" t="s">
        <v>132</v>
      </c>
      <c r="B563" s="618" t="s">
        <v>3835</v>
      </c>
      <c r="C563" s="611" t="str">
        <f>HYPERLINK("https://en.uesp.net/wiki/Skyrim:Restore_Magicka", "Restore Magicka")</f>
        <v>Restore Magicka</v>
      </c>
      <c r="D563" s="612"/>
      <c r="E563" s="612"/>
      <c r="F563" s="612"/>
      <c r="G563" s="613">
        <v>25.0</v>
      </c>
      <c r="H563" s="613"/>
    </row>
    <row r="564">
      <c r="A564" s="476" t="s">
        <v>132</v>
      </c>
      <c r="B564" s="618" t="s">
        <v>3835</v>
      </c>
      <c r="C564" s="611" t="str">
        <f>HYPERLINK("https://en.uesp.net/wiki/Skyrim:Fear", "Fear")</f>
        <v>Fear</v>
      </c>
      <c r="D564" s="612"/>
      <c r="E564" s="612"/>
      <c r="F564" s="612"/>
      <c r="G564" s="613">
        <v>25.0</v>
      </c>
      <c r="H564" s="613"/>
    </row>
    <row r="565">
      <c r="A565" s="476" t="s">
        <v>132</v>
      </c>
      <c r="B565" s="618" t="s">
        <v>3835</v>
      </c>
      <c r="C565" s="611" t="str">
        <f>HYPERLINK("https://en.uesp.net/wiki/Skyrim:Slow", "Slow")</f>
        <v>Slow</v>
      </c>
      <c r="D565" s="616"/>
      <c r="E565" s="616">
        <v>6.0</v>
      </c>
      <c r="F565" s="616">
        <v>0.57</v>
      </c>
      <c r="G565" s="613">
        <v>25.0</v>
      </c>
      <c r="H565" s="613"/>
    </row>
    <row r="566">
      <c r="A566" s="476" t="s">
        <v>132</v>
      </c>
      <c r="B566" s="618" t="s">
        <v>3835</v>
      </c>
      <c r="C566" s="611" t="str">
        <f>HYPERLINK("https://en.uesp.net/wiki/Skyrim:Invisibility", "Invisibility")</f>
        <v>Invisibility</v>
      </c>
      <c r="D566" s="612"/>
      <c r="E566" s="612"/>
      <c r="F566" s="612"/>
      <c r="G566" s="613">
        <v>25.0</v>
      </c>
      <c r="H566" s="613"/>
    </row>
    <row r="567">
      <c r="A567" s="476" t="s">
        <v>132</v>
      </c>
      <c r="B567" s="618" t="s">
        <v>3836</v>
      </c>
      <c r="C567" s="611" t="str">
        <f>HYPERLINK("https://en.uesp.net/wiki/Skyrim:Restore_Stamina", "Restore Stamina")</f>
        <v>Restore Stamina</v>
      </c>
      <c r="D567" s="616">
        <v>1.2</v>
      </c>
      <c r="E567" s="616"/>
      <c r="F567" s="616">
        <v>1.22</v>
      </c>
      <c r="G567" s="613">
        <v>30.0</v>
      </c>
      <c r="H567" s="613"/>
    </row>
    <row r="568">
      <c r="A568" s="476" t="s">
        <v>132</v>
      </c>
      <c r="B568" s="618" t="s">
        <v>3836</v>
      </c>
      <c r="C568" s="611" t="str">
        <f>HYPERLINK("https://en.uesp.net/wiki/Skyrim:Paralysis", "Paralysis")</f>
        <v>Paralysis</v>
      </c>
      <c r="D568" s="616"/>
      <c r="E568" s="616">
        <v>2.0</v>
      </c>
      <c r="F568" s="616">
        <v>2.14</v>
      </c>
      <c r="G568" s="613">
        <v>30.0</v>
      </c>
      <c r="H568" s="613"/>
    </row>
    <row r="569">
      <c r="A569" s="476" t="s">
        <v>132</v>
      </c>
      <c r="B569" s="618" t="s">
        <v>3836</v>
      </c>
      <c r="C569" s="611" t="str">
        <f>HYPERLINK("https://en.uesp.net/wiki/Skyrim:Waterbreathing", "Waterbreathing")</f>
        <v>Waterbreathing</v>
      </c>
      <c r="D569" s="616"/>
      <c r="E569" s="616">
        <v>1.6</v>
      </c>
      <c r="F569" s="616">
        <v>1.67</v>
      </c>
      <c r="G569" s="613">
        <v>30.0</v>
      </c>
      <c r="H569" s="613"/>
    </row>
    <row r="570">
      <c r="A570" s="476" t="s">
        <v>132</v>
      </c>
      <c r="B570" s="618" t="s">
        <v>3836</v>
      </c>
      <c r="C570" s="611" t="str">
        <f>HYPERLINK("https://en.uesp.net/wiki/Skyrim:Fortify_Restoration", "Fortify Restoration")</f>
        <v>Fortify Restoration</v>
      </c>
      <c r="D570" s="616">
        <v>1.25</v>
      </c>
      <c r="E570" s="616"/>
      <c r="F570" s="616">
        <v>1.27</v>
      </c>
      <c r="G570" s="613">
        <v>30.0</v>
      </c>
      <c r="H570" s="613"/>
    </row>
    <row r="571">
      <c r="A571" s="476" t="s">
        <v>132</v>
      </c>
      <c r="B571" s="618" t="s">
        <v>3837</v>
      </c>
      <c r="C571" s="611" t="str">
        <f>HYPERLINK("https://en.uesp.net/wiki/Skyrim:Damage_Health", "Damage Health")</f>
        <v>Damage Health</v>
      </c>
      <c r="D571" s="616">
        <v>2.0</v>
      </c>
      <c r="E571" s="616"/>
      <c r="F571" s="616">
        <v>2.14</v>
      </c>
      <c r="G571" s="613">
        <v>25.0</v>
      </c>
      <c r="H571" s="614"/>
    </row>
    <row r="572">
      <c r="A572" s="476" t="s">
        <v>132</v>
      </c>
      <c r="B572" s="618" t="s">
        <v>3837</v>
      </c>
      <c r="C572" s="611" t="str">
        <f>HYPERLINK("https://en.uesp.net/wiki/Skyrim:Damage_Magicka", "Damage Magicka")</f>
        <v>Damage Magicka</v>
      </c>
      <c r="D572" s="616">
        <v>1.33</v>
      </c>
      <c r="E572" s="616"/>
      <c r="F572" s="616">
        <v>1.36</v>
      </c>
      <c r="G572" s="613">
        <v>25.0</v>
      </c>
      <c r="H572" s="614"/>
    </row>
    <row r="573">
      <c r="A573" s="476" t="s">
        <v>132</v>
      </c>
      <c r="B573" s="618" t="s">
        <v>3837</v>
      </c>
      <c r="C573" s="611" t="str">
        <f>HYPERLINK("https://en.uesp.net/wiki/Skyrim:Paralysis", "Paralysis")</f>
        <v>Paralysis</v>
      </c>
      <c r="D573" s="612"/>
      <c r="E573" s="612"/>
      <c r="F573" s="612"/>
      <c r="G573" s="613">
        <v>25.0</v>
      </c>
      <c r="H573" s="614"/>
    </row>
    <row r="574">
      <c r="A574" s="476" t="s">
        <v>132</v>
      </c>
      <c r="B574" s="618" t="s">
        <v>3837</v>
      </c>
      <c r="C574" s="611" t="str">
        <f>HYPERLINK("https://en.uesp.net/wiki/Skyrim:Damage_Magicka_Regen", "Damage Magicka Regen")</f>
        <v>Damage Magicka Regen</v>
      </c>
      <c r="D574" s="612"/>
      <c r="E574" s="612"/>
      <c r="F574" s="612"/>
      <c r="G574" s="613">
        <v>25.0</v>
      </c>
      <c r="H574" s="614"/>
    </row>
    <row r="575">
      <c r="A575" s="476" t="s">
        <v>132</v>
      </c>
      <c r="B575" s="618" t="s">
        <v>3838</v>
      </c>
      <c r="C575" s="611" t="str">
        <f>HYPERLINK("https://en.uesp.net/wiki/Skyrim:Restore_Health", "Restore Health")</f>
        <v>Restore Health</v>
      </c>
      <c r="D575" s="616">
        <v>1.2</v>
      </c>
      <c r="E575" s="616"/>
      <c r="F575" s="616">
        <v>1.22</v>
      </c>
      <c r="G575" s="613">
        <v>40.0</v>
      </c>
      <c r="H575" s="614"/>
    </row>
    <row r="576">
      <c r="A576" s="476" t="s">
        <v>132</v>
      </c>
      <c r="B576" s="618" t="s">
        <v>3838</v>
      </c>
      <c r="C576" s="611" t="str">
        <f>HYPERLINK("https://en.uesp.net/wiki/Skyrim:Fortify_Health", "Fortify Health")</f>
        <v>Fortify Health</v>
      </c>
      <c r="D576" s="616">
        <v>1.25</v>
      </c>
      <c r="E576" s="616">
        <v>5.0</v>
      </c>
      <c r="F576" s="616">
        <v>7.5</v>
      </c>
      <c r="G576" s="613">
        <v>40.0</v>
      </c>
      <c r="H576" s="614"/>
    </row>
    <row r="577">
      <c r="A577" s="476" t="s">
        <v>132</v>
      </c>
      <c r="B577" s="618" t="s">
        <v>3838</v>
      </c>
      <c r="C577" s="611" t="str">
        <f>HYPERLINK("https://en.uesp.net/wiki/Skyrim:Fortify_One-handed", "Fortify One-handed")</f>
        <v>Fortify One-handed</v>
      </c>
      <c r="D577" s="616">
        <v>1.25</v>
      </c>
      <c r="E577" s="616"/>
      <c r="F577" s="616">
        <v>1.27</v>
      </c>
      <c r="G577" s="613">
        <v>40.0</v>
      </c>
      <c r="H577" s="614"/>
    </row>
    <row r="578">
      <c r="A578" s="476" t="s">
        <v>132</v>
      </c>
      <c r="B578" s="618" t="s">
        <v>3838</v>
      </c>
      <c r="C578" s="611" t="str">
        <f>HYPERLINK("https://en.uesp.net/wiki/Skyrim:Fortify_Two-handed", "Fortify Two-handed")</f>
        <v>Fortify Two-handed</v>
      </c>
      <c r="D578" s="616">
        <v>1.25</v>
      </c>
      <c r="E578" s="616"/>
      <c r="F578" s="616">
        <v>1.27</v>
      </c>
      <c r="G578" s="613">
        <v>40.0</v>
      </c>
      <c r="H578" s="614"/>
    </row>
    <row r="579">
      <c r="A579" s="476" t="s">
        <v>132</v>
      </c>
      <c r="B579" s="618" t="s">
        <v>3839</v>
      </c>
      <c r="C579" s="611" t="str">
        <f>HYPERLINK("https://en.uesp.net/wiki/Skyrim:Weakness_to_Fire", "Weakness to Fire")</f>
        <v>Weakness to Fire</v>
      </c>
      <c r="D579" s="616">
        <v>1.33</v>
      </c>
      <c r="E579" s="616">
        <v>2.0</v>
      </c>
      <c r="F579" s="616">
        <v>2.93</v>
      </c>
      <c r="G579" s="613">
        <v>10.0</v>
      </c>
      <c r="H579" s="614"/>
    </row>
    <row r="580">
      <c r="A580" s="476" t="s">
        <v>132</v>
      </c>
      <c r="B580" s="618" t="s">
        <v>3839</v>
      </c>
      <c r="C580" s="611" t="str">
        <f>HYPERLINK("https://en.uesp.net/wiki/Skyrim:Cure_Disease", "Cure Disease")</f>
        <v>Cure Disease</v>
      </c>
      <c r="D580" s="612"/>
      <c r="E580" s="612"/>
      <c r="F580" s="616">
        <v>0.36</v>
      </c>
      <c r="G580" s="613">
        <v>10.0</v>
      </c>
      <c r="H580" s="614"/>
    </row>
    <row r="581">
      <c r="A581" s="476" t="s">
        <v>132</v>
      </c>
      <c r="B581" s="618" t="s">
        <v>3839</v>
      </c>
      <c r="C581" s="619" t="s">
        <v>3803</v>
      </c>
      <c r="D581" s="612"/>
      <c r="E581" s="612"/>
      <c r="F581" s="612"/>
      <c r="G581" s="613">
        <v>10.0</v>
      </c>
      <c r="H581" s="614"/>
    </row>
    <row r="582">
      <c r="A582" s="476" t="s">
        <v>132</v>
      </c>
      <c r="B582" s="618" t="s">
        <v>3839</v>
      </c>
      <c r="C582" s="611" t="str">
        <f>HYPERLINK("https://en.uesp.net/wiki/Skyrim:Fortify_Magicka", "Fortify Magicka")</f>
        <v>Fortify Magicka</v>
      </c>
      <c r="D582" s="616">
        <v>1.25</v>
      </c>
      <c r="E582" s="616"/>
      <c r="F582" s="616">
        <v>1.27</v>
      </c>
      <c r="G582" s="613">
        <v>10.0</v>
      </c>
      <c r="H582" s="614"/>
    </row>
    <row r="583">
      <c r="A583" s="476" t="s">
        <v>132</v>
      </c>
      <c r="B583" s="618" t="s">
        <v>3840</v>
      </c>
      <c r="C583" s="611" t="str">
        <f>HYPERLINK("https://en.uesp.net/wiki/Skyrim:Resist_Frost", "Resist Frost")</f>
        <v>Resist Frost</v>
      </c>
      <c r="D583" s="616">
        <v>1.33</v>
      </c>
      <c r="E583" s="616"/>
      <c r="F583" s="616">
        <v>1.36</v>
      </c>
      <c r="G583" s="613">
        <v>30.0</v>
      </c>
      <c r="H583" s="614"/>
    </row>
    <row r="584">
      <c r="A584" s="476" t="s">
        <v>132</v>
      </c>
      <c r="B584" s="618" t="s">
        <v>3840</v>
      </c>
      <c r="C584" s="611" t="str">
        <f>HYPERLINK("https://en.uesp.net/wiki/Skyrim:Fortify_Health", "Fortify Health")</f>
        <v>Fortify Health</v>
      </c>
      <c r="D584" s="616">
        <v>1.25</v>
      </c>
      <c r="E584" s="616">
        <v>5.0</v>
      </c>
      <c r="F584" s="616">
        <v>7.5</v>
      </c>
      <c r="G584" s="613">
        <v>30.0</v>
      </c>
      <c r="H584" s="614"/>
    </row>
    <row r="585">
      <c r="A585" s="476" t="s">
        <v>132</v>
      </c>
      <c r="B585" s="618" t="s">
        <v>3840</v>
      </c>
      <c r="C585" s="611" t="str">
        <f>HYPERLINK("https://en.uesp.net/wiki/Skyrim:Regenerate_Health", "Regenerate Health")</f>
        <v>Regenerate Health</v>
      </c>
      <c r="D585" s="616">
        <v>1.2</v>
      </c>
      <c r="E585" s="616"/>
      <c r="F585" s="616">
        <v>1.22</v>
      </c>
      <c r="G585" s="613">
        <v>30.0</v>
      </c>
      <c r="H585" s="614"/>
    </row>
    <row r="586">
      <c r="A586" s="476" t="s">
        <v>132</v>
      </c>
      <c r="B586" s="618" t="s">
        <v>3840</v>
      </c>
      <c r="C586" s="619" t="s">
        <v>3801</v>
      </c>
      <c r="D586" s="612"/>
      <c r="E586" s="612"/>
      <c r="F586" s="612"/>
      <c r="G586" s="613">
        <v>30.0</v>
      </c>
      <c r="H586" s="614"/>
    </row>
    <row r="587">
      <c r="A587" s="476" t="s">
        <v>132</v>
      </c>
      <c r="B587" s="618" t="s">
        <v>3841</v>
      </c>
      <c r="C587" s="611" t="str">
        <f>HYPERLINK("https://en.uesp.net/wiki/Skyrim:Weakness_to_Poison", "Weakness to Poison")</f>
        <v>Weakness to Poison</v>
      </c>
      <c r="D587" s="616">
        <v>1.5</v>
      </c>
      <c r="E587" s="616"/>
      <c r="F587" s="616">
        <v>1.56</v>
      </c>
      <c r="G587" s="613">
        <v>23.0</v>
      </c>
      <c r="H587" s="614"/>
    </row>
    <row r="588">
      <c r="A588" s="476" t="s">
        <v>132</v>
      </c>
      <c r="B588" s="618" t="s">
        <v>3841</v>
      </c>
      <c r="C588" s="611" t="str">
        <f>HYPERLINK("https://en.uesp.net/wiki/Skyrim:Frenzy", "Frenzy")</f>
        <v>Frenzy</v>
      </c>
      <c r="D588" s="616"/>
      <c r="E588" s="616">
        <v>2.0</v>
      </c>
      <c r="F588" s="616">
        <v>2.14</v>
      </c>
      <c r="G588" s="613">
        <v>23.0</v>
      </c>
      <c r="H588" s="614"/>
    </row>
    <row r="589">
      <c r="A589" s="476" t="s">
        <v>132</v>
      </c>
      <c r="B589" s="618" t="s">
        <v>3841</v>
      </c>
      <c r="C589" s="611" t="str">
        <f>HYPERLINK("https://en.uesp.net/wiki/Skyrim:Ravage_Stamina", "Ravage Stamina")</f>
        <v>Ravage Stamina</v>
      </c>
      <c r="D589" s="616">
        <v>1.5</v>
      </c>
      <c r="E589" s="616"/>
      <c r="F589" s="616">
        <v>3.34</v>
      </c>
      <c r="G589" s="613">
        <v>23.0</v>
      </c>
      <c r="H589" s="614"/>
    </row>
    <row r="590">
      <c r="A590" s="476" t="s">
        <v>132</v>
      </c>
      <c r="B590" s="618" t="s">
        <v>3841</v>
      </c>
      <c r="C590" s="611" t="str">
        <f>HYPERLINK("https://en.uesp.net/wiki/Skyrim:Resist_Magic", "Resist Magic")</f>
        <v>Resist Magic</v>
      </c>
      <c r="D590" s="616">
        <v>2.0</v>
      </c>
      <c r="E590" s="616"/>
      <c r="F590" s="616">
        <v>2.14</v>
      </c>
      <c r="G590" s="613">
        <v>23.0</v>
      </c>
      <c r="H590" s="614"/>
    </row>
    <row r="591">
      <c r="A591" s="476" t="s">
        <v>132</v>
      </c>
      <c r="B591" s="618" t="s">
        <v>3842</v>
      </c>
      <c r="C591" s="611" t="str">
        <f>HYPERLINK("https://en.uesp.net/wiki/Skyrim:Damage_Health", "Damage Health")</f>
        <v>Damage Health</v>
      </c>
      <c r="D591" s="616">
        <v>1.5</v>
      </c>
      <c r="E591" s="616"/>
      <c r="F591" s="616">
        <v>1.56</v>
      </c>
      <c r="G591" s="613">
        <v>15.0</v>
      </c>
      <c r="H591" s="614"/>
    </row>
    <row r="592">
      <c r="A592" s="476" t="s">
        <v>132</v>
      </c>
      <c r="B592" s="618" t="s">
        <v>3842</v>
      </c>
      <c r="C592" s="611" t="str">
        <f>HYPERLINK("https://en.uesp.net/wiki/Skyrim:Weakness_to_Fire", "Weakness to Fire")</f>
        <v>Weakness to Fire</v>
      </c>
      <c r="D592" s="616">
        <v>1.33</v>
      </c>
      <c r="E592" s="616"/>
      <c r="F592" s="616">
        <v>1.36</v>
      </c>
      <c r="G592" s="613">
        <v>15.0</v>
      </c>
      <c r="H592" s="614"/>
    </row>
    <row r="593">
      <c r="A593" s="476" t="s">
        <v>132</v>
      </c>
      <c r="B593" s="618" t="s">
        <v>3842</v>
      </c>
      <c r="C593" s="611" t="str">
        <f>HYPERLINK("https://en.uesp.net/wiki/Skyrim:Fortify_Barter", "Fortify Barter")</f>
        <v>Fortify Barter</v>
      </c>
      <c r="D593" s="616">
        <v>2.0</v>
      </c>
      <c r="E593" s="616"/>
      <c r="F593" s="616">
        <v>2.14</v>
      </c>
      <c r="G593" s="613">
        <v>15.0</v>
      </c>
      <c r="H593" s="614"/>
    </row>
    <row r="594">
      <c r="A594" s="476" t="s">
        <v>132</v>
      </c>
      <c r="B594" s="618" t="s">
        <v>3842</v>
      </c>
      <c r="C594" s="619" t="s">
        <v>3803</v>
      </c>
      <c r="D594" s="612"/>
      <c r="E594" s="612"/>
      <c r="F594" s="612"/>
      <c r="G594" s="613">
        <v>15.0</v>
      </c>
      <c r="H594" s="614"/>
    </row>
    <row r="595">
      <c r="A595" s="476" t="s">
        <v>132</v>
      </c>
      <c r="B595" s="618" t="s">
        <v>3843</v>
      </c>
      <c r="C595" s="611" t="str">
        <f>HYPERLINK("https://en.uesp.net/wiki/Skyrim:Restore_Health", "Restore Health")</f>
        <v>Restore Health</v>
      </c>
      <c r="D595" s="616"/>
      <c r="E595" s="616"/>
      <c r="F595" s="616"/>
      <c r="G595" s="613">
        <v>5.0</v>
      </c>
      <c r="H595" s="613"/>
    </row>
    <row r="596">
      <c r="A596" s="476" t="s">
        <v>132</v>
      </c>
      <c r="B596" s="618" t="s">
        <v>3843</v>
      </c>
      <c r="C596" s="611" t="str">
        <f>HYPERLINK("https://en.uesp.net/wiki/Skyrim:Resist_Fire", "Resist Fire")</f>
        <v>Resist Fire</v>
      </c>
      <c r="D596" s="616"/>
      <c r="E596" s="616"/>
      <c r="F596" s="616"/>
      <c r="G596" s="613">
        <v>5.0</v>
      </c>
      <c r="H596" s="613"/>
    </row>
    <row r="597">
      <c r="A597" s="476" t="s">
        <v>132</v>
      </c>
      <c r="B597" s="618" t="s">
        <v>3843</v>
      </c>
      <c r="C597" s="611" t="str">
        <f>HYPERLINK("https://en.uesp.net/wiki/Skyrim:Damage_Stamina", "Damage Stamina")</f>
        <v>Damage Stamina</v>
      </c>
      <c r="D597" s="616"/>
      <c r="E597" s="616"/>
      <c r="F597" s="616"/>
      <c r="G597" s="613">
        <v>5.0</v>
      </c>
      <c r="H597" s="613"/>
    </row>
    <row r="598">
      <c r="A598" s="476" t="s">
        <v>132</v>
      </c>
      <c r="B598" s="618" t="s">
        <v>3843</v>
      </c>
      <c r="C598" s="611" t="str">
        <f>HYPERLINK("https://en.uesp.net/wiki/Skyrim:Restore_Magicka", "Restore Magicka")</f>
        <v>Restore Magicka</v>
      </c>
      <c r="D598" s="616"/>
      <c r="E598" s="616"/>
      <c r="F598" s="616"/>
      <c r="G598" s="613">
        <v>5.0</v>
      </c>
      <c r="H598" s="613"/>
    </row>
    <row r="599">
      <c r="A599" s="476" t="s">
        <v>132</v>
      </c>
      <c r="B599" s="618" t="s">
        <v>3844</v>
      </c>
      <c r="C599" s="611" t="str">
        <f>HYPERLINK("https://en.uesp.net/wiki/Skyrim:Regenerate_Stamina", "Regenerate Stamina")</f>
        <v>Regenerate Stamina</v>
      </c>
      <c r="D599" s="612"/>
      <c r="E599" s="612"/>
      <c r="F599" s="612"/>
      <c r="G599" s="613">
        <v>10.0</v>
      </c>
      <c r="H599" s="613"/>
    </row>
    <row r="600">
      <c r="A600" s="476" t="s">
        <v>132</v>
      </c>
      <c r="B600" s="618" t="s">
        <v>3844</v>
      </c>
      <c r="C600" s="611" t="str">
        <f>HYPERLINK("https://en.uesp.net/wiki/Skyrim:Fortify_Carry_Weight", "Fortify Carry Weight")</f>
        <v>Fortify Carry Weight</v>
      </c>
      <c r="D600" s="612"/>
      <c r="E600" s="612"/>
      <c r="F600" s="612"/>
      <c r="G600" s="613">
        <v>10.0</v>
      </c>
      <c r="H600" s="613"/>
    </row>
    <row r="601">
      <c r="A601" s="476" t="s">
        <v>132</v>
      </c>
      <c r="B601" s="618" t="s">
        <v>3844</v>
      </c>
      <c r="C601" s="611" t="str">
        <f>HYPERLINK("https://en.uesp.net/wiki/Skyrim:Cure_Disease", "Cure Disease")</f>
        <v>Cure Disease</v>
      </c>
      <c r="D601" s="612"/>
      <c r="E601" s="612"/>
      <c r="F601" s="612"/>
      <c r="G601" s="613">
        <v>10.0</v>
      </c>
      <c r="H601" s="613"/>
    </row>
    <row r="602">
      <c r="A602" s="476" t="s">
        <v>132</v>
      </c>
      <c r="B602" s="618" t="s">
        <v>3844</v>
      </c>
      <c r="C602" s="611" t="str">
        <f>HYPERLINK("https://en.uesp.net/wiki/Skyrim:Fortify_Two-handed", "Fortify Two-handed")</f>
        <v>Fortify Two-handed</v>
      </c>
      <c r="D602" s="612"/>
      <c r="E602" s="612"/>
      <c r="F602" s="612"/>
      <c r="G602" s="613">
        <v>10.0</v>
      </c>
      <c r="H602" s="613"/>
    </row>
    <row r="603">
      <c r="A603" s="476" t="s">
        <v>132</v>
      </c>
      <c r="B603" s="618" t="s">
        <v>3845</v>
      </c>
      <c r="C603" s="611" t="str">
        <f>HYPERLINK("https://en.uesp.net/wiki/Skyrim:Lingering_Damage_Stamina", "Lingering Damage Stamina")</f>
        <v>Lingering Damage Stamina</v>
      </c>
      <c r="D603" s="616">
        <v>2.0</v>
      </c>
      <c r="E603" s="616"/>
      <c r="F603" s="616">
        <v>2.14</v>
      </c>
      <c r="G603" s="613">
        <v>20.0</v>
      </c>
      <c r="H603" s="613"/>
    </row>
    <row r="604">
      <c r="A604" s="476" t="s">
        <v>132</v>
      </c>
      <c r="B604" s="618" t="s">
        <v>3845</v>
      </c>
      <c r="C604" s="619" t="s">
        <v>3812</v>
      </c>
      <c r="D604" s="612"/>
      <c r="E604" s="612"/>
      <c r="F604" s="612"/>
      <c r="G604" s="613">
        <v>20.0</v>
      </c>
      <c r="H604" s="613"/>
    </row>
    <row r="605">
      <c r="A605" s="476" t="s">
        <v>132</v>
      </c>
      <c r="B605" s="618" t="s">
        <v>3845</v>
      </c>
      <c r="C605" s="611" t="str">
        <f>HYPERLINK("https://en.uesp.net/wiki/Skyrim:Fortify_Carry_Weight", "Fortify Carry Weight")</f>
        <v>Fortify Carry Weight</v>
      </c>
      <c r="D605" s="616">
        <v>1.25</v>
      </c>
      <c r="E605" s="616"/>
      <c r="F605" s="616">
        <v>1.27</v>
      </c>
      <c r="G605" s="613">
        <v>20.0</v>
      </c>
      <c r="H605" s="613"/>
    </row>
    <row r="606">
      <c r="A606" s="476" t="s">
        <v>132</v>
      </c>
      <c r="B606" s="618" t="s">
        <v>3845</v>
      </c>
      <c r="C606" s="611" t="str">
        <f>HYPERLINK("https://en.uesp.net/wiki/Skyrim:Resist_Shock", "Resist Shock")</f>
        <v>Resist Shock</v>
      </c>
      <c r="D606" s="616">
        <v>1.33</v>
      </c>
      <c r="E606" s="616"/>
      <c r="F606" s="616">
        <v>1.36</v>
      </c>
      <c r="G606" s="613">
        <v>20.0</v>
      </c>
      <c r="H606" s="613"/>
    </row>
    <row r="607">
      <c r="A607" s="476" t="s">
        <v>132</v>
      </c>
      <c r="B607" s="618" t="s">
        <v>3846</v>
      </c>
      <c r="C607" s="611" t="str">
        <f>HYPERLINK("https://en.uesp.net/wiki/Skyrim:Weakness_to_Magic", "Weakness to Magic")</f>
        <v>Weakness to Magic</v>
      </c>
      <c r="D607" s="616">
        <v>1.5</v>
      </c>
      <c r="E607" s="616"/>
      <c r="F607" s="616">
        <v>1.56</v>
      </c>
      <c r="G607" s="613">
        <v>30.0</v>
      </c>
      <c r="H607" s="613"/>
    </row>
    <row r="608">
      <c r="A608" s="476" t="s">
        <v>132</v>
      </c>
      <c r="B608" s="618" t="s">
        <v>3846</v>
      </c>
      <c r="C608" s="611" t="str">
        <f>HYPERLINK("https://en.uesp.net/wiki/Skyrim:Slow", "Slow")</f>
        <v>Slow</v>
      </c>
      <c r="D608" s="616"/>
      <c r="E608" s="616">
        <v>2.0</v>
      </c>
      <c r="F608" s="616">
        <v>2.14</v>
      </c>
      <c r="G608" s="613">
        <v>30.0</v>
      </c>
      <c r="H608" s="613"/>
    </row>
    <row r="609">
      <c r="A609" s="476" t="s">
        <v>132</v>
      </c>
      <c r="B609" s="618" t="s">
        <v>3846</v>
      </c>
      <c r="C609" s="611" t="str">
        <f>HYPERLINK("https://en.uesp.net/wiki/Skyrim:Fortify_Sneak", "Fortify Sneak")</f>
        <v>Fortify Sneak</v>
      </c>
      <c r="D609" s="616">
        <v>1.25</v>
      </c>
      <c r="E609" s="616"/>
      <c r="F609" s="616">
        <v>1.27</v>
      </c>
      <c r="G609" s="613">
        <v>30.0</v>
      </c>
      <c r="H609" s="613"/>
    </row>
    <row r="610">
      <c r="A610" s="476" t="s">
        <v>132</v>
      </c>
      <c r="B610" s="618" t="s">
        <v>3846</v>
      </c>
      <c r="C610" s="611" t="str">
        <f>HYPERLINK("https://en.uesp.net/wiki/Skyrim:Fortify_Pickpocket", "Fortify Pickpocket")</f>
        <v>Fortify Pickpocket</v>
      </c>
      <c r="D610" s="616">
        <v>1.25</v>
      </c>
      <c r="E610" s="616"/>
      <c r="F610" s="616">
        <v>1.27</v>
      </c>
      <c r="G610" s="613">
        <v>30.0</v>
      </c>
      <c r="H610" s="613"/>
    </row>
    <row r="611">
      <c r="A611" s="476" t="s">
        <v>132</v>
      </c>
      <c r="B611" s="618" t="s">
        <v>3847</v>
      </c>
      <c r="C611" s="611" t="str">
        <f>HYPERLINK("https://en.uesp.net/wiki/Skyrim:Restore_Magicka", "Restore Magicka")</f>
        <v>Restore Magicka</v>
      </c>
      <c r="D611" s="616">
        <v>1.2</v>
      </c>
      <c r="E611" s="616"/>
      <c r="F611" s="616">
        <v>1.22</v>
      </c>
      <c r="G611" s="613">
        <v>15.0</v>
      </c>
      <c r="H611" s="613"/>
    </row>
    <row r="612">
      <c r="A612" s="476" t="s">
        <v>132</v>
      </c>
      <c r="B612" s="618" t="s">
        <v>3847</v>
      </c>
      <c r="C612" s="611" t="str">
        <f>HYPERLINK("https://en.uesp.net/wiki/Skyrim:Regenerate_Magicka", "Regenerate Magicka")</f>
        <v>Regenerate Magicka</v>
      </c>
      <c r="D612" s="616">
        <v>1.2</v>
      </c>
      <c r="E612" s="616"/>
      <c r="F612" s="616">
        <v>1.22</v>
      </c>
      <c r="G612" s="613">
        <v>15.0</v>
      </c>
      <c r="H612" s="613"/>
    </row>
    <row r="613">
      <c r="A613" s="476" t="s">
        <v>132</v>
      </c>
      <c r="B613" s="618" t="s">
        <v>3847</v>
      </c>
      <c r="C613" s="611" t="str">
        <f>HYPERLINK("https://en.uesp.net/wiki/Skyrim:Fortify_Magicka", "Fortify Magicka")</f>
        <v>Fortify Magicka</v>
      </c>
      <c r="D613" s="616">
        <v>1.25</v>
      </c>
      <c r="E613" s="616"/>
      <c r="F613" s="616">
        <v>1.27</v>
      </c>
      <c r="G613" s="613">
        <v>15.0</v>
      </c>
      <c r="H613" s="613"/>
    </row>
    <row r="614">
      <c r="A614" s="476" t="s">
        <v>132</v>
      </c>
      <c r="B614" s="618" t="s">
        <v>3847</v>
      </c>
      <c r="C614" s="619" t="s">
        <v>3809</v>
      </c>
      <c r="D614" s="616">
        <v>1.25</v>
      </c>
      <c r="E614" s="616"/>
      <c r="F614" s="616">
        <v>1.27</v>
      </c>
      <c r="G614" s="613">
        <v>15.0</v>
      </c>
      <c r="H614" s="613"/>
    </row>
    <row r="615">
      <c r="A615" s="476" t="s">
        <v>132</v>
      </c>
      <c r="B615" s="618" t="s">
        <v>3848</v>
      </c>
      <c r="C615" s="611" t="str">
        <f>HYPERLINK("https://en.uesp.net/wiki/Skyrim:Lingering_Damage_Stamina", "Lingering Damage Stamina")</f>
        <v>Lingering Damage Stamina</v>
      </c>
      <c r="D615" s="616">
        <v>2.0</v>
      </c>
      <c r="E615" s="616"/>
      <c r="F615" s="616">
        <v>2.14</v>
      </c>
      <c r="G615" s="613">
        <v>25.0</v>
      </c>
      <c r="H615" s="613"/>
    </row>
    <row r="616">
      <c r="A616" s="476" t="s">
        <v>132</v>
      </c>
      <c r="B616" s="618" t="s">
        <v>3848</v>
      </c>
      <c r="C616" s="611" t="str">
        <f>HYPERLINK("https://en.uesp.net/wiki/Skyrim:Lingering_Damage_Health", "Lingering Damage Health")</f>
        <v>Lingering Damage Health</v>
      </c>
      <c r="D616" s="616">
        <v>2.0</v>
      </c>
      <c r="E616" s="616"/>
      <c r="F616" s="616">
        <v>2.14</v>
      </c>
      <c r="G616" s="613">
        <v>25.0</v>
      </c>
      <c r="H616" s="613"/>
    </row>
    <row r="617">
      <c r="A617" s="476" t="s">
        <v>132</v>
      </c>
      <c r="B617" s="618" t="s">
        <v>3848</v>
      </c>
      <c r="C617" s="611" t="str">
        <f>HYPERLINK("https://en.uesp.net/wiki/Skyrim:Waterbreathing", "Waterbreathing")</f>
        <v>Waterbreathing</v>
      </c>
      <c r="D617" s="616"/>
      <c r="E617" s="616">
        <v>1.6</v>
      </c>
      <c r="F617" s="616">
        <v>1.67</v>
      </c>
      <c r="G617" s="613">
        <v>25.0</v>
      </c>
      <c r="H617" s="613"/>
    </row>
    <row r="618">
      <c r="A618" s="476" t="s">
        <v>132</v>
      </c>
      <c r="B618" s="618" t="s">
        <v>3848</v>
      </c>
      <c r="C618" s="611" t="str">
        <f>HYPERLINK("https://en.uesp.net/wiki/Skyrim:Fear", "Fear")</f>
        <v>Fear</v>
      </c>
      <c r="D618" s="616">
        <v>2.0</v>
      </c>
      <c r="E618" s="616"/>
      <c r="F618" s="616">
        <v>2.14</v>
      </c>
      <c r="G618" s="613">
        <v>25.0</v>
      </c>
      <c r="H618" s="613"/>
    </row>
    <row r="619">
      <c r="A619" s="476" t="s">
        <v>132</v>
      </c>
      <c r="B619" s="618" t="s">
        <v>3849</v>
      </c>
      <c r="C619" s="611" t="str">
        <f>HYPERLINK("https://en.uesp.net/wiki/Skyrim:Restore_Magicka", "Restore Magicka")</f>
        <v>Restore Magicka</v>
      </c>
      <c r="D619" s="612"/>
      <c r="E619" s="612"/>
      <c r="F619" s="612"/>
      <c r="G619" s="613">
        <v>30.0</v>
      </c>
      <c r="H619" s="614"/>
    </row>
    <row r="620">
      <c r="A620" s="476" t="s">
        <v>132</v>
      </c>
      <c r="B620" s="618" t="s">
        <v>3849</v>
      </c>
      <c r="C620" s="611" t="str">
        <f>HYPERLINK("https://en.uesp.net/wiki/Skyrim:Fortify_Alteration", "Fortify Alteration")</f>
        <v>Fortify Alteration</v>
      </c>
      <c r="D620" s="612"/>
      <c r="E620" s="612"/>
      <c r="F620" s="612"/>
      <c r="G620" s="613">
        <v>30.0</v>
      </c>
      <c r="H620" s="614"/>
    </row>
    <row r="621">
      <c r="A621" s="476" t="s">
        <v>132</v>
      </c>
      <c r="B621" s="618" t="s">
        <v>3849</v>
      </c>
      <c r="C621" s="611" t="str">
        <f>HYPERLINK("https://en.uesp.net/wiki/Skyrim:Fortify_Conjuration", "Fortify Conjuration")</f>
        <v>Fortify Conjuration</v>
      </c>
      <c r="D621" s="612"/>
      <c r="E621" s="612"/>
      <c r="F621" s="612"/>
      <c r="G621" s="613">
        <v>30.0</v>
      </c>
      <c r="H621" s="614"/>
    </row>
    <row r="622">
      <c r="A622" s="476" t="s">
        <v>132</v>
      </c>
      <c r="B622" s="618" t="s">
        <v>3849</v>
      </c>
      <c r="C622" s="611" t="str">
        <f>HYPERLINK("https://en.uesp.net/wiki/Skyrim:Fortify_Carry_Weight", "Fortify Carry Weight")</f>
        <v>Fortify Carry Weight</v>
      </c>
      <c r="D622" s="612"/>
      <c r="E622" s="612"/>
      <c r="F622" s="612"/>
      <c r="G622" s="613">
        <v>30.0</v>
      </c>
      <c r="H622" s="614"/>
    </row>
    <row r="623">
      <c r="A623" s="476" t="s">
        <v>132</v>
      </c>
      <c r="B623" s="618" t="s">
        <v>3850</v>
      </c>
      <c r="C623" s="611" t="str">
        <f>HYPERLINK("https://en.uesp.net/wiki/Skyrim:Restore_Health", "Restore Health")</f>
        <v>Restore Health</v>
      </c>
      <c r="D623" s="616">
        <v>1.2</v>
      </c>
      <c r="E623" s="616"/>
      <c r="F623" s="616">
        <v>1.22</v>
      </c>
      <c r="G623" s="613">
        <v>18.0</v>
      </c>
      <c r="H623" s="614"/>
    </row>
    <row r="624">
      <c r="A624" s="476" t="s">
        <v>132</v>
      </c>
      <c r="B624" s="618" t="s">
        <v>3850</v>
      </c>
      <c r="C624" s="611" t="str">
        <f>HYPERLINK("https://en.uesp.net/wiki/Skyrim:Fortify_Carry_Weight", "Fortify Carry Weight")</f>
        <v>Fortify Carry Weight</v>
      </c>
      <c r="D624" s="616">
        <v>1.25</v>
      </c>
      <c r="E624" s="616"/>
      <c r="F624" s="616">
        <v>1.27</v>
      </c>
      <c r="G624" s="613">
        <v>18.0</v>
      </c>
      <c r="H624" s="614"/>
    </row>
    <row r="625">
      <c r="A625" s="476" t="s">
        <v>132</v>
      </c>
      <c r="B625" s="618" t="s">
        <v>3850</v>
      </c>
      <c r="C625" s="611" t="str">
        <f>HYPERLINK("https://en.uesp.net/wiki/Skyrim:Weakness_to_Magic", "Weakness to Magic")</f>
        <v>Weakness to Magic</v>
      </c>
      <c r="D625" s="616">
        <v>1.5</v>
      </c>
      <c r="E625" s="616"/>
      <c r="F625" s="616">
        <v>1.56</v>
      </c>
      <c r="G625" s="613">
        <v>18.0</v>
      </c>
      <c r="H625" s="614"/>
    </row>
    <row r="626">
      <c r="A626" s="476" t="s">
        <v>132</v>
      </c>
      <c r="B626" s="618" t="s">
        <v>3850</v>
      </c>
      <c r="C626" s="611" t="str">
        <f>HYPERLINK("https://en.uesp.net/wiki/Skyrim:Damage_Stamina", "Damage Stamina")</f>
        <v>Damage Stamina</v>
      </c>
      <c r="D626" s="616">
        <v>1.33</v>
      </c>
      <c r="E626" s="616"/>
      <c r="F626" s="616">
        <v>1.36</v>
      </c>
      <c r="G626" s="613">
        <v>18.0</v>
      </c>
      <c r="H626" s="614"/>
    </row>
    <row r="627">
      <c r="A627" s="476" t="s">
        <v>132</v>
      </c>
      <c r="B627" s="618" t="s">
        <v>3851</v>
      </c>
      <c r="C627" s="611" t="str">
        <f>HYPERLINK("https://en.uesp.net/wiki/Skyrim:Resist_Poison", "Resist Poison")</f>
        <v>Resist Poison</v>
      </c>
      <c r="D627" s="616">
        <v>1.25</v>
      </c>
      <c r="E627" s="616"/>
      <c r="F627" s="616">
        <v>1.27</v>
      </c>
      <c r="G627" s="613">
        <v>55.0</v>
      </c>
      <c r="H627" s="614"/>
    </row>
    <row r="628">
      <c r="A628" s="476" t="s">
        <v>132</v>
      </c>
      <c r="B628" s="618" t="s">
        <v>3851</v>
      </c>
      <c r="C628" s="611" t="str">
        <f>HYPERLINK("https://en.uesp.net/wiki/Skyrim:Damage_Magicka_Regen", "Damage Magicka Regen")</f>
        <v>Damage Magicka Regen</v>
      </c>
      <c r="D628" s="616"/>
      <c r="E628" s="616">
        <v>2.0</v>
      </c>
      <c r="F628" s="616">
        <v>2.14</v>
      </c>
      <c r="G628" s="613">
        <v>55.0</v>
      </c>
      <c r="H628" s="614"/>
    </row>
    <row r="629">
      <c r="A629" s="476" t="s">
        <v>132</v>
      </c>
      <c r="B629" s="618" t="s">
        <v>3851</v>
      </c>
      <c r="C629" s="611" t="str">
        <f>HYPERLINK("https://en.uesp.net/wiki/Skyrim:Regenerate_Health", "Regenerate Health")</f>
        <v>Regenerate Health</v>
      </c>
      <c r="D629" s="616">
        <v>1.2</v>
      </c>
      <c r="E629" s="616"/>
      <c r="F629" s="616">
        <v>1.22</v>
      </c>
      <c r="G629" s="613">
        <v>55.0</v>
      </c>
      <c r="H629" s="614"/>
    </row>
    <row r="630">
      <c r="A630" s="476" t="s">
        <v>132</v>
      </c>
      <c r="B630" s="618" t="s">
        <v>3851</v>
      </c>
      <c r="C630" s="611" t="str">
        <f>HYPERLINK("https://en.uesp.net/wiki/Skyrim:Regenerate_Magicka", "Regenerate Magicka")</f>
        <v>Regenerate Magicka</v>
      </c>
      <c r="D630" s="616">
        <v>1.2</v>
      </c>
      <c r="E630" s="616"/>
      <c r="F630" s="616">
        <v>1.22</v>
      </c>
      <c r="G630" s="613">
        <v>55.0</v>
      </c>
      <c r="H630" s="614"/>
    </row>
    <row r="631">
      <c r="A631" s="476" t="s">
        <v>132</v>
      </c>
      <c r="B631" s="618" t="s">
        <v>3852</v>
      </c>
      <c r="C631" s="611" t="str">
        <f>HYPERLINK("https://en.uesp.net/wiki/Skyrim:Damage_Health", "Damage Health")</f>
        <v>Damage Health</v>
      </c>
      <c r="D631" s="612"/>
      <c r="E631" s="612"/>
      <c r="F631" s="612"/>
      <c r="G631" s="613">
        <v>2.0</v>
      </c>
      <c r="H631" s="613"/>
    </row>
    <row r="632">
      <c r="A632" s="476" t="s">
        <v>132</v>
      </c>
      <c r="B632" s="618" t="s">
        <v>3852</v>
      </c>
      <c r="C632" s="611" t="str">
        <f>HYPERLINK("https://en.uesp.net/wiki/Skyrim:Damage_Magicka", "Damage Magicka")</f>
        <v>Damage Magicka</v>
      </c>
      <c r="D632" s="612"/>
      <c r="E632" s="612"/>
      <c r="F632" s="612"/>
      <c r="G632" s="613">
        <v>2.0</v>
      </c>
      <c r="H632" s="613"/>
    </row>
    <row r="633">
      <c r="A633" s="476" t="s">
        <v>132</v>
      </c>
      <c r="B633" s="618" t="s">
        <v>3852</v>
      </c>
      <c r="C633" s="611" t="str">
        <f>HYPERLINK("https://en.uesp.net/wiki/Skyrim:Damage_Magicka_Regen", "Damage Magicka Regen")</f>
        <v>Damage Magicka Regen</v>
      </c>
      <c r="D633" s="612"/>
      <c r="E633" s="612"/>
      <c r="F633" s="612"/>
      <c r="G633" s="613">
        <v>2.0</v>
      </c>
      <c r="H633" s="613"/>
    </row>
    <row r="634">
      <c r="A634" s="476" t="s">
        <v>132</v>
      </c>
      <c r="B634" s="618" t="s">
        <v>3852</v>
      </c>
      <c r="C634" s="611" t="str">
        <f>HYPERLINK("https://en.uesp.net/wiki/Skyrim:Frenzy", "Frenzy")</f>
        <v>Frenzy</v>
      </c>
      <c r="D634" s="612"/>
      <c r="E634" s="612"/>
      <c r="F634" s="612"/>
      <c r="G634" s="613">
        <v>2.0</v>
      </c>
      <c r="H634" s="613"/>
    </row>
    <row r="635">
      <c r="A635" s="476" t="s">
        <v>132</v>
      </c>
      <c r="B635" s="618" t="s">
        <v>3853</v>
      </c>
      <c r="C635" s="611" t="str">
        <f>HYPERLINK("https://en.uesp.net/wiki/Skyrim:Weakness_to_Shock", "Weakness to Shock")</f>
        <v>Weakness to Shock</v>
      </c>
      <c r="D635" s="616">
        <v>1.33</v>
      </c>
      <c r="E635" s="616"/>
      <c r="F635" s="616">
        <v>1.36</v>
      </c>
      <c r="G635" s="613">
        <v>50.0</v>
      </c>
      <c r="H635" s="614"/>
    </row>
    <row r="636">
      <c r="A636" s="476" t="s">
        <v>132</v>
      </c>
      <c r="B636" s="618" t="s">
        <v>3853</v>
      </c>
      <c r="C636" s="611" t="str">
        <f>HYPERLINK("https://en.uesp.net/wiki/Skyrim:Resist_Poison", "Resist Poison")</f>
        <v>Resist Poison</v>
      </c>
      <c r="D636" s="616">
        <v>1.25</v>
      </c>
      <c r="E636" s="616"/>
      <c r="F636" s="616">
        <v>1.27</v>
      </c>
      <c r="G636" s="613">
        <v>50.0</v>
      </c>
      <c r="H636" s="614"/>
    </row>
    <row r="637">
      <c r="A637" s="476" t="s">
        <v>132</v>
      </c>
      <c r="B637" s="618" t="s">
        <v>3853</v>
      </c>
      <c r="C637" s="611" t="str">
        <f>HYPERLINK("https://en.uesp.net/wiki/Skyrim:Lingering_Damage_Magicka", "Lingering Damage Magicka")</f>
        <v>Lingering Damage Magicka</v>
      </c>
      <c r="D637" s="616">
        <v>2.0</v>
      </c>
      <c r="E637" s="616"/>
      <c r="F637" s="616">
        <v>2.12</v>
      </c>
      <c r="G637" s="613">
        <v>50.0</v>
      </c>
      <c r="H637" s="614"/>
    </row>
    <row r="638">
      <c r="A638" s="476" t="s">
        <v>132</v>
      </c>
      <c r="B638" s="618" t="s">
        <v>3853</v>
      </c>
      <c r="C638" s="611" t="str">
        <f>HYPERLINK("https://en.uesp.net/wiki/Skyrim:Regenerate_Health", "Regenerate Health")</f>
        <v>Regenerate Health</v>
      </c>
      <c r="D638" s="616">
        <v>1.2</v>
      </c>
      <c r="E638" s="616"/>
      <c r="F638" s="616">
        <v>1.22</v>
      </c>
      <c r="G638" s="613">
        <v>50.0</v>
      </c>
      <c r="H638" s="614"/>
    </row>
    <row r="639">
      <c r="A639" s="476" t="s">
        <v>132</v>
      </c>
      <c r="B639" s="618" t="s">
        <v>3854</v>
      </c>
      <c r="C639" s="611" t="str">
        <f>HYPERLINK("https://en.uesp.net/wiki/Skyrim:Restore_Stamina", "Restore Stamina")</f>
        <v>Restore Stamina</v>
      </c>
      <c r="D639" s="612"/>
      <c r="E639" s="612"/>
      <c r="F639" s="612"/>
      <c r="G639" s="613">
        <v>15.0</v>
      </c>
      <c r="H639" s="614"/>
    </row>
    <row r="640">
      <c r="A640" s="476" t="s">
        <v>132</v>
      </c>
      <c r="B640" s="618" t="s">
        <v>3854</v>
      </c>
      <c r="C640" s="611" t="str">
        <f>HYPERLINK("https://en.uesp.net/wiki/Skyrim:Resist_Frost", "Resist Frost")</f>
        <v>Resist Frost</v>
      </c>
      <c r="D640" s="612"/>
      <c r="E640" s="612"/>
      <c r="F640" s="612"/>
      <c r="G640" s="613">
        <v>15.0</v>
      </c>
      <c r="H640" s="614"/>
    </row>
    <row r="641">
      <c r="A641" s="476" t="s">
        <v>132</v>
      </c>
      <c r="B641" s="618" t="s">
        <v>3854</v>
      </c>
      <c r="C641" s="611" t="str">
        <f>HYPERLINK("https://en.uesp.net/wiki/Skyrim:Fortify_Smithing", "Fortify Smithing")</f>
        <v>Fortify Smithing</v>
      </c>
      <c r="D641" s="612"/>
      <c r="E641" s="612"/>
      <c r="F641" s="612"/>
      <c r="G641" s="613">
        <v>15.0</v>
      </c>
      <c r="H641" s="614"/>
    </row>
    <row r="642">
      <c r="A642" s="476" t="s">
        <v>132</v>
      </c>
      <c r="B642" s="618" t="s">
        <v>3854</v>
      </c>
      <c r="C642" s="611" t="str">
        <f>HYPERLINK("https://en.uesp.net/wiki/Skyrim:Fortify_One-handed", "Fortify One-handed")</f>
        <v>Fortify One-handed</v>
      </c>
      <c r="D642" s="612"/>
      <c r="E642" s="612"/>
      <c r="F642" s="612"/>
      <c r="G642" s="613">
        <v>15.0</v>
      </c>
      <c r="H642" s="614"/>
    </row>
    <row r="643">
      <c r="A643" s="476" t="s">
        <v>132</v>
      </c>
      <c r="B643" s="618" t="s">
        <v>3855</v>
      </c>
      <c r="C643" s="611" t="str">
        <f>HYPERLINK("https://en.uesp.net/wiki/Skyrim:Regenerate_Health", "Regenerate Health")</f>
        <v>Regenerate Health</v>
      </c>
      <c r="D643" s="612"/>
      <c r="E643" s="612"/>
      <c r="F643" s="612"/>
      <c r="G643" s="613">
        <v>25.0</v>
      </c>
      <c r="H643" s="614"/>
    </row>
    <row r="644">
      <c r="A644" s="476" t="s">
        <v>132</v>
      </c>
      <c r="B644" s="618" t="s">
        <v>3855</v>
      </c>
      <c r="C644" s="611" t="str">
        <f>HYPERLINK("https://en.uesp.net/wiki/Skyrim:Regenerate_Magicka", "Regenerate Magicka")</f>
        <v>Regenerate Magicka</v>
      </c>
      <c r="D644" s="612"/>
      <c r="E644" s="612"/>
      <c r="F644" s="612"/>
      <c r="G644" s="613">
        <v>25.0</v>
      </c>
      <c r="H644" s="614"/>
    </row>
    <row r="645">
      <c r="A645" s="476" t="s">
        <v>132</v>
      </c>
      <c r="B645" s="618" t="s">
        <v>3855</v>
      </c>
      <c r="C645" s="611" t="str">
        <f>HYPERLINK("https://en.uesp.net/wiki/Skyrim:Regenerate_Stamina", "Regenerate Stamina")</f>
        <v>Regenerate Stamina</v>
      </c>
      <c r="D645" s="612"/>
      <c r="E645" s="612"/>
      <c r="F645" s="612"/>
      <c r="G645" s="613">
        <v>25.0</v>
      </c>
      <c r="H645" s="614"/>
    </row>
    <row r="646">
      <c r="A646" s="476" t="s">
        <v>132</v>
      </c>
      <c r="B646" s="618" t="s">
        <v>3855</v>
      </c>
      <c r="C646" s="611" t="str">
        <f>HYPERLINK("https://en.uesp.net/wiki/Skyrim:Paralysis", "Paralysis")</f>
        <v>Paralysis</v>
      </c>
      <c r="D646" s="612"/>
      <c r="E646" s="612"/>
      <c r="F646" s="612"/>
      <c r="G646" s="613">
        <v>25.0</v>
      </c>
      <c r="H646" s="614"/>
    </row>
    <row r="647">
      <c r="A647" s="476" t="s">
        <v>132</v>
      </c>
      <c r="B647" s="618" t="s">
        <v>3856</v>
      </c>
      <c r="C647" s="611" t="str">
        <f>HYPERLINK("https://en.uesp.net/wiki/Skyrim:Restore_Stamina", "Restore Stamina")</f>
        <v>Restore Stamina</v>
      </c>
      <c r="D647" s="612"/>
      <c r="E647" s="612"/>
      <c r="F647" s="612"/>
      <c r="G647" s="613">
        <v>2.0</v>
      </c>
      <c r="H647" s="613"/>
    </row>
    <row r="648">
      <c r="A648" s="476" t="s">
        <v>132</v>
      </c>
      <c r="B648" s="618" t="s">
        <v>3856</v>
      </c>
      <c r="C648" s="611" t="str">
        <f>HYPERLINK("https://en.uesp.net/wiki/Skyrim:Lingering_Damage_Magicka", "Lingering Damage Magicka")</f>
        <v>Lingering Damage Magicka</v>
      </c>
      <c r="D648" s="612"/>
      <c r="E648" s="612"/>
      <c r="F648" s="612"/>
      <c r="G648" s="613">
        <v>2.0</v>
      </c>
      <c r="H648" s="613"/>
    </row>
    <row r="649">
      <c r="A649" s="476" t="s">
        <v>132</v>
      </c>
      <c r="B649" s="618" t="s">
        <v>3856</v>
      </c>
      <c r="C649" s="611" t="str">
        <f>HYPERLINK("https://en.uesp.net/wiki/Skyrim:Damage_Magicka_Regen", "Damage Magicka Regen")</f>
        <v>Damage Magicka Regen</v>
      </c>
      <c r="D649" s="612"/>
      <c r="E649" s="612"/>
      <c r="F649" s="612"/>
      <c r="G649" s="613">
        <v>2.0</v>
      </c>
      <c r="H649" s="613"/>
    </row>
    <row r="650">
      <c r="A650" s="476" t="s">
        <v>132</v>
      </c>
      <c r="B650" s="618" t="s">
        <v>3856</v>
      </c>
      <c r="C650" s="611" t="str">
        <f>HYPERLINK("https://en.uesp.net/wiki/Skyrim:Fortify_Restoration", "Fortify Restoration")</f>
        <v>Fortify Restoration</v>
      </c>
      <c r="D650" s="612"/>
      <c r="E650" s="612"/>
      <c r="F650" s="612"/>
      <c r="G650" s="613">
        <v>2.0</v>
      </c>
      <c r="H650" s="613"/>
    </row>
    <row r="651">
      <c r="A651" s="476" t="s">
        <v>132</v>
      </c>
      <c r="B651" s="618" t="s">
        <v>3857</v>
      </c>
      <c r="C651" s="611" t="str">
        <f>HYPERLINK("https://en.uesp.net/wiki/Skyrim:Regenerate_Stamina", "Regenerate Stamina")</f>
        <v>Regenerate Stamina</v>
      </c>
      <c r="D651" s="616">
        <v>1.2</v>
      </c>
      <c r="E651" s="616"/>
      <c r="F651" s="616">
        <v>1.22</v>
      </c>
      <c r="G651" s="613">
        <v>20.0</v>
      </c>
      <c r="H651" s="613"/>
    </row>
    <row r="652">
      <c r="A652" s="476" t="s">
        <v>132</v>
      </c>
      <c r="B652" s="618" t="s">
        <v>3857</v>
      </c>
      <c r="C652" s="611" t="str">
        <f>HYPERLINK("https://en.uesp.net/wiki/Skyrim:Waterbreathing", "Waterbreathing")</f>
        <v>Waterbreathing</v>
      </c>
      <c r="D652" s="616"/>
      <c r="E652" s="616">
        <v>1.6</v>
      </c>
      <c r="F652" s="616">
        <v>1.67</v>
      </c>
      <c r="G652" s="613">
        <v>20.0</v>
      </c>
      <c r="H652" s="613"/>
    </row>
    <row r="653">
      <c r="A653" s="476" t="s">
        <v>132</v>
      </c>
      <c r="B653" s="618" t="s">
        <v>3857</v>
      </c>
      <c r="C653" s="611" t="str">
        <f>HYPERLINK("https://en.uesp.net/wiki/Skyrim:Cure_Disease", "Cure Disease")</f>
        <v>Cure Disease</v>
      </c>
      <c r="D653" s="612"/>
      <c r="E653" s="612"/>
      <c r="F653" s="616">
        <v>0.36</v>
      </c>
      <c r="G653" s="613">
        <v>20.0</v>
      </c>
      <c r="H653" s="613"/>
    </row>
    <row r="654">
      <c r="A654" s="476" t="s">
        <v>132</v>
      </c>
      <c r="B654" s="618" t="s">
        <v>3857</v>
      </c>
      <c r="C654" s="611" t="str">
        <f>HYPERLINK("https://en.uesp.net/wiki/Skyrim:Fortify_Magicka", "Fortify Magicka")</f>
        <v>Fortify Magicka</v>
      </c>
      <c r="D654" s="616">
        <v>1.25</v>
      </c>
      <c r="E654" s="616"/>
      <c r="F654" s="616">
        <v>1.27</v>
      </c>
      <c r="G654" s="613">
        <v>20.0</v>
      </c>
      <c r="H654" s="613"/>
    </row>
    <row r="655">
      <c r="A655" s="476" t="s">
        <v>132</v>
      </c>
      <c r="B655" s="618" t="s">
        <v>3858</v>
      </c>
      <c r="C655" s="611" t="str">
        <f>HYPERLINK("https://en.uesp.net/wiki/Skyrim:Resist_Frost", "Resist Frost")</f>
        <v>Resist Frost</v>
      </c>
      <c r="D655" s="616">
        <v>1.33</v>
      </c>
      <c r="E655" s="616"/>
      <c r="F655" s="616">
        <v>1.36</v>
      </c>
      <c r="G655" s="613">
        <v>25.0</v>
      </c>
      <c r="H655" s="613"/>
    </row>
    <row r="656">
      <c r="A656" s="476" t="s">
        <v>132</v>
      </c>
      <c r="B656" s="618" t="s">
        <v>3858</v>
      </c>
      <c r="C656" s="619" t="s">
        <v>3803</v>
      </c>
      <c r="D656" s="612"/>
      <c r="E656" s="612"/>
      <c r="F656" s="612"/>
      <c r="G656" s="613">
        <v>25.0</v>
      </c>
      <c r="H656" s="613"/>
    </row>
    <row r="657">
      <c r="A657" s="476" t="s">
        <v>132</v>
      </c>
      <c r="B657" s="618" t="s">
        <v>3858</v>
      </c>
      <c r="C657" s="611" t="str">
        <f>HYPERLINK("https://en.uesp.net/wiki/Skyrim:Damage_Health", "Damage Health")</f>
        <v>Damage Health</v>
      </c>
      <c r="D657" s="616">
        <v>1.5</v>
      </c>
      <c r="E657" s="616"/>
      <c r="F657" s="616">
        <v>1.56</v>
      </c>
      <c r="G657" s="613">
        <v>25.0</v>
      </c>
      <c r="H657" s="613"/>
    </row>
    <row r="658">
      <c r="A658" s="476" t="s">
        <v>132</v>
      </c>
      <c r="B658" s="618" t="s">
        <v>3858</v>
      </c>
      <c r="C658" s="611" t="str">
        <f>HYPERLINK("https://en.uesp.net/wiki/Skyrim:Invisibility", "Invisibility")</f>
        <v>Invisibility</v>
      </c>
      <c r="D658" s="616"/>
      <c r="E658" s="616">
        <v>1.5</v>
      </c>
      <c r="F658" s="616">
        <v>1.56</v>
      </c>
      <c r="G658" s="613">
        <v>25.0</v>
      </c>
      <c r="H658" s="613"/>
    </row>
    <row r="659">
      <c r="A659" s="476" t="s">
        <v>132</v>
      </c>
      <c r="B659" s="618" t="s">
        <v>3859</v>
      </c>
      <c r="C659" s="611" t="str">
        <f>HYPERLINK("https://en.uesp.net/wiki/Skyrim:Weakness_to_Magic", "Weakness to Magic")</f>
        <v>Weakness to Magic</v>
      </c>
      <c r="D659" s="616">
        <v>1.5</v>
      </c>
      <c r="E659" s="616"/>
      <c r="F659" s="616">
        <v>1.56</v>
      </c>
      <c r="G659" s="613">
        <v>20.0</v>
      </c>
      <c r="H659" s="614"/>
    </row>
    <row r="660">
      <c r="A660" s="476" t="s">
        <v>132</v>
      </c>
      <c r="B660" s="618" t="s">
        <v>3859</v>
      </c>
      <c r="C660" s="611" t="str">
        <f>HYPERLINK("https://en.uesp.net/wiki/Skyrim:Fortify_Sneak", "Fortify Sneak")</f>
        <v>Fortify Sneak</v>
      </c>
      <c r="D660" s="616">
        <v>1.25</v>
      </c>
      <c r="E660" s="616"/>
      <c r="F660" s="616">
        <v>1.27</v>
      </c>
      <c r="G660" s="613">
        <v>20.0</v>
      </c>
      <c r="H660" s="614"/>
    </row>
    <row r="661">
      <c r="A661" s="476" t="s">
        <v>132</v>
      </c>
      <c r="B661" s="618" t="s">
        <v>3859</v>
      </c>
      <c r="C661" s="611" t="str">
        <f>HYPERLINK("https://en.uesp.net/wiki/Skyrim:Lingering_Damage_Health", "Lingering Damage Health")</f>
        <v>Lingering Damage Health</v>
      </c>
      <c r="D661" s="616">
        <v>2.0</v>
      </c>
      <c r="E661" s="616"/>
      <c r="F661" s="616">
        <v>2.14</v>
      </c>
      <c r="G661" s="613">
        <v>20.0</v>
      </c>
      <c r="H661" s="614"/>
    </row>
    <row r="662">
      <c r="A662" s="476" t="s">
        <v>132</v>
      </c>
      <c r="B662" s="618" t="s">
        <v>3859</v>
      </c>
      <c r="C662" s="619" t="s">
        <v>3803</v>
      </c>
      <c r="D662" s="612"/>
      <c r="E662" s="612"/>
      <c r="F662" s="612"/>
      <c r="G662" s="613">
        <v>20.0</v>
      </c>
      <c r="H662" s="614"/>
    </row>
    <row r="663">
      <c r="A663" s="476" t="s">
        <v>132</v>
      </c>
      <c r="B663" s="618" t="s">
        <v>3860</v>
      </c>
      <c r="C663" s="611" t="str">
        <f>HYPERLINK("https://en.uesp.net/wiki/Skyrim:Slow", "Slow")</f>
        <v>Slow</v>
      </c>
      <c r="D663" s="616"/>
      <c r="E663" s="616">
        <v>3.0</v>
      </c>
      <c r="F663" s="616">
        <v>0.26</v>
      </c>
      <c r="G663" s="613">
        <v>20.0</v>
      </c>
      <c r="H663" s="614"/>
    </row>
    <row r="664">
      <c r="A664" s="476" t="s">
        <v>132</v>
      </c>
      <c r="B664" s="618" t="s">
        <v>3860</v>
      </c>
      <c r="C664" s="611" t="str">
        <f>HYPERLINK("https://en.uesp.net/wiki/Skyrim:Lingering_Damage_Health", "Lingering Damage Health")</f>
        <v>Lingering Damage Health</v>
      </c>
      <c r="D664" s="616"/>
      <c r="E664" s="616">
        <v>3.0</v>
      </c>
      <c r="F664" s="616">
        <v>3.34</v>
      </c>
      <c r="G664" s="613">
        <v>20.0</v>
      </c>
      <c r="H664" s="614"/>
    </row>
    <row r="665">
      <c r="A665" s="476" t="s">
        <v>132</v>
      </c>
      <c r="B665" s="618" t="s">
        <v>3860</v>
      </c>
      <c r="C665" s="611" t="str">
        <f>HYPERLINK("https://en.uesp.net/wiki/Skyrim:Fear", "Fear")</f>
        <v>Fear</v>
      </c>
      <c r="D665" s="616"/>
      <c r="E665" s="616">
        <v>0.16</v>
      </c>
      <c r="F665" s="616">
        <v>0.14</v>
      </c>
      <c r="G665" s="613">
        <v>20.0</v>
      </c>
      <c r="H665" s="614"/>
    </row>
    <row r="666">
      <c r="A666" s="476" t="s">
        <v>132</v>
      </c>
      <c r="B666" s="618" t="s">
        <v>3860</v>
      </c>
      <c r="C666" s="611" t="str">
        <f>HYPERLINK("https://en.uesp.net/wiki/Skyrim:Paralysis", "Paralysis")</f>
        <v>Paralysis</v>
      </c>
      <c r="D666" s="612"/>
      <c r="E666" s="612"/>
      <c r="F666" s="612"/>
      <c r="G666" s="613">
        <v>20.0</v>
      </c>
      <c r="H666" s="614"/>
    </row>
    <row r="667">
      <c r="A667" s="476" t="s">
        <v>132</v>
      </c>
      <c r="B667" s="618" t="s">
        <v>3861</v>
      </c>
      <c r="C667" s="611" t="str">
        <f>HYPERLINK("https://en.uesp.net/wiki/Skyrim:Restore_Stamina", "Restore Stamina")</f>
        <v>Restore Stamina</v>
      </c>
      <c r="D667" s="616">
        <v>1.2</v>
      </c>
      <c r="E667" s="616"/>
      <c r="F667" s="616">
        <v>1.22</v>
      </c>
      <c r="G667" s="613">
        <v>6.0</v>
      </c>
      <c r="H667" s="614"/>
    </row>
    <row r="668">
      <c r="A668" s="476" t="s">
        <v>132</v>
      </c>
      <c r="B668" s="618" t="s">
        <v>3861</v>
      </c>
      <c r="C668" s="611" t="str">
        <f>HYPERLINK("https://en.uesp.net/wiki/Skyrim:Fortify_Magicka", "Fortify Magicka")</f>
        <v>Fortify Magicka</v>
      </c>
      <c r="D668" s="616">
        <v>1.25</v>
      </c>
      <c r="E668" s="616"/>
      <c r="F668" s="616">
        <v>1.27</v>
      </c>
      <c r="G668" s="613">
        <v>6.0</v>
      </c>
      <c r="H668" s="614"/>
    </row>
    <row r="669">
      <c r="A669" s="476" t="s">
        <v>132</v>
      </c>
      <c r="B669" s="618" t="s">
        <v>3861</v>
      </c>
      <c r="C669" s="611" t="str">
        <f>HYPERLINK("https://en.uesp.net/wiki/Skyrim:Damage_Stamina_Regen", "Damage Stamina Regen")</f>
        <v>Damage Stamina Regen</v>
      </c>
      <c r="D669" s="616"/>
      <c r="E669" s="616">
        <v>2.0</v>
      </c>
      <c r="F669" s="616">
        <v>2.14</v>
      </c>
      <c r="G669" s="613">
        <v>6.0</v>
      </c>
      <c r="H669" s="614"/>
    </row>
    <row r="670">
      <c r="A670" s="476" t="s">
        <v>132</v>
      </c>
      <c r="B670" s="618" t="s">
        <v>3861</v>
      </c>
      <c r="C670" s="611" t="str">
        <f>HYPERLINK("https://en.uesp.net/wiki/Skyrim:Restore_Health", "Restore Health")</f>
        <v>Restore Health</v>
      </c>
      <c r="D670" s="616">
        <v>1.2</v>
      </c>
      <c r="E670" s="616"/>
      <c r="F670" s="616">
        <v>1.22</v>
      </c>
      <c r="G670" s="613">
        <v>6.0</v>
      </c>
      <c r="H670" s="614"/>
    </row>
    <row r="671">
      <c r="A671" s="476" t="s">
        <v>132</v>
      </c>
      <c r="B671" s="618" t="s">
        <v>3862</v>
      </c>
      <c r="C671" s="611" t="str">
        <f>HYPERLINK("https://en.uesp.net/wiki/Skyrim:Waterbreathing", "Waterbreathing")</f>
        <v>Waterbreathing</v>
      </c>
      <c r="D671" s="616"/>
      <c r="E671" s="616">
        <v>1.6</v>
      </c>
      <c r="F671" s="616">
        <v>1.67</v>
      </c>
      <c r="G671" s="613">
        <v>25.0</v>
      </c>
      <c r="H671" s="614"/>
    </row>
    <row r="672">
      <c r="A672" s="476" t="s">
        <v>132</v>
      </c>
      <c r="B672" s="618" t="s">
        <v>3862</v>
      </c>
      <c r="C672" s="611" t="str">
        <f>HYPERLINK("https://en.uesp.net/wiki/Skyrim:Damage_Health", "Damage Health")</f>
        <v>Damage Health</v>
      </c>
      <c r="D672" s="616">
        <v>1.5</v>
      </c>
      <c r="E672" s="616"/>
      <c r="F672" s="616">
        <v>1.56</v>
      </c>
      <c r="G672" s="613">
        <v>25.0</v>
      </c>
      <c r="H672" s="614"/>
    </row>
    <row r="673">
      <c r="A673" s="476" t="s">
        <v>132</v>
      </c>
      <c r="B673" s="618" t="s">
        <v>3862</v>
      </c>
      <c r="C673" s="611" t="str">
        <f>HYPERLINK("https://en.uesp.net/wiki/Skyrim:Lingering_Damage_Magicka", "Lingering Damage Magicka")</f>
        <v>Lingering Damage Magicka</v>
      </c>
      <c r="D673" s="616">
        <v>2.0</v>
      </c>
      <c r="E673" s="616"/>
      <c r="F673" s="616">
        <v>2.14</v>
      </c>
      <c r="G673" s="613">
        <v>25.0</v>
      </c>
      <c r="H673" s="614"/>
    </row>
    <row r="674">
      <c r="A674" s="476" t="s">
        <v>132</v>
      </c>
      <c r="B674" s="618" t="s">
        <v>3862</v>
      </c>
      <c r="C674" s="611" t="str">
        <f>HYPERLINK("https://en.uesp.net/wiki/Skyrim:Damage_Magicka_Regen", "Damage Magicka Regen")</f>
        <v>Damage Magicka Regen</v>
      </c>
      <c r="D674" s="616"/>
      <c r="E674" s="616">
        <v>2.0</v>
      </c>
      <c r="F674" s="616">
        <v>2.14</v>
      </c>
      <c r="G674" s="613">
        <v>25.0</v>
      </c>
      <c r="H674" s="614"/>
    </row>
    <row r="675">
      <c r="A675" s="476" t="s">
        <v>132</v>
      </c>
      <c r="B675" s="618" t="s">
        <v>3863</v>
      </c>
      <c r="C675" s="611" t="str">
        <f>HYPERLINK("https://en.uesp.net/wiki/Skyrim:Regenerate_Magicka", "Regenerate Magicka")</f>
        <v>Regenerate Magicka</v>
      </c>
      <c r="D675" s="616">
        <v>4.0</v>
      </c>
      <c r="E675" s="616">
        <v>0.2</v>
      </c>
      <c r="F675" s="616">
        <v>0.78</v>
      </c>
      <c r="G675" s="613">
        <v>20.0</v>
      </c>
      <c r="H675" s="614"/>
    </row>
    <row r="676">
      <c r="A676" s="476" t="s">
        <v>132</v>
      </c>
      <c r="B676" s="618" t="s">
        <v>3863</v>
      </c>
      <c r="C676" s="611" t="str">
        <f>HYPERLINK("https://en.uesp.net/wiki/Skyrim:Fortify_Alteration", "Fortify Alteration")</f>
        <v>Fortify Alteration</v>
      </c>
      <c r="D676" s="616">
        <v>1.25</v>
      </c>
      <c r="E676" s="616"/>
      <c r="F676" s="616">
        <v>1.27</v>
      </c>
      <c r="G676" s="613">
        <v>20.0</v>
      </c>
      <c r="H676" s="614"/>
    </row>
    <row r="677">
      <c r="A677" s="476" t="s">
        <v>132</v>
      </c>
      <c r="B677" s="618" t="s">
        <v>3863</v>
      </c>
      <c r="C677" s="611" t="str">
        <f>HYPERLINK("https://en.uesp.net/wiki/Skyrim:Invisibility", "Invisibility")</f>
        <v>Invisibility</v>
      </c>
      <c r="D677" s="616"/>
      <c r="E677" s="616">
        <v>0.25</v>
      </c>
      <c r="F677" s="616">
        <v>0.22</v>
      </c>
      <c r="G677" s="613">
        <v>20.0</v>
      </c>
      <c r="H677" s="614"/>
    </row>
    <row r="678">
      <c r="A678" s="476" t="s">
        <v>132</v>
      </c>
      <c r="B678" s="618" t="s">
        <v>3863</v>
      </c>
      <c r="C678" s="611" t="str">
        <f>HYPERLINK("https://en.uesp.net/wiki/Skyrim:Regenerate_Health", "Regenerate Health")</f>
        <v>Regenerate Health</v>
      </c>
      <c r="D678" s="616">
        <v>4.0</v>
      </c>
      <c r="E678" s="616">
        <v>0.03</v>
      </c>
      <c r="F678" s="616">
        <v>0.11</v>
      </c>
      <c r="G678" s="613">
        <v>20.0</v>
      </c>
      <c r="H678" s="614"/>
    </row>
    <row r="679">
      <c r="A679" s="476" t="s">
        <v>132</v>
      </c>
      <c r="B679" s="618" t="s">
        <v>3864</v>
      </c>
      <c r="C679" s="611" t="str">
        <f>HYPERLINK("https://en.uesp.net/wiki/Skyrim:Regenerate_Magicka", "Regenerate Magicka")</f>
        <v>Regenerate Magicka</v>
      </c>
      <c r="D679" s="616">
        <v>1.2</v>
      </c>
      <c r="E679" s="616"/>
      <c r="F679" s="616">
        <v>1.22</v>
      </c>
      <c r="G679" s="613">
        <v>20.0</v>
      </c>
      <c r="H679" s="614"/>
    </row>
    <row r="680">
      <c r="A680" s="476" t="s">
        <v>132</v>
      </c>
      <c r="B680" s="618" t="s">
        <v>3864</v>
      </c>
      <c r="C680" s="619" t="s">
        <v>3803</v>
      </c>
      <c r="D680" s="612"/>
      <c r="E680" s="612"/>
      <c r="F680" s="612"/>
      <c r="G680" s="613">
        <v>20.0</v>
      </c>
      <c r="H680" s="614"/>
    </row>
    <row r="681">
      <c r="A681" s="476" t="s">
        <v>132</v>
      </c>
      <c r="B681" s="618" t="s">
        <v>3864</v>
      </c>
      <c r="C681" s="611" t="str">
        <f>HYPERLINK("https://en.uesp.net/wiki/Skyrim:Cure_Disease", "Cure Disease")</f>
        <v>Cure Disease</v>
      </c>
      <c r="D681" s="612"/>
      <c r="E681" s="612"/>
      <c r="F681" s="616">
        <v>0.36</v>
      </c>
      <c r="G681" s="613">
        <v>20.0</v>
      </c>
      <c r="H681" s="614"/>
    </row>
    <row r="682">
      <c r="A682" s="476" t="s">
        <v>132</v>
      </c>
      <c r="B682" s="618" t="s">
        <v>3864</v>
      </c>
      <c r="C682" s="611" t="str">
        <f>HYPERLINK("https://en.uesp.net/wiki/Skyrim:Regenerate_Stamina", "Regenerate Stamina")</f>
        <v>Regenerate Stamina</v>
      </c>
      <c r="D682" s="616">
        <v>1.2</v>
      </c>
      <c r="E682" s="616"/>
      <c r="F682" s="616">
        <v>1.22</v>
      </c>
      <c r="G682" s="613">
        <v>20.0</v>
      </c>
      <c r="H682" s="614"/>
    </row>
    <row r="683">
      <c r="A683" s="476" t="s">
        <v>132</v>
      </c>
      <c r="B683" s="618" t="s">
        <v>3865</v>
      </c>
      <c r="C683" s="611" t="str">
        <f>HYPERLINK("https://en.uesp.net/wiki/Skyrim:Restore_Stamina", "Restore Stamina")</f>
        <v>Restore Stamina</v>
      </c>
      <c r="D683" s="616">
        <v>1.2</v>
      </c>
      <c r="E683" s="616"/>
      <c r="F683" s="616">
        <v>1.22</v>
      </c>
      <c r="G683" s="613">
        <v>15.0</v>
      </c>
      <c r="H683" s="614"/>
    </row>
    <row r="684">
      <c r="A684" s="476" t="s">
        <v>132</v>
      </c>
      <c r="B684" s="618" t="s">
        <v>3865</v>
      </c>
      <c r="C684" s="611" t="str">
        <f>HYPERLINK("https://en.uesp.net/wiki/Skyrim:Fortify_Stamina", "Fortify Stamina")</f>
        <v>Fortify Stamina</v>
      </c>
      <c r="D684" s="616">
        <v>1.25</v>
      </c>
      <c r="E684" s="616"/>
      <c r="F684" s="616">
        <v>1.27</v>
      </c>
      <c r="G684" s="613">
        <v>15.0</v>
      </c>
      <c r="H684" s="614"/>
    </row>
    <row r="685">
      <c r="A685" s="476" t="s">
        <v>132</v>
      </c>
      <c r="B685" s="618" t="s">
        <v>3865</v>
      </c>
      <c r="C685" s="611" t="str">
        <f>HYPERLINK("https://en.uesp.net/wiki/Skyrim:Paralysis", "Paralysis")</f>
        <v>Paralysis</v>
      </c>
      <c r="D685" s="616"/>
      <c r="E685" s="616">
        <v>2.0</v>
      </c>
      <c r="F685" s="616">
        <v>2.14</v>
      </c>
      <c r="G685" s="613">
        <v>15.0</v>
      </c>
      <c r="H685" s="614"/>
    </row>
    <row r="686">
      <c r="A686" s="476" t="s">
        <v>132</v>
      </c>
      <c r="B686" s="618" t="s">
        <v>3865</v>
      </c>
      <c r="C686" s="611" t="str">
        <f>HYPERLINK("https://en.uesp.net/wiki/Skyrim:Waterbreathing", "Waterbreathing")</f>
        <v>Waterbreathing</v>
      </c>
      <c r="D686" s="616"/>
      <c r="E686" s="616">
        <v>1.6</v>
      </c>
      <c r="F686" s="616">
        <v>1.67</v>
      </c>
      <c r="G686" s="613">
        <v>15.0</v>
      </c>
      <c r="H686" s="614"/>
    </row>
    <row r="687">
      <c r="A687" s="476" t="s">
        <v>132</v>
      </c>
      <c r="B687" s="618" t="s">
        <v>3866</v>
      </c>
      <c r="C687" s="611" t="str">
        <f>HYPERLINK("https://en.uesp.net/wiki/Skyrim:Resist_Fire", "Resist Fire")</f>
        <v>Resist Fire</v>
      </c>
      <c r="D687" s="616">
        <v>1.33</v>
      </c>
      <c r="E687" s="616"/>
      <c r="F687" s="616">
        <v>1.36</v>
      </c>
      <c r="G687" s="613">
        <v>30.0</v>
      </c>
      <c r="H687" s="614"/>
    </row>
    <row r="688">
      <c r="A688" s="476" t="s">
        <v>132</v>
      </c>
      <c r="B688" s="618" t="s">
        <v>3866</v>
      </c>
      <c r="C688" s="611" t="str">
        <f>HYPERLINK("https://en.uesp.net/wiki/Skyrim:Fear", "Fear")</f>
        <v>Fear</v>
      </c>
      <c r="D688" s="616">
        <v>2.0</v>
      </c>
      <c r="E688" s="616"/>
      <c r="F688" s="616">
        <v>2.14</v>
      </c>
      <c r="G688" s="613">
        <v>30.0</v>
      </c>
      <c r="H688" s="614"/>
    </row>
    <row r="689">
      <c r="A689" s="476" t="s">
        <v>132</v>
      </c>
      <c r="B689" s="618" t="s">
        <v>3866</v>
      </c>
      <c r="C689" s="611" t="str">
        <f>HYPERLINK("https://en.uesp.net/wiki/Skyrim:Fortify_Conjuration", "Fortify Conjuration")</f>
        <v>Fortify Conjuration</v>
      </c>
      <c r="D689" s="616">
        <v>1.2</v>
      </c>
      <c r="E689" s="616"/>
      <c r="F689" s="616">
        <v>1.22</v>
      </c>
      <c r="G689" s="613">
        <v>30.0</v>
      </c>
      <c r="H689" s="614"/>
    </row>
    <row r="690">
      <c r="A690" s="476" t="s">
        <v>132</v>
      </c>
      <c r="B690" s="618" t="s">
        <v>3866</v>
      </c>
      <c r="C690" s="611" t="str">
        <f>HYPERLINK("https://en.uesp.net/wiki/Skyrim:Fortify_Alteration", "Fortify Alteration")</f>
        <v>Fortify Alteration</v>
      </c>
      <c r="D690" s="616">
        <v>1.25</v>
      </c>
      <c r="E690" s="616"/>
      <c r="F690" s="616">
        <v>1.27</v>
      </c>
      <c r="G690" s="613">
        <v>30.0</v>
      </c>
      <c r="H690" s="614"/>
    </row>
    <row r="691">
      <c r="A691" s="476" t="s">
        <v>132</v>
      </c>
      <c r="B691" s="618" t="s">
        <v>3867</v>
      </c>
      <c r="C691" s="611" t="str">
        <f>HYPERLINK("https://en.uesp.net/wiki/Skyrim:Restore_Health", "Restore Health")</f>
        <v>Restore Health</v>
      </c>
      <c r="D691" s="612"/>
      <c r="E691" s="612"/>
      <c r="F691" s="612"/>
      <c r="G691" s="613">
        <v>15.0</v>
      </c>
      <c r="H691" s="613"/>
    </row>
    <row r="692">
      <c r="A692" s="476" t="s">
        <v>132</v>
      </c>
      <c r="B692" s="618" t="s">
        <v>3867</v>
      </c>
      <c r="C692" s="611" t="str">
        <f>HYPERLINK("https://en.uesp.net/wiki/Skyrim:Fortify_Lockpicking", "Fortify Lockpicking")</f>
        <v>Fortify Lockpicking</v>
      </c>
      <c r="D692" s="612"/>
      <c r="E692" s="612"/>
      <c r="F692" s="612"/>
      <c r="G692" s="613">
        <v>15.0</v>
      </c>
      <c r="H692" s="613"/>
    </row>
    <row r="693">
      <c r="A693" s="476" t="s">
        <v>132</v>
      </c>
      <c r="B693" s="618" t="s">
        <v>3867</v>
      </c>
      <c r="C693" s="611" t="str">
        <f>HYPERLINK("https://en.uesp.net/wiki/Skyrim:Fortify_Pickpocket", "Fortify Pickpocket")</f>
        <v>Fortify Pickpocket</v>
      </c>
      <c r="D693" s="612"/>
      <c r="E693" s="612"/>
      <c r="F693" s="612"/>
      <c r="G693" s="613">
        <v>15.0</v>
      </c>
      <c r="H693" s="613"/>
    </row>
    <row r="694">
      <c r="A694" s="476" t="s">
        <v>132</v>
      </c>
      <c r="B694" s="618" t="s">
        <v>3867</v>
      </c>
      <c r="C694" s="611" t="str">
        <f>HYPERLINK("https://en.uesp.net/wiki/Skyrim:Cure_Disease", "Cure Disease")</f>
        <v>Cure Disease</v>
      </c>
      <c r="D694" s="612"/>
      <c r="E694" s="612"/>
      <c r="F694" s="612"/>
      <c r="G694" s="613">
        <v>15.0</v>
      </c>
      <c r="H694" s="613"/>
    </row>
    <row r="695">
      <c r="A695" s="476" t="s">
        <v>132</v>
      </c>
      <c r="B695" s="618" t="s">
        <v>3868</v>
      </c>
      <c r="C695" s="611" t="str">
        <f>HYPERLINK("https://en.uesp.net/wiki/Skyrim:Damage_Health", "Damage Health")</f>
        <v>Damage Health</v>
      </c>
      <c r="D695" s="616">
        <v>2.0</v>
      </c>
      <c r="E695" s="616"/>
      <c r="F695" s="616">
        <v>2.14</v>
      </c>
      <c r="G695" s="613">
        <v>25.0</v>
      </c>
      <c r="H695" s="614"/>
    </row>
    <row r="696">
      <c r="A696" s="476" t="s">
        <v>132</v>
      </c>
      <c r="B696" s="618" t="s">
        <v>3868</v>
      </c>
      <c r="C696" s="611" t="str">
        <f>HYPERLINK("https://en.uesp.net/wiki/Skyrim:Damage_Magicka", "Damage Magicka")</f>
        <v>Damage Magicka</v>
      </c>
      <c r="D696" s="616">
        <v>1.33</v>
      </c>
      <c r="E696" s="616"/>
      <c r="F696" s="616">
        <v>1.36</v>
      </c>
      <c r="G696" s="613">
        <v>25.0</v>
      </c>
      <c r="H696" s="614"/>
    </row>
    <row r="697">
      <c r="A697" s="476" t="s">
        <v>132</v>
      </c>
      <c r="B697" s="618" t="s">
        <v>3868</v>
      </c>
      <c r="C697" s="611" t="str">
        <f>HYPERLINK("https://en.uesp.net/wiki/Skyrim:Weakness_to_Fire", "Weakness to Fire")</f>
        <v>Weakness to Fire</v>
      </c>
      <c r="D697" s="612"/>
      <c r="E697" s="612"/>
      <c r="F697" s="612"/>
      <c r="G697" s="613">
        <v>25.0</v>
      </c>
      <c r="H697" s="614"/>
    </row>
    <row r="698">
      <c r="A698" s="476" t="s">
        <v>132</v>
      </c>
      <c r="B698" s="618" t="s">
        <v>3868</v>
      </c>
      <c r="C698" s="611" t="str">
        <f>HYPERLINK("https://en.uesp.net/wiki/Skyrim:Restore_Stamina", "Restore Stamina")</f>
        <v>Restore Stamina</v>
      </c>
      <c r="D698" s="616">
        <v>0.4</v>
      </c>
      <c r="E698" s="616"/>
      <c r="F698" s="616">
        <v>0.36</v>
      </c>
      <c r="G698" s="613">
        <v>25.0</v>
      </c>
      <c r="H698" s="614"/>
    </row>
    <row r="699">
      <c r="A699" s="476" t="s">
        <v>132</v>
      </c>
      <c r="B699" s="618" t="s">
        <v>3869</v>
      </c>
      <c r="C699" s="611" t="str">
        <f>HYPERLINK("https://en.uesp.net/wiki/Skyrim:Restore_Magicka", "Restore Magicka")</f>
        <v>Restore Magicka</v>
      </c>
      <c r="D699" s="612"/>
      <c r="E699" s="612"/>
      <c r="F699" s="612"/>
      <c r="G699" s="613">
        <v>2.0</v>
      </c>
      <c r="H699" s="613">
        <v>3.0</v>
      </c>
    </row>
    <row r="700">
      <c r="A700" s="476" t="s">
        <v>132</v>
      </c>
      <c r="B700" s="618" t="s">
        <v>3869</v>
      </c>
      <c r="C700" s="611" t="str">
        <f>HYPERLINK("https://en.uesp.net/wiki/Skyrim:Fortify_Destruction", "Fortify Destruction")</f>
        <v>Fortify Destruction</v>
      </c>
      <c r="D700" s="612"/>
      <c r="E700" s="612"/>
      <c r="F700" s="612"/>
      <c r="G700" s="613">
        <v>2.0</v>
      </c>
      <c r="H700" s="613">
        <v>3.0</v>
      </c>
    </row>
    <row r="701">
      <c r="A701" s="476" t="s">
        <v>132</v>
      </c>
      <c r="B701" s="618" t="s">
        <v>3869</v>
      </c>
      <c r="C701" s="611" t="str">
        <f>HYPERLINK("https://en.uesp.net/wiki/Skyrim:Resist_Frost", "Resist Frost")</f>
        <v>Resist Frost</v>
      </c>
      <c r="D701" s="612"/>
      <c r="E701" s="612"/>
      <c r="F701" s="612"/>
      <c r="G701" s="613">
        <v>2.0</v>
      </c>
      <c r="H701" s="613">
        <v>3.0</v>
      </c>
    </row>
    <row r="702">
      <c r="A702" s="476" t="s">
        <v>132</v>
      </c>
      <c r="B702" s="618" t="s">
        <v>3869</v>
      </c>
      <c r="C702" s="611" t="str">
        <f>HYPERLINK("https://en.uesp.net/wiki/Skyrim:Fortify_Carry_Weight", "Fortify Carry Weight")</f>
        <v>Fortify Carry Weight</v>
      </c>
      <c r="D702" s="612"/>
      <c r="E702" s="612"/>
      <c r="F702" s="612"/>
      <c r="G702" s="613">
        <v>2.0</v>
      </c>
      <c r="H702" s="613">
        <v>3.0</v>
      </c>
    </row>
    <row r="703">
      <c r="A703" s="476" t="s">
        <v>132</v>
      </c>
      <c r="B703" s="618" t="s">
        <v>3870</v>
      </c>
      <c r="C703" s="611" t="str">
        <f>HYPERLINK("https://en.uesp.net/wiki/Skyrim:Weakness_to_Shock", "Weakness to Shock")</f>
        <v>Weakness to Shock</v>
      </c>
      <c r="D703" s="616">
        <v>1.33</v>
      </c>
      <c r="E703" s="616"/>
      <c r="F703" s="616">
        <v>1.36</v>
      </c>
      <c r="G703" s="613">
        <v>15.0</v>
      </c>
      <c r="H703" s="613"/>
    </row>
    <row r="704">
      <c r="A704" s="476" t="s">
        <v>132</v>
      </c>
      <c r="B704" s="618" t="s">
        <v>3870</v>
      </c>
      <c r="C704" s="611" t="str">
        <f>HYPERLINK("https://en.uesp.net/wiki/Skyrim:Fortify_One-handed", "Fortify One-handed")</f>
        <v>Fortify One-handed</v>
      </c>
      <c r="D704" s="616">
        <v>1.25</v>
      </c>
      <c r="E704" s="616"/>
      <c r="F704" s="616">
        <v>1.27</v>
      </c>
      <c r="G704" s="613">
        <v>15.0</v>
      </c>
      <c r="H704" s="613"/>
    </row>
    <row r="705">
      <c r="A705" s="476" t="s">
        <v>132</v>
      </c>
      <c r="B705" s="618" t="s">
        <v>3870</v>
      </c>
      <c r="C705" s="611" t="str">
        <f>HYPERLINK("https://en.uesp.net/wiki/Skyrim:Fortify_Magicka", "Fortify Magicka")</f>
        <v>Fortify Magicka</v>
      </c>
      <c r="D705" s="616">
        <v>1.25</v>
      </c>
      <c r="E705" s="616"/>
      <c r="F705" s="616">
        <v>1.27</v>
      </c>
      <c r="G705" s="613">
        <v>15.0</v>
      </c>
      <c r="H705" s="613"/>
    </row>
    <row r="706">
      <c r="A706" s="476" t="s">
        <v>132</v>
      </c>
      <c r="B706" s="618" t="s">
        <v>3870</v>
      </c>
      <c r="C706" s="611" t="str">
        <f>HYPERLINK("https://en.uesp.net/wiki/Skyrim:Fortify_Enchanting", "Fortify Enchanting")</f>
        <v>Fortify Enchanting</v>
      </c>
      <c r="D706" s="616">
        <v>2.0</v>
      </c>
      <c r="E706" s="616"/>
      <c r="F706" s="616">
        <v>2.14</v>
      </c>
      <c r="G706" s="613">
        <v>15.0</v>
      </c>
      <c r="H706" s="613"/>
    </row>
    <row r="707">
      <c r="A707" s="476" t="s">
        <v>132</v>
      </c>
      <c r="B707" s="618" t="s">
        <v>3871</v>
      </c>
      <c r="C707" s="611" t="str">
        <f>HYPERLINK("https://en.uesp.net/wiki/Skyrim:Lingering_Damage_Health", "Lingering Damage Health")</f>
        <v>Lingering Damage Health</v>
      </c>
      <c r="D707" s="612"/>
      <c r="E707" s="612"/>
      <c r="F707" s="612"/>
      <c r="G707" s="613">
        <v>20.0</v>
      </c>
      <c r="H707" s="613"/>
    </row>
    <row r="708">
      <c r="A708" s="476" t="s">
        <v>132</v>
      </c>
      <c r="B708" s="618" t="s">
        <v>3871</v>
      </c>
      <c r="C708" s="611" t="str">
        <f>HYPERLINK("https://en.uesp.net/wiki/Skyrim:Paralysis", "Paralysis")</f>
        <v>Paralysis</v>
      </c>
      <c r="D708" s="612"/>
      <c r="E708" s="612"/>
      <c r="F708" s="612"/>
      <c r="G708" s="613">
        <v>20.0</v>
      </c>
      <c r="H708" s="613"/>
    </row>
    <row r="709">
      <c r="A709" s="476" t="s">
        <v>132</v>
      </c>
      <c r="B709" s="618" t="s">
        <v>3871</v>
      </c>
      <c r="C709" s="611" t="str">
        <f>HYPERLINK("https://en.uesp.net/wiki/Skyrim:Regenerate_Magicka", "Regenerate Magicka")</f>
        <v>Regenerate Magicka</v>
      </c>
      <c r="D709" s="616">
        <v>0.6</v>
      </c>
      <c r="E709" s="616">
        <v>0.6</v>
      </c>
      <c r="F709" s="616">
        <v>0.32</v>
      </c>
      <c r="G709" s="613">
        <v>20.0</v>
      </c>
      <c r="H709" s="613"/>
    </row>
    <row r="710">
      <c r="A710" s="476" t="s">
        <v>132</v>
      </c>
      <c r="B710" s="618" t="s">
        <v>3871</v>
      </c>
      <c r="C710" s="611" t="str">
        <f>HYPERLINK("https://en.uesp.net/wiki/Skyrim:Regenerate_Health", "Regenerate Health")</f>
        <v>Regenerate Health</v>
      </c>
      <c r="D710" s="616">
        <v>0.6</v>
      </c>
      <c r="E710" s="616">
        <v>0.6</v>
      </c>
      <c r="F710" s="616">
        <v>0.32</v>
      </c>
      <c r="G710" s="613">
        <v>20.0</v>
      </c>
      <c r="H710" s="613"/>
    </row>
    <row r="711">
      <c r="A711" s="476" t="s">
        <v>132</v>
      </c>
      <c r="B711" s="618" t="s">
        <v>3872</v>
      </c>
      <c r="C711" s="611" t="str">
        <f>HYPERLINK("https://en.uesp.net/wiki/Skyrim:Restore_Health", "Restore Health")</f>
        <v>Restore Health</v>
      </c>
      <c r="D711" s="616">
        <v>1.2</v>
      </c>
      <c r="E711" s="616"/>
      <c r="F711" s="616">
        <v>1.22</v>
      </c>
      <c r="G711" s="613">
        <v>60.0</v>
      </c>
      <c r="H711" s="614"/>
    </row>
    <row r="712">
      <c r="A712" s="476" t="s">
        <v>132</v>
      </c>
      <c r="B712" s="618" t="s">
        <v>3872</v>
      </c>
      <c r="C712" s="611" t="str">
        <f>HYPERLINK("https://en.uesp.net/wiki/Skyrim:Fortify_Health", "Fortify Health")</f>
        <v>Fortify Health</v>
      </c>
      <c r="D712" s="616">
        <v>1.25</v>
      </c>
      <c r="E712" s="616">
        <v>5.0</v>
      </c>
      <c r="F712" s="616">
        <v>7.5</v>
      </c>
      <c r="G712" s="613">
        <v>60.0</v>
      </c>
      <c r="H712" s="614"/>
    </row>
    <row r="713">
      <c r="A713" s="476" t="s">
        <v>132</v>
      </c>
      <c r="B713" s="618" t="s">
        <v>3872</v>
      </c>
      <c r="C713" s="611" t="str">
        <f>HYPERLINK("https://en.uesp.net/wiki/Skyrim:Fortify_Stamina", "Fortify Stamina")</f>
        <v>Fortify Stamina</v>
      </c>
      <c r="D713" s="616">
        <v>1.25</v>
      </c>
      <c r="E713" s="616">
        <v>5.0</v>
      </c>
      <c r="F713" s="616">
        <v>7.5</v>
      </c>
      <c r="G713" s="613">
        <v>60.0</v>
      </c>
      <c r="H713" s="614"/>
    </row>
    <row r="714">
      <c r="A714" s="476" t="s">
        <v>132</v>
      </c>
      <c r="B714" s="618" t="s">
        <v>3872</v>
      </c>
      <c r="C714" s="611" t="str">
        <f>HYPERLINK("https://en.uesp.net/wiki/Skyrim:Regenerate_Health", "Regenerate Health")</f>
        <v>Regenerate Health</v>
      </c>
      <c r="D714" s="616">
        <v>1.2</v>
      </c>
      <c r="E714" s="616"/>
      <c r="F714" s="616">
        <v>1.22</v>
      </c>
      <c r="G714" s="613">
        <v>60.0</v>
      </c>
      <c r="H714" s="614"/>
    </row>
    <row r="715">
      <c r="A715" s="476" t="s">
        <v>132</v>
      </c>
      <c r="B715" s="618" t="s">
        <v>3873</v>
      </c>
      <c r="C715" s="619" t="s">
        <v>3812</v>
      </c>
      <c r="D715" s="612"/>
      <c r="E715" s="612"/>
      <c r="F715" s="612"/>
      <c r="G715" s="613">
        <v>9.0</v>
      </c>
      <c r="H715" s="614"/>
    </row>
    <row r="716">
      <c r="A716" s="476" t="s">
        <v>132</v>
      </c>
      <c r="B716" s="618" t="s">
        <v>3873</v>
      </c>
      <c r="C716" s="611" t="str">
        <f>HYPERLINK("https://en.uesp.net/wiki/Skyrim:Fortify_Magicka", "Fortify Magicka")</f>
        <v>Fortify Magicka</v>
      </c>
      <c r="D716" s="616">
        <v>1.25</v>
      </c>
      <c r="E716" s="616"/>
      <c r="F716" s="616">
        <v>1.27</v>
      </c>
      <c r="G716" s="613">
        <v>9.0</v>
      </c>
      <c r="H716" s="614"/>
    </row>
    <row r="717">
      <c r="A717" s="476" t="s">
        <v>132</v>
      </c>
      <c r="B717" s="618" t="s">
        <v>3873</v>
      </c>
      <c r="C717" s="611" t="str">
        <f>HYPERLINK("https://en.uesp.net/wiki/Skyrim:Fortify_Illusion", "Fortify Illusion")</f>
        <v>Fortify Illusion</v>
      </c>
      <c r="D717" s="616">
        <v>5.0</v>
      </c>
      <c r="E717" s="616"/>
      <c r="F717" s="616">
        <v>5.87</v>
      </c>
      <c r="G717" s="613">
        <v>9.0</v>
      </c>
      <c r="H717" s="614"/>
    </row>
    <row r="718">
      <c r="A718" s="476" t="s">
        <v>132</v>
      </c>
      <c r="B718" s="618" t="s">
        <v>3873</v>
      </c>
      <c r="C718" s="619" t="s">
        <v>3809</v>
      </c>
      <c r="D718" s="612"/>
      <c r="E718" s="612"/>
      <c r="F718" s="612"/>
      <c r="G718" s="613">
        <v>9.0</v>
      </c>
      <c r="H718" s="614"/>
    </row>
    <row r="719">
      <c r="A719" s="476" t="s">
        <v>132</v>
      </c>
      <c r="B719" s="618" t="s">
        <v>3874</v>
      </c>
      <c r="C719" s="611" t="str">
        <f>HYPERLINK("https://en.uesp.net/wiki/Skyrim:Resist_Poison", "Resist Poison")</f>
        <v>Resist Poison</v>
      </c>
      <c r="D719" s="612"/>
      <c r="E719" s="612"/>
      <c r="F719" s="612"/>
      <c r="G719" s="613">
        <v>1.0</v>
      </c>
      <c r="H719" s="613"/>
    </row>
    <row r="720">
      <c r="A720" s="476" t="s">
        <v>132</v>
      </c>
      <c r="B720" s="618" t="s">
        <v>3874</v>
      </c>
      <c r="C720" s="611" t="str">
        <f>HYPERLINK("https://en.uesp.net/wiki/Skyrim:Ravage_Magicka", "Ravage Magicka")</f>
        <v>Ravage Magicka</v>
      </c>
      <c r="D720" s="612"/>
      <c r="E720" s="612"/>
      <c r="F720" s="612"/>
      <c r="G720" s="613">
        <v>1.0</v>
      </c>
      <c r="H720" s="613"/>
    </row>
    <row r="721">
      <c r="A721" s="476" t="s">
        <v>132</v>
      </c>
      <c r="B721" s="618" t="s">
        <v>3874</v>
      </c>
      <c r="C721" s="611" t="str">
        <f>HYPERLINK("https://en.uesp.net/wiki/Skyrim:Fortify_Alteration", "Fortify Alteration")</f>
        <v>Fortify Alteration</v>
      </c>
      <c r="D721" s="612"/>
      <c r="E721" s="612"/>
      <c r="F721" s="612"/>
      <c r="G721" s="613">
        <v>1.0</v>
      </c>
      <c r="H721" s="613"/>
    </row>
    <row r="722">
      <c r="A722" s="476" t="s">
        <v>132</v>
      </c>
      <c r="B722" s="618" t="s">
        <v>3874</v>
      </c>
      <c r="C722" s="611" t="str">
        <f>HYPERLINK("https://en.uesp.net/wiki/Skyrim:Restore_Magicka", "Restore Magicka")</f>
        <v>Restore Magicka</v>
      </c>
      <c r="D722" s="612"/>
      <c r="E722" s="612"/>
      <c r="F722" s="612"/>
      <c r="G722" s="613">
        <v>1.0</v>
      </c>
      <c r="H722" s="613"/>
    </row>
    <row r="723">
      <c r="A723" s="476" t="s">
        <v>132</v>
      </c>
      <c r="B723" s="618" t="s">
        <v>3875</v>
      </c>
      <c r="C723" s="611" t="str">
        <f>HYPERLINK("https://en.uesp.net/wiki/Skyrim:Damage_Health", "Damage Health")</f>
        <v>Damage Health</v>
      </c>
      <c r="D723" s="616">
        <v>1.5</v>
      </c>
      <c r="E723" s="616"/>
      <c r="F723" s="616">
        <v>1.56</v>
      </c>
      <c r="G723" s="613">
        <v>20.0</v>
      </c>
      <c r="H723" s="613"/>
    </row>
    <row r="724">
      <c r="A724" s="476" t="s">
        <v>132</v>
      </c>
      <c r="B724" s="618" t="s">
        <v>3875</v>
      </c>
      <c r="C724" s="611" t="str">
        <f>HYPERLINK("https://en.uesp.net/wiki/Skyrim:Weakness_to_Poison", "Weakness to Poison")</f>
        <v>Weakness to Poison</v>
      </c>
      <c r="D724" s="616">
        <v>1.5</v>
      </c>
      <c r="E724" s="616"/>
      <c r="F724" s="616">
        <v>1.56</v>
      </c>
      <c r="G724" s="613">
        <v>20.0</v>
      </c>
      <c r="H724" s="613"/>
    </row>
    <row r="725">
      <c r="A725" s="476" t="s">
        <v>132</v>
      </c>
      <c r="B725" s="618" t="s">
        <v>3875</v>
      </c>
      <c r="C725" s="611" t="str">
        <f>HYPERLINK("https://en.uesp.net/wiki/Skyrim:Frenzy", "Frenzy")</f>
        <v>Frenzy</v>
      </c>
      <c r="D725" s="616"/>
      <c r="E725" s="616">
        <v>2.0</v>
      </c>
      <c r="F725" s="616">
        <v>2.14</v>
      </c>
      <c r="G725" s="613">
        <v>20.0</v>
      </c>
      <c r="H725" s="613"/>
    </row>
    <row r="726">
      <c r="A726" s="476" t="s">
        <v>132</v>
      </c>
      <c r="B726" s="618" t="s">
        <v>3875</v>
      </c>
      <c r="C726" s="611" t="str">
        <f>HYPERLINK("https://en.uesp.net/wiki/Skyrim:Regenerate_Stamina", "Regenerate Stamina")</f>
        <v>Regenerate Stamina</v>
      </c>
      <c r="D726" s="616">
        <v>1.2</v>
      </c>
      <c r="E726" s="616"/>
      <c r="F726" s="616">
        <v>1.22</v>
      </c>
      <c r="G726" s="613">
        <v>20.0</v>
      </c>
      <c r="H726" s="613"/>
    </row>
    <row r="727">
      <c r="A727" s="476" t="s">
        <v>132</v>
      </c>
      <c r="B727" s="618" t="s">
        <v>3876</v>
      </c>
      <c r="C727" s="611" t="str">
        <f>HYPERLINK("https://en.uesp.net/wiki/Skyrim:Restore_Magicka", "Restore Magicka")</f>
        <v>Restore Magicka</v>
      </c>
      <c r="D727" s="616">
        <v>1.2</v>
      </c>
      <c r="E727" s="616"/>
      <c r="F727" s="616">
        <v>1.22</v>
      </c>
      <c r="G727" s="613">
        <v>5.0</v>
      </c>
      <c r="H727" s="614"/>
    </row>
    <row r="728">
      <c r="A728" s="476" t="s">
        <v>132</v>
      </c>
      <c r="B728" s="618" t="s">
        <v>3876</v>
      </c>
      <c r="C728" s="619" t="s">
        <v>3809</v>
      </c>
      <c r="D728" s="612"/>
      <c r="E728" s="612"/>
      <c r="F728" s="612"/>
      <c r="G728" s="613">
        <v>5.0</v>
      </c>
      <c r="H728" s="614"/>
    </row>
    <row r="729">
      <c r="A729" s="476" t="s">
        <v>132</v>
      </c>
      <c r="B729" s="618" t="s">
        <v>3876</v>
      </c>
      <c r="C729" s="611" t="str">
        <f>HYPERLINK("https://en.uesp.net/wiki/Skyrim:Fortify_Light_Armor", "Fortify Light Armor")</f>
        <v>Fortify Light Armor</v>
      </c>
      <c r="D729" s="616">
        <v>1.5</v>
      </c>
      <c r="E729" s="616"/>
      <c r="F729" s="616">
        <v>1.56</v>
      </c>
      <c r="G729" s="613">
        <v>5.0</v>
      </c>
      <c r="H729" s="614"/>
    </row>
    <row r="730">
      <c r="A730" s="476" t="s">
        <v>132</v>
      </c>
      <c r="B730" s="618" t="s">
        <v>3876</v>
      </c>
      <c r="C730" s="611" t="str">
        <f>HYPERLINK("https://en.uesp.net/wiki/Skyrim:Cure_Disease", "Cure Disease")</f>
        <v>Cure Disease</v>
      </c>
      <c r="D730" s="612"/>
      <c r="E730" s="612"/>
      <c r="F730" s="616">
        <v>0.36</v>
      </c>
      <c r="G730" s="613">
        <v>5.0</v>
      </c>
      <c r="H730" s="614"/>
    </row>
    <row r="731">
      <c r="A731" s="476" t="s">
        <v>132</v>
      </c>
      <c r="B731" s="618" t="s">
        <v>3877</v>
      </c>
      <c r="C731" s="611" t="str">
        <f>HYPERLINK("https://en.uesp.net/wiki/Skyrim:Fortify_Lockpicking", "Fortify Lockpicking")</f>
        <v>Fortify Lockpicking</v>
      </c>
      <c r="D731" s="616">
        <v>1.5</v>
      </c>
      <c r="E731" s="616"/>
      <c r="F731" s="616">
        <v>1.56</v>
      </c>
      <c r="G731" s="613">
        <v>30.0</v>
      </c>
      <c r="H731" s="614"/>
    </row>
    <row r="732">
      <c r="A732" s="476" t="s">
        <v>132</v>
      </c>
      <c r="B732" s="618" t="s">
        <v>3877</v>
      </c>
      <c r="C732" s="619" t="s">
        <v>3812</v>
      </c>
      <c r="D732" s="612"/>
      <c r="E732" s="612"/>
      <c r="F732" s="612"/>
      <c r="G732" s="613">
        <v>30.0</v>
      </c>
      <c r="H732" s="614"/>
    </row>
    <row r="733">
      <c r="A733" s="476" t="s">
        <v>132</v>
      </c>
      <c r="B733" s="618" t="s">
        <v>3877</v>
      </c>
      <c r="C733" s="611" t="str">
        <f>HYPERLINK("https://en.uesp.net/wiki/Skyrim:Fortify_Carry_Weight", "Fortify Carry Weight")</f>
        <v>Fortify Carry Weight</v>
      </c>
      <c r="D733" s="616">
        <v>1.25</v>
      </c>
      <c r="E733" s="616"/>
      <c r="F733" s="616">
        <v>1.27</v>
      </c>
      <c r="G733" s="613">
        <v>30.0</v>
      </c>
      <c r="H733" s="614"/>
    </row>
    <row r="734">
      <c r="A734" s="476" t="s">
        <v>132</v>
      </c>
      <c r="B734" s="618" t="s">
        <v>3877</v>
      </c>
      <c r="C734" s="611" t="str">
        <f>HYPERLINK("https://en.uesp.net/wiki/Skyrim:Slow", "Slow")</f>
        <v>Slow</v>
      </c>
      <c r="D734" s="616"/>
      <c r="E734" s="616">
        <v>2.0</v>
      </c>
      <c r="F734" s="616">
        <v>2.14</v>
      </c>
      <c r="G734" s="613">
        <v>30.0</v>
      </c>
      <c r="H734" s="614"/>
    </row>
  </sheetData>
  <autoFilter ref="$A$2:$H$734">
    <sortState ref="A2:H734">
      <sortCondition descending="1" sortBy="cellColor" ref="B2:B734" dxfId="9"/>
    </sortState>
  </autoFilter>
  <conditionalFormatting sqref="A3:A734">
    <cfRule type="cellIs" dxfId="1" priority="1" operator="equal">
      <formula>"Y"</formula>
    </cfRule>
  </conditionalFormatting>
  <conditionalFormatting sqref="A3:A734">
    <cfRule type="cellIs" dxfId="4" priority="2" operator="equal">
      <formula>"N"</formula>
    </cfRule>
  </conditionalFormatting>
  <conditionalFormatting sqref="C1:C734">
    <cfRule type="containsText" dxfId="11" priority="3" operator="containsText" text="Fortify">
      <formula>NOT(ISERROR(SEARCH(("Fortify"),(C1))))</formula>
    </cfRule>
  </conditionalFormatting>
  <conditionalFormatting sqref="C1:C734">
    <cfRule type="containsText" dxfId="11" priority="4" operator="containsText" text="Resist">
      <formula>NOT(ISERROR(SEARCH(("Resist"),(C1))))</formula>
    </cfRule>
  </conditionalFormatting>
  <conditionalFormatting sqref="C1:C734">
    <cfRule type="containsText" dxfId="11" priority="5" operator="containsText" text="Regenerate">
      <formula>NOT(ISERROR(SEARCH(("Regenerate"),(C1))))</formula>
    </cfRule>
  </conditionalFormatting>
  <conditionalFormatting sqref="C1:C734">
    <cfRule type="containsText" dxfId="11" priority="6" operator="containsText" text="Restore">
      <formula>NOT(ISERROR(SEARCH(("Restore"),(C1))))</formula>
    </cfRule>
  </conditionalFormatting>
  <conditionalFormatting sqref="C1:C734">
    <cfRule type="containsText" dxfId="11" priority="7" operator="containsText" text="Cure">
      <formula>NOT(ISERROR(SEARCH(("Cure"),(C1))))</formula>
    </cfRule>
  </conditionalFormatting>
  <conditionalFormatting sqref="C1:C734">
    <cfRule type="cellIs" dxfId="11" priority="8" operator="equal">
      <formula>"Waterbreathing"</formula>
    </cfRule>
  </conditionalFormatting>
  <conditionalFormatting sqref="C1:C734">
    <cfRule type="cellIs" dxfId="11" priority="9" operator="equal">
      <formula>"Invisibility"</formula>
    </cfRule>
  </conditionalFormatting>
  <conditionalFormatting sqref="C1:C734">
    <cfRule type="cellIs" dxfId="11" priority="10" operator="equal">
      <formula>"Light (AE)"</formula>
    </cfRule>
  </conditionalFormatting>
  <conditionalFormatting sqref="C1:C734">
    <cfRule type="cellIs" dxfId="11" priority="11" operator="equal">
      <formula>"Spell Absorption (AE)"</formula>
    </cfRule>
  </conditionalFormatting>
  <conditionalFormatting sqref="C1:C734">
    <cfRule type="cellIs" dxfId="11" priority="12" operator="equal">
      <formula>"Night Eye (AE)"</formula>
    </cfRule>
  </conditionalFormatting>
  <conditionalFormatting sqref="C1:C734">
    <cfRule type="containsText" dxfId="12" priority="13" operator="containsText" text="Ravage">
      <formula>NOT(ISERROR(SEARCH(("Ravage"),(C1))))</formula>
    </cfRule>
  </conditionalFormatting>
  <conditionalFormatting sqref="C1:C734">
    <cfRule type="containsText" dxfId="12" priority="14" operator="containsText" text="Damage">
      <formula>NOT(ISERROR(SEARCH(("Damage"),(C1))))</formula>
    </cfRule>
  </conditionalFormatting>
  <conditionalFormatting sqref="C1:C734">
    <cfRule type="containsText" dxfId="12" priority="15" operator="containsText" text="Weakness">
      <formula>NOT(ISERROR(SEARCH(("Weakness"),(C1))))</formula>
    </cfRule>
  </conditionalFormatting>
  <conditionalFormatting sqref="C1:C734">
    <cfRule type="cellIs" dxfId="12" priority="16" operator="equal">
      <formula>"Paralysis"</formula>
    </cfRule>
  </conditionalFormatting>
  <conditionalFormatting sqref="C1:C734">
    <cfRule type="cellIs" dxfId="12" priority="17" operator="equal">
      <formula>"Slow"</formula>
    </cfRule>
  </conditionalFormatting>
  <conditionalFormatting sqref="C1:C734">
    <cfRule type="cellIs" dxfId="12" priority="18" operator="equal">
      <formula>"Frenzy"</formula>
    </cfRule>
  </conditionalFormatting>
  <conditionalFormatting sqref="C1:C734">
    <cfRule type="cellIs" dxfId="12" priority="19" operator="equal">
      <formula>"Fear"</formula>
    </cfRule>
  </conditionalFormatting>
  <conditionalFormatting sqref="D1:F734">
    <cfRule type="cellIs" dxfId="11" priority="20" operator="greaterThanOrEqual">
      <formula>1</formula>
    </cfRule>
  </conditionalFormatting>
  <conditionalFormatting sqref="D1:F734">
    <cfRule type="cellIs" dxfId="12" priority="21" operator="lessThan">
      <formula>1</formula>
    </cfRule>
  </conditionalFormatting>
  <conditionalFormatting sqref="G1:G734">
    <cfRule type="cellIs" dxfId="12" priority="22" operator="lessThan">
      <formula>15</formula>
    </cfRule>
  </conditionalFormatting>
  <conditionalFormatting sqref="G1:G734">
    <cfRule type="cellIs" dxfId="13" priority="23" operator="between">
      <formula>15</formula>
      <formula>39</formula>
    </cfRule>
  </conditionalFormatting>
  <conditionalFormatting sqref="G1:G734">
    <cfRule type="cellIs" dxfId="11" priority="24" operator="between">
      <formula>40</formula>
      <formula>99</formula>
    </cfRule>
  </conditionalFormatting>
  <conditionalFormatting sqref="H3:H734">
    <cfRule type="cellIs" dxfId="14" priority="25" operator="equal">
      <formula>5</formula>
    </cfRule>
  </conditionalFormatting>
  <conditionalFormatting sqref="H3:H734">
    <cfRule type="cellIs" dxfId="15" priority="26" operator="equal">
      <formula>4</formula>
    </cfRule>
  </conditionalFormatting>
  <conditionalFormatting sqref="H3:H734">
    <cfRule type="cellIs" dxfId="16" priority="27" operator="equal">
      <formula>3</formula>
    </cfRule>
  </conditionalFormatting>
  <conditionalFormatting sqref="H3:H734">
    <cfRule type="cellIs" dxfId="2" priority="28" operator="equal">
      <formula>2</formula>
    </cfRule>
  </conditionalFormatting>
  <conditionalFormatting sqref="G3:G734">
    <cfRule type="cellIs" dxfId="17" priority="29" operator="greaterThanOrEqual">
      <formula>100</formula>
    </cfRule>
  </conditionalFormatting>
  <hyperlinks>
    <hyperlink r:id="rId2" ref="B443"/>
    <hyperlink r:id="rId3" ref="B444"/>
    <hyperlink r:id="rId4" ref="C444"/>
    <hyperlink r:id="rId5" ref="B445"/>
    <hyperlink r:id="rId6" ref="B446"/>
    <hyperlink r:id="rId7" ref="B447"/>
    <hyperlink r:id="rId8" ref="B448"/>
    <hyperlink r:id="rId9" ref="B449"/>
    <hyperlink r:id="rId10" ref="B450"/>
    <hyperlink r:id="rId11" ref="C450"/>
    <hyperlink r:id="rId12" ref="B451"/>
    <hyperlink r:id="rId13" ref="B452"/>
    <hyperlink r:id="rId14" ref="B453"/>
    <hyperlink r:id="rId15" ref="B454"/>
    <hyperlink r:id="rId16" ref="B455"/>
    <hyperlink r:id="rId17" ref="B456"/>
    <hyperlink r:id="rId18" ref="B457"/>
    <hyperlink r:id="rId19" ref="B458"/>
    <hyperlink r:id="rId20" ref="B459"/>
    <hyperlink r:id="rId21" ref="B460"/>
    <hyperlink r:id="rId22" ref="B461"/>
    <hyperlink r:id="rId23" ref="B462"/>
    <hyperlink r:id="rId24" ref="B463"/>
    <hyperlink r:id="rId25" ref="B464"/>
    <hyperlink r:id="rId26" ref="B465"/>
    <hyperlink r:id="rId27" ref="C465"/>
    <hyperlink r:id="rId28" ref="B466"/>
    <hyperlink r:id="rId29" ref="B467"/>
    <hyperlink r:id="rId30" ref="C467"/>
    <hyperlink r:id="rId31" ref="B468"/>
    <hyperlink r:id="rId32" ref="B469"/>
    <hyperlink r:id="rId33" ref="B470"/>
    <hyperlink r:id="rId34" ref="C470"/>
    <hyperlink r:id="rId35" ref="B471"/>
    <hyperlink r:id="rId36" ref="B472"/>
    <hyperlink r:id="rId37" ref="B473"/>
    <hyperlink r:id="rId38" ref="B474"/>
    <hyperlink r:id="rId39" ref="B475"/>
    <hyperlink r:id="rId40" ref="B476"/>
    <hyperlink r:id="rId41" ref="B477"/>
    <hyperlink r:id="rId42" ref="C477"/>
    <hyperlink r:id="rId43" ref="B478"/>
    <hyperlink r:id="rId44" ref="B479"/>
    <hyperlink r:id="rId45" ref="B480"/>
    <hyperlink r:id="rId46" ref="B481"/>
    <hyperlink r:id="rId47" ref="B482"/>
    <hyperlink r:id="rId48" ref="B483"/>
    <hyperlink r:id="rId49" ref="B484"/>
    <hyperlink r:id="rId50" ref="B485"/>
    <hyperlink r:id="rId51" ref="B486"/>
    <hyperlink r:id="rId52" ref="B487"/>
    <hyperlink r:id="rId53" ref="B488"/>
    <hyperlink r:id="rId54" ref="B489"/>
    <hyperlink r:id="rId55" ref="B490"/>
    <hyperlink r:id="rId56" ref="B491"/>
    <hyperlink r:id="rId57" ref="B492"/>
    <hyperlink r:id="rId58" ref="B493"/>
    <hyperlink r:id="rId59" ref="B494"/>
    <hyperlink r:id="rId60" ref="B495"/>
    <hyperlink r:id="rId61" ref="B496"/>
    <hyperlink r:id="rId62" ref="B497"/>
    <hyperlink r:id="rId63" ref="B498"/>
    <hyperlink r:id="rId64" ref="B499"/>
    <hyperlink r:id="rId65" ref="B500"/>
    <hyperlink r:id="rId66" ref="B501"/>
    <hyperlink r:id="rId67" ref="B502"/>
    <hyperlink r:id="rId68" ref="B503"/>
    <hyperlink r:id="rId69" ref="B504"/>
    <hyperlink r:id="rId70" ref="C504"/>
    <hyperlink r:id="rId71" ref="B505"/>
    <hyperlink r:id="rId72" ref="B506"/>
    <hyperlink r:id="rId73" ref="B507"/>
    <hyperlink r:id="rId74" ref="B508"/>
    <hyperlink r:id="rId75" ref="B509"/>
    <hyperlink r:id="rId76" ref="B510"/>
    <hyperlink r:id="rId77" ref="B511"/>
    <hyperlink r:id="rId78" ref="B512"/>
    <hyperlink r:id="rId79" ref="B513"/>
    <hyperlink r:id="rId80" ref="B514"/>
    <hyperlink r:id="rId81" ref="B515"/>
    <hyperlink r:id="rId82" ref="B516"/>
    <hyperlink r:id="rId83" ref="B517"/>
    <hyperlink r:id="rId84" ref="C517"/>
    <hyperlink r:id="rId85" ref="B518"/>
    <hyperlink r:id="rId86" ref="B519"/>
    <hyperlink r:id="rId87" ref="B520"/>
    <hyperlink r:id="rId88" ref="B521"/>
    <hyperlink r:id="rId89" ref="B522"/>
    <hyperlink r:id="rId90" ref="C522"/>
    <hyperlink r:id="rId91" ref="B523"/>
    <hyperlink r:id="rId92" ref="B524"/>
    <hyperlink r:id="rId93" ref="C524"/>
    <hyperlink r:id="rId94" ref="B525"/>
    <hyperlink r:id="rId95" ref="B526"/>
    <hyperlink r:id="rId96" ref="B527"/>
    <hyperlink r:id="rId97" ref="B528"/>
    <hyperlink r:id="rId98" ref="B529"/>
    <hyperlink r:id="rId99" ref="B530"/>
    <hyperlink r:id="rId100" ref="B531"/>
    <hyperlink r:id="rId101" ref="B532"/>
    <hyperlink r:id="rId102" ref="B533"/>
    <hyperlink r:id="rId103" ref="B534"/>
    <hyperlink r:id="rId104" ref="B535"/>
    <hyperlink r:id="rId105" ref="B536"/>
    <hyperlink r:id="rId106" ref="B537"/>
    <hyperlink r:id="rId107" ref="C537"/>
    <hyperlink r:id="rId108" ref="B538"/>
    <hyperlink r:id="rId109" ref="B539"/>
    <hyperlink r:id="rId110" ref="B540"/>
    <hyperlink r:id="rId111" ref="B541"/>
    <hyperlink r:id="rId112" ref="B542"/>
    <hyperlink r:id="rId113" ref="B543"/>
    <hyperlink r:id="rId114" ref="B544"/>
    <hyperlink r:id="rId115" ref="B545"/>
    <hyperlink r:id="rId116" ref="B546"/>
    <hyperlink r:id="rId117" ref="B547"/>
    <hyperlink r:id="rId118" ref="B548"/>
    <hyperlink r:id="rId119" ref="B549"/>
    <hyperlink r:id="rId120" ref="B550"/>
    <hyperlink r:id="rId121" ref="C550"/>
    <hyperlink r:id="rId122" ref="B551"/>
    <hyperlink r:id="rId123" ref="B552"/>
    <hyperlink r:id="rId124" ref="B553"/>
    <hyperlink r:id="rId125" ref="B554"/>
    <hyperlink r:id="rId126" ref="B555"/>
    <hyperlink r:id="rId127" ref="B556"/>
    <hyperlink r:id="rId128" ref="B557"/>
    <hyperlink r:id="rId129" ref="B558"/>
    <hyperlink r:id="rId130" ref="B559"/>
    <hyperlink r:id="rId131" ref="B560"/>
    <hyperlink r:id="rId132" ref="B561"/>
    <hyperlink r:id="rId133" ref="B562"/>
    <hyperlink r:id="rId134" ref="B563"/>
    <hyperlink r:id="rId135" ref="B564"/>
    <hyperlink r:id="rId136" ref="B565"/>
    <hyperlink r:id="rId137" ref="B566"/>
    <hyperlink r:id="rId138" ref="B567"/>
    <hyperlink r:id="rId139" ref="B568"/>
    <hyperlink r:id="rId140" ref="B569"/>
    <hyperlink r:id="rId141" ref="B570"/>
    <hyperlink r:id="rId142" ref="B571"/>
    <hyperlink r:id="rId143" ref="B572"/>
    <hyperlink r:id="rId144" ref="B573"/>
    <hyperlink r:id="rId145" ref="B574"/>
    <hyperlink r:id="rId146" ref="B575"/>
    <hyperlink r:id="rId147" ref="B576"/>
    <hyperlink r:id="rId148" ref="B577"/>
    <hyperlink r:id="rId149" ref="B578"/>
    <hyperlink r:id="rId150" ref="B579"/>
    <hyperlink r:id="rId151" ref="B580"/>
    <hyperlink r:id="rId152" ref="B581"/>
    <hyperlink r:id="rId153" ref="C581"/>
    <hyperlink r:id="rId154" ref="B582"/>
    <hyperlink r:id="rId155" ref="B583"/>
    <hyperlink r:id="rId156" ref="B584"/>
    <hyperlink r:id="rId157" ref="B585"/>
    <hyperlink r:id="rId158" ref="B586"/>
    <hyperlink r:id="rId159" ref="C586"/>
    <hyperlink r:id="rId160" ref="B587"/>
    <hyperlink r:id="rId161" ref="B588"/>
    <hyperlink r:id="rId162" ref="B589"/>
    <hyperlink r:id="rId163" ref="B590"/>
    <hyperlink r:id="rId164" ref="B591"/>
    <hyperlink r:id="rId165" ref="B592"/>
    <hyperlink r:id="rId166" ref="B593"/>
    <hyperlink r:id="rId167" ref="B594"/>
    <hyperlink r:id="rId168" ref="C594"/>
    <hyperlink r:id="rId169" ref="B595"/>
    <hyperlink r:id="rId170" ref="B596"/>
    <hyperlink r:id="rId171" ref="B597"/>
    <hyperlink r:id="rId172" ref="B598"/>
    <hyperlink r:id="rId173" ref="B599"/>
    <hyperlink r:id="rId174" ref="B600"/>
    <hyperlink r:id="rId175" ref="B601"/>
    <hyperlink r:id="rId176" ref="B602"/>
    <hyperlink r:id="rId177" ref="B603"/>
    <hyperlink r:id="rId178" ref="B604"/>
    <hyperlink r:id="rId179" ref="C604"/>
    <hyperlink r:id="rId180" ref="B605"/>
    <hyperlink r:id="rId181" ref="B606"/>
    <hyperlink r:id="rId182" ref="B607"/>
    <hyperlink r:id="rId183" ref="B608"/>
    <hyperlink r:id="rId184" ref="B609"/>
    <hyperlink r:id="rId185" ref="B610"/>
    <hyperlink r:id="rId186" ref="B611"/>
    <hyperlink r:id="rId187" ref="B612"/>
    <hyperlink r:id="rId188" ref="B613"/>
    <hyperlink r:id="rId189" ref="B614"/>
    <hyperlink r:id="rId190" ref="C614"/>
    <hyperlink r:id="rId191" ref="B615"/>
    <hyperlink r:id="rId192" ref="B616"/>
    <hyperlink r:id="rId193" ref="B617"/>
    <hyperlink r:id="rId194" ref="B618"/>
    <hyperlink r:id="rId195" ref="B619"/>
    <hyperlink r:id="rId196" ref="B620"/>
    <hyperlink r:id="rId197" ref="B621"/>
    <hyperlink r:id="rId198" ref="B622"/>
    <hyperlink r:id="rId199" ref="B623"/>
    <hyperlink r:id="rId200" ref="B624"/>
    <hyperlink r:id="rId201" ref="B625"/>
    <hyperlink r:id="rId202" ref="B626"/>
    <hyperlink r:id="rId203" ref="B627"/>
    <hyperlink r:id="rId204" ref="B628"/>
    <hyperlink r:id="rId205" ref="B629"/>
    <hyperlink r:id="rId206" ref="B630"/>
    <hyperlink r:id="rId207" ref="B631"/>
    <hyperlink r:id="rId208" ref="B632"/>
    <hyperlink r:id="rId209" ref="B633"/>
    <hyperlink r:id="rId210" ref="B634"/>
    <hyperlink r:id="rId211" ref="B635"/>
    <hyperlink r:id="rId212" ref="B636"/>
    <hyperlink r:id="rId213" ref="B637"/>
    <hyperlink r:id="rId214" ref="B638"/>
    <hyperlink r:id="rId215" ref="B639"/>
    <hyperlink r:id="rId216" ref="B640"/>
    <hyperlink r:id="rId217" ref="B641"/>
    <hyperlink r:id="rId218" ref="B642"/>
    <hyperlink r:id="rId219" ref="B643"/>
    <hyperlink r:id="rId220" ref="B644"/>
    <hyperlink r:id="rId221" ref="B645"/>
    <hyperlink r:id="rId222" ref="B646"/>
    <hyperlink r:id="rId223" ref="B647"/>
    <hyperlink r:id="rId224" ref="B648"/>
    <hyperlink r:id="rId225" ref="B649"/>
    <hyperlink r:id="rId226" ref="B650"/>
    <hyperlink r:id="rId227" ref="B651"/>
    <hyperlink r:id="rId228" ref="B652"/>
    <hyperlink r:id="rId229" ref="B653"/>
    <hyperlink r:id="rId230" ref="B654"/>
    <hyperlink r:id="rId231" ref="B655"/>
    <hyperlink r:id="rId232" ref="B656"/>
    <hyperlink r:id="rId233" ref="C656"/>
    <hyperlink r:id="rId234" ref="B657"/>
    <hyperlink r:id="rId235" ref="B658"/>
    <hyperlink r:id="rId236" ref="B659"/>
    <hyperlink r:id="rId237" ref="B660"/>
    <hyperlink r:id="rId238" ref="B661"/>
    <hyperlink r:id="rId239" ref="B662"/>
    <hyperlink r:id="rId240" ref="C662"/>
    <hyperlink r:id="rId241" ref="B663"/>
    <hyperlink r:id="rId242" ref="B664"/>
    <hyperlink r:id="rId243" ref="B665"/>
    <hyperlink r:id="rId244" ref="B666"/>
    <hyperlink r:id="rId245" ref="B667"/>
    <hyperlink r:id="rId246" ref="B668"/>
    <hyperlink r:id="rId247" ref="B669"/>
    <hyperlink r:id="rId248" ref="B670"/>
    <hyperlink r:id="rId249" ref="B671"/>
    <hyperlink r:id="rId250" ref="B672"/>
    <hyperlink r:id="rId251" ref="B673"/>
    <hyperlink r:id="rId252" ref="B674"/>
    <hyperlink r:id="rId253" ref="B675"/>
    <hyperlink r:id="rId254" ref="B676"/>
    <hyperlink r:id="rId255" ref="B677"/>
    <hyperlink r:id="rId256" ref="B678"/>
    <hyperlink r:id="rId257" ref="B679"/>
    <hyperlink r:id="rId258" ref="B680"/>
    <hyperlink r:id="rId259" ref="C680"/>
    <hyperlink r:id="rId260" ref="B681"/>
    <hyperlink r:id="rId261" ref="B682"/>
    <hyperlink r:id="rId262" ref="B683"/>
    <hyperlink r:id="rId263" ref="B684"/>
    <hyperlink r:id="rId264" ref="B685"/>
    <hyperlink r:id="rId265" ref="B686"/>
    <hyperlink r:id="rId266" ref="B687"/>
    <hyperlink r:id="rId267" ref="B688"/>
    <hyperlink r:id="rId268" ref="B689"/>
    <hyperlink r:id="rId269" ref="B690"/>
    <hyperlink r:id="rId270" ref="B691"/>
    <hyperlink r:id="rId271" ref="B692"/>
    <hyperlink r:id="rId272" ref="B693"/>
    <hyperlink r:id="rId273" ref="B694"/>
    <hyperlink r:id="rId274" ref="B695"/>
    <hyperlink r:id="rId275" ref="B696"/>
    <hyperlink r:id="rId276" ref="B697"/>
    <hyperlink r:id="rId277" ref="B698"/>
    <hyperlink r:id="rId278" ref="B699"/>
    <hyperlink r:id="rId279" ref="B700"/>
    <hyperlink r:id="rId280" ref="B701"/>
    <hyperlink r:id="rId281" ref="B702"/>
    <hyperlink r:id="rId282" ref="B703"/>
    <hyperlink r:id="rId283" ref="B704"/>
    <hyperlink r:id="rId284" ref="B705"/>
    <hyperlink r:id="rId285" ref="B706"/>
    <hyperlink r:id="rId286" ref="B707"/>
    <hyperlink r:id="rId287" ref="B708"/>
    <hyperlink r:id="rId288" ref="B709"/>
    <hyperlink r:id="rId289" ref="B710"/>
    <hyperlink r:id="rId290" ref="B711"/>
    <hyperlink r:id="rId291" ref="B712"/>
    <hyperlink r:id="rId292" ref="B713"/>
    <hyperlink r:id="rId293" ref="B714"/>
    <hyperlink r:id="rId294" ref="B715"/>
    <hyperlink r:id="rId295" ref="C715"/>
    <hyperlink r:id="rId296" ref="B716"/>
    <hyperlink r:id="rId297" ref="B717"/>
    <hyperlink r:id="rId298" ref="B718"/>
    <hyperlink r:id="rId299" ref="C718"/>
    <hyperlink r:id="rId300" ref="B719"/>
    <hyperlink r:id="rId301" ref="B720"/>
    <hyperlink r:id="rId302" ref="B721"/>
    <hyperlink r:id="rId303" ref="B722"/>
    <hyperlink r:id="rId304" ref="B723"/>
    <hyperlink r:id="rId305" ref="B724"/>
    <hyperlink r:id="rId306" ref="B725"/>
    <hyperlink r:id="rId307" ref="B726"/>
    <hyperlink r:id="rId308" ref="B727"/>
    <hyperlink r:id="rId309" ref="B728"/>
    <hyperlink r:id="rId310" ref="C728"/>
    <hyperlink r:id="rId311" ref="B729"/>
    <hyperlink r:id="rId312" ref="B730"/>
    <hyperlink r:id="rId313" ref="B731"/>
    <hyperlink r:id="rId314" ref="B732"/>
    <hyperlink r:id="rId315" ref="C732"/>
    <hyperlink r:id="rId316" ref="B733"/>
    <hyperlink r:id="rId317" ref="B734"/>
  </hyperlinks>
  <drawing r:id="rId318"/>
  <legacyDrawing r:id="rId31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86"/>
    <col customWidth="1" min="2" max="2" width="11.57"/>
    <col customWidth="1" min="3" max="3" width="19.29"/>
    <col customWidth="1" min="4" max="4" width="20.43"/>
    <col customWidth="1" min="5" max="5" width="11.43"/>
    <col customWidth="1" min="6" max="6" width="11.57"/>
    <col customWidth="1" min="7" max="7" width="19.57"/>
    <col customWidth="1" min="8" max="8" width="19.14"/>
    <col customWidth="1" min="9" max="9" width="8.86"/>
    <col customWidth="1" min="10" max="10" width="11.57"/>
    <col customWidth="1" min="11" max="11" width="21.86"/>
    <col customWidth="1" min="12" max="12" width="20.57"/>
    <col customWidth="1" hidden="1" min="13" max="13" width="25.14"/>
  </cols>
  <sheetData>
    <row r="1">
      <c r="A1" s="620" t="s">
        <v>3878</v>
      </c>
      <c r="B1" s="621" t="s">
        <v>1511</v>
      </c>
      <c r="C1" s="622" t="s">
        <v>3879</v>
      </c>
      <c r="D1" s="622" t="s">
        <v>3880</v>
      </c>
      <c r="E1" s="622" t="s">
        <v>3878</v>
      </c>
      <c r="F1" s="621" t="s">
        <v>1511</v>
      </c>
      <c r="G1" s="622" t="s">
        <v>3879</v>
      </c>
      <c r="H1" s="622" t="s">
        <v>3880</v>
      </c>
      <c r="I1" s="622" t="s">
        <v>3878</v>
      </c>
      <c r="J1" s="621" t="s">
        <v>1511</v>
      </c>
      <c r="K1" s="622" t="s">
        <v>3879</v>
      </c>
      <c r="L1" s="622" t="s">
        <v>3880</v>
      </c>
      <c r="M1" s="623"/>
    </row>
    <row r="2" ht="30.0" customHeight="1">
      <c r="A2" s="438" t="s">
        <v>3881</v>
      </c>
      <c r="B2" s="38"/>
      <c r="C2" s="38"/>
      <c r="D2" s="38"/>
      <c r="E2" s="38"/>
      <c r="F2" s="38"/>
      <c r="G2" s="38"/>
      <c r="H2" s="38"/>
      <c r="I2" s="38"/>
      <c r="J2" s="38"/>
      <c r="K2" s="38"/>
      <c r="L2" s="38"/>
      <c r="M2" s="624" t="s">
        <v>2218</v>
      </c>
    </row>
    <row r="3">
      <c r="A3" s="625" t="str">
        <f>HYPERLINK("https://en.uesp.net/wiki/Skyrim:Alchemy","Alchemy")</f>
        <v>Alchemy</v>
      </c>
      <c r="B3" s="38"/>
      <c r="C3" s="38"/>
      <c r="D3" s="39"/>
      <c r="E3" s="625" t="str">
        <f>HYPERLINK("https://en.uesp.net/wiki/Skyrim:Light_Armor","Light Armor")</f>
        <v>Light Armor</v>
      </c>
      <c r="F3" s="38"/>
      <c r="G3" s="38"/>
      <c r="H3" s="39"/>
      <c r="I3" s="625" t="str">
        <f>HYPERLINK("https://en.uesp.net/wiki/Skyrim:Lockpicking","Lockpicking")</f>
        <v>Lockpicking</v>
      </c>
      <c r="J3" s="38"/>
      <c r="K3" s="38"/>
      <c r="L3" s="39"/>
      <c r="M3" s="366" t="s">
        <v>2220</v>
      </c>
    </row>
    <row r="4">
      <c r="A4" s="626" t="s">
        <v>3878</v>
      </c>
      <c r="B4" s="627" t="s">
        <v>1511</v>
      </c>
      <c r="C4" s="626" t="s">
        <v>3879</v>
      </c>
      <c r="D4" s="626" t="s">
        <v>3880</v>
      </c>
      <c r="E4" s="626" t="s">
        <v>3878</v>
      </c>
      <c r="F4" s="627" t="s">
        <v>1511</v>
      </c>
      <c r="G4" s="626" t="s">
        <v>3879</v>
      </c>
      <c r="H4" s="626" t="s">
        <v>3880</v>
      </c>
      <c r="I4" s="626" t="s">
        <v>3878</v>
      </c>
      <c r="J4" s="627" t="s">
        <v>1511</v>
      </c>
      <c r="K4" s="626" t="s">
        <v>3879</v>
      </c>
      <c r="L4" s="626" t="s">
        <v>3882</v>
      </c>
      <c r="M4" s="367">
        <f>countif(B6:J132,"Y")/(countif(B6:J132,"Y") + countif(B6:J132,"N"))</f>
        <v>0</v>
      </c>
    </row>
    <row r="5">
      <c r="A5" s="41" t="s">
        <v>1524</v>
      </c>
      <c r="B5" s="628">
        <f>countif(B6:B20,"Y")/15</f>
        <v>0</v>
      </c>
      <c r="C5" s="41" t="s">
        <v>1524</v>
      </c>
      <c r="D5" s="41" t="s">
        <v>1524</v>
      </c>
      <c r="E5" s="629" t="s">
        <v>1524</v>
      </c>
      <c r="F5" s="630">
        <f>countif(F6:F15,"Y")/10</f>
        <v>0</v>
      </c>
      <c r="G5" s="631" t="s">
        <v>1524</v>
      </c>
      <c r="H5" s="631" t="s">
        <v>1524</v>
      </c>
      <c r="I5" s="629" t="s">
        <v>1524</v>
      </c>
      <c r="J5" s="630">
        <f>countif(J6:J16,"Y")/11</f>
        <v>0</v>
      </c>
      <c r="K5" s="631" t="s">
        <v>1524</v>
      </c>
      <c r="L5" s="631" t="s">
        <v>1524</v>
      </c>
      <c r="M5" s="632"/>
    </row>
    <row r="6">
      <c r="A6" s="633">
        <v>0.0</v>
      </c>
      <c r="B6" s="63" t="s">
        <v>132</v>
      </c>
      <c r="C6" s="634" t="s">
        <v>3883</v>
      </c>
      <c r="D6" s="408" t="s">
        <v>1524</v>
      </c>
      <c r="E6" s="633">
        <v>0.0</v>
      </c>
      <c r="F6" s="63" t="s">
        <v>132</v>
      </c>
      <c r="G6" s="634" t="s">
        <v>3884</v>
      </c>
      <c r="H6" s="408" t="s">
        <v>1524</v>
      </c>
      <c r="I6" s="633">
        <v>0.0</v>
      </c>
      <c r="J6" s="63" t="s">
        <v>132</v>
      </c>
      <c r="K6" s="634" t="s">
        <v>3885</v>
      </c>
      <c r="L6" s="408" t="s">
        <v>1524</v>
      </c>
      <c r="M6" s="635"/>
    </row>
    <row r="7">
      <c r="A7" s="633">
        <v>20.0</v>
      </c>
      <c r="B7" s="63" t="s">
        <v>132</v>
      </c>
      <c r="C7" s="634" t="s">
        <v>3886</v>
      </c>
      <c r="D7" s="634" t="s">
        <v>3883</v>
      </c>
      <c r="E7" s="633">
        <v>20.0</v>
      </c>
      <c r="F7" s="63" t="s">
        <v>132</v>
      </c>
      <c r="G7" s="634" t="s">
        <v>3887</v>
      </c>
      <c r="H7" s="634" t="s">
        <v>3888</v>
      </c>
      <c r="I7" s="633">
        <v>25.0</v>
      </c>
      <c r="J7" s="63" t="s">
        <v>132</v>
      </c>
      <c r="K7" s="634" t="s">
        <v>3889</v>
      </c>
      <c r="L7" s="634" t="s">
        <v>3885</v>
      </c>
      <c r="M7" s="636"/>
    </row>
    <row r="8">
      <c r="A8" s="633">
        <v>20.0</v>
      </c>
      <c r="B8" s="63" t="s">
        <v>132</v>
      </c>
      <c r="C8" s="634" t="s">
        <v>3890</v>
      </c>
      <c r="D8" s="634" t="s">
        <v>3883</v>
      </c>
      <c r="E8" s="633">
        <v>30.0</v>
      </c>
      <c r="F8" s="63" t="s">
        <v>132</v>
      </c>
      <c r="G8" s="634" t="s">
        <v>3891</v>
      </c>
      <c r="H8" s="634" t="s">
        <v>3892</v>
      </c>
      <c r="I8" s="633">
        <v>40.0</v>
      </c>
      <c r="J8" s="63" t="s">
        <v>132</v>
      </c>
      <c r="K8" s="634" t="s">
        <v>3893</v>
      </c>
      <c r="L8" s="634" t="s">
        <v>3889</v>
      </c>
      <c r="M8" s="636"/>
    </row>
    <row r="9">
      <c r="A9" s="633">
        <v>30.0</v>
      </c>
      <c r="B9" s="63" t="s">
        <v>132</v>
      </c>
      <c r="C9" s="634" t="s">
        <v>3894</v>
      </c>
      <c r="D9" s="634" t="s">
        <v>3890</v>
      </c>
      <c r="E9" s="633">
        <v>40.0</v>
      </c>
      <c r="F9" s="63" t="s">
        <v>132</v>
      </c>
      <c r="G9" s="634" t="s">
        <v>3895</v>
      </c>
      <c r="H9" s="634" t="s">
        <v>3896</v>
      </c>
      <c r="I9" s="633">
        <v>50.0</v>
      </c>
      <c r="J9" s="63" t="s">
        <v>132</v>
      </c>
      <c r="K9" s="634" t="s">
        <v>3897</v>
      </c>
      <c r="L9" s="634" t="s">
        <v>3893</v>
      </c>
      <c r="M9" s="636"/>
    </row>
    <row r="10">
      <c r="A10" s="633">
        <v>30.0</v>
      </c>
      <c r="B10" s="63" t="s">
        <v>132</v>
      </c>
      <c r="C10" s="634" t="s">
        <v>3898</v>
      </c>
      <c r="D10" s="634" t="s">
        <v>3890</v>
      </c>
      <c r="E10" s="633">
        <v>50.0</v>
      </c>
      <c r="F10" s="63" t="s">
        <v>132</v>
      </c>
      <c r="G10" s="634" t="s">
        <v>3899</v>
      </c>
      <c r="H10" s="634" t="s">
        <v>3891</v>
      </c>
      <c r="I10" s="633">
        <v>50.0</v>
      </c>
      <c r="J10" s="63" t="s">
        <v>132</v>
      </c>
      <c r="K10" s="634" t="s">
        <v>3900</v>
      </c>
      <c r="L10" s="634" t="s">
        <v>3889</v>
      </c>
      <c r="M10" s="636"/>
    </row>
    <row r="11">
      <c r="A11" s="633">
        <v>40.0</v>
      </c>
      <c r="B11" s="63" t="s">
        <v>132</v>
      </c>
      <c r="C11" s="634" t="s">
        <v>3901</v>
      </c>
      <c r="D11" s="634" t="s">
        <v>3886</v>
      </c>
      <c r="E11" s="633">
        <v>60.0</v>
      </c>
      <c r="F11" s="63" t="s">
        <v>132</v>
      </c>
      <c r="G11" s="634" t="s">
        <v>3902</v>
      </c>
      <c r="H11" s="634" t="s">
        <v>3903</v>
      </c>
      <c r="I11" s="633">
        <v>60.0</v>
      </c>
      <c r="J11" s="63" t="s">
        <v>132</v>
      </c>
      <c r="K11" s="634" t="s">
        <v>3904</v>
      </c>
      <c r="L11" s="634" t="s">
        <v>3900</v>
      </c>
      <c r="M11" s="636"/>
    </row>
    <row r="12">
      <c r="A12" s="633">
        <v>50.0</v>
      </c>
      <c r="B12" s="63" t="s">
        <v>132</v>
      </c>
      <c r="C12" s="634" t="s">
        <v>3905</v>
      </c>
      <c r="D12" s="634" t="s">
        <v>3894</v>
      </c>
      <c r="E12" s="633">
        <v>60.0</v>
      </c>
      <c r="F12" s="63" t="s">
        <v>132</v>
      </c>
      <c r="G12" s="634" t="s">
        <v>3906</v>
      </c>
      <c r="H12" s="634" t="s">
        <v>3899</v>
      </c>
      <c r="I12" s="633">
        <v>70.0</v>
      </c>
      <c r="J12" s="63" t="s">
        <v>132</v>
      </c>
      <c r="K12" s="634" t="s">
        <v>3907</v>
      </c>
      <c r="L12" s="634" t="s">
        <v>3904</v>
      </c>
      <c r="M12" s="636"/>
    </row>
    <row r="13">
      <c r="A13" s="633">
        <v>60.0</v>
      </c>
      <c r="B13" s="63" t="s">
        <v>132</v>
      </c>
      <c r="C13" s="634" t="s">
        <v>3908</v>
      </c>
      <c r="D13" s="634" t="s">
        <v>3901</v>
      </c>
      <c r="E13" s="633">
        <v>70.0</v>
      </c>
      <c r="F13" s="63" t="s">
        <v>132</v>
      </c>
      <c r="G13" s="634" t="s">
        <v>3909</v>
      </c>
      <c r="H13" s="634" t="s">
        <v>3891</v>
      </c>
      <c r="I13" s="633">
        <v>75.0</v>
      </c>
      <c r="J13" s="63" t="s">
        <v>132</v>
      </c>
      <c r="K13" s="634" t="s">
        <v>3910</v>
      </c>
      <c r="L13" s="634" t="s">
        <v>3900</v>
      </c>
      <c r="M13" s="636"/>
    </row>
    <row r="14" ht="15.75" customHeight="1">
      <c r="A14" s="633">
        <v>60.0</v>
      </c>
      <c r="B14" s="63" t="s">
        <v>132</v>
      </c>
      <c r="C14" s="634" t="s">
        <v>3911</v>
      </c>
      <c r="D14" s="634" t="s">
        <v>3898</v>
      </c>
      <c r="E14" s="633">
        <v>80.0</v>
      </c>
      <c r="F14" s="63" t="s">
        <v>132</v>
      </c>
      <c r="G14" s="634" t="s">
        <v>3912</v>
      </c>
      <c r="H14" s="634" t="s">
        <v>3913</v>
      </c>
      <c r="I14" s="633">
        <v>80.0</v>
      </c>
      <c r="J14" s="63" t="s">
        <v>132</v>
      </c>
      <c r="K14" s="634" t="s">
        <v>3914</v>
      </c>
      <c r="L14" s="634" t="s">
        <v>3910</v>
      </c>
      <c r="M14" s="636"/>
    </row>
    <row r="15" ht="15.75" customHeight="1">
      <c r="A15" s="633">
        <v>70.0</v>
      </c>
      <c r="B15" s="63" t="s">
        <v>132</v>
      </c>
      <c r="C15" s="634" t="s">
        <v>3915</v>
      </c>
      <c r="D15" s="634" t="s">
        <v>3894</v>
      </c>
      <c r="E15" s="633">
        <v>100.0</v>
      </c>
      <c r="F15" s="63" t="s">
        <v>132</v>
      </c>
      <c r="G15" s="634" t="s">
        <v>3916</v>
      </c>
      <c r="H15" s="634" t="s">
        <v>3917</v>
      </c>
      <c r="I15" s="633">
        <v>100.0</v>
      </c>
      <c r="J15" s="63" t="s">
        <v>132</v>
      </c>
      <c r="K15" s="634" t="s">
        <v>3918</v>
      </c>
      <c r="L15" s="634" t="s">
        <v>3914</v>
      </c>
      <c r="M15" s="636"/>
    </row>
    <row r="16" ht="15.75" customHeight="1">
      <c r="A16" s="633">
        <v>70.0</v>
      </c>
      <c r="B16" s="63" t="s">
        <v>132</v>
      </c>
      <c r="C16" s="634" t="s">
        <v>3919</v>
      </c>
      <c r="D16" s="634" t="s">
        <v>3920</v>
      </c>
      <c r="E16" s="637"/>
      <c r="F16" s="637"/>
      <c r="G16" s="637"/>
      <c r="H16" s="637"/>
      <c r="I16" s="633">
        <v>100.0</v>
      </c>
      <c r="J16" s="63" t="s">
        <v>132</v>
      </c>
      <c r="K16" s="634" t="s">
        <v>3921</v>
      </c>
      <c r="L16" s="634" t="s">
        <v>3910</v>
      </c>
      <c r="M16" s="636"/>
    </row>
    <row r="17" ht="15.75" customHeight="1">
      <c r="A17" s="633">
        <v>80.0</v>
      </c>
      <c r="B17" s="63" t="s">
        <v>132</v>
      </c>
      <c r="C17" s="634" t="s">
        <v>3922</v>
      </c>
      <c r="D17" s="634" t="s">
        <v>3908</v>
      </c>
      <c r="E17" s="637"/>
      <c r="F17" s="637"/>
      <c r="G17" s="637"/>
      <c r="H17" s="637"/>
      <c r="I17" s="637"/>
      <c r="J17" s="637"/>
      <c r="K17" s="637"/>
      <c r="L17" s="637"/>
      <c r="M17" s="638"/>
    </row>
    <row r="18" ht="15.75" customHeight="1">
      <c r="A18" s="633">
        <v>80.0</v>
      </c>
      <c r="B18" s="63" t="s">
        <v>132</v>
      </c>
      <c r="C18" s="634" t="s">
        <v>3923</v>
      </c>
      <c r="D18" s="634" t="s">
        <v>3924</v>
      </c>
      <c r="E18" s="637"/>
      <c r="F18" s="637"/>
      <c r="G18" s="637"/>
      <c r="H18" s="637"/>
      <c r="I18" s="637"/>
      <c r="J18" s="637"/>
      <c r="K18" s="637"/>
      <c r="L18" s="637"/>
      <c r="M18" s="638"/>
    </row>
    <row r="19" ht="15.75" customHeight="1">
      <c r="A19" s="633">
        <v>90.0</v>
      </c>
      <c r="B19" s="63" t="s">
        <v>132</v>
      </c>
      <c r="C19" s="634" t="s">
        <v>3925</v>
      </c>
      <c r="D19" s="634" t="s">
        <v>3894</v>
      </c>
      <c r="E19" s="639"/>
      <c r="F19" s="639"/>
      <c r="G19" s="639"/>
      <c r="H19" s="639"/>
      <c r="I19" s="639"/>
      <c r="J19" s="639"/>
      <c r="K19" s="639"/>
      <c r="L19" s="639"/>
      <c r="M19" s="636"/>
    </row>
    <row r="20" ht="15.75" customHeight="1">
      <c r="A20" s="633">
        <v>100.0</v>
      </c>
      <c r="B20" s="63" t="s">
        <v>132</v>
      </c>
      <c r="C20" s="634" t="s">
        <v>3926</v>
      </c>
      <c r="D20" s="634" t="s">
        <v>3923</v>
      </c>
      <c r="E20" s="639"/>
      <c r="F20" s="639"/>
      <c r="G20" s="639"/>
      <c r="H20" s="639"/>
      <c r="I20" s="639"/>
      <c r="J20" s="639"/>
      <c r="K20" s="639"/>
      <c r="L20" s="639"/>
      <c r="M20" s="636"/>
    </row>
    <row r="21" ht="12.75" customHeight="1">
      <c r="A21" s="625" t="str">
        <f>HYPERLINK("https://en.uesp.net/wiki/Skyrim:Pickpocket","Pickpocket")</f>
        <v>Pickpocket</v>
      </c>
      <c r="B21" s="38"/>
      <c r="C21" s="38"/>
      <c r="D21" s="39"/>
      <c r="E21" s="625" t="str">
        <f>HYPERLINK("https://en.uesp.net/wiki/Skyrim:Sneak","Sneak")</f>
        <v>Sneak</v>
      </c>
      <c r="F21" s="38"/>
      <c r="G21" s="38"/>
      <c r="H21" s="39"/>
      <c r="I21" s="625" t="str">
        <f>HYPERLINK("https://en.uesp.net/wiki/Skyrim:Speech","Speech")</f>
        <v>Speech</v>
      </c>
      <c r="J21" s="38"/>
      <c r="K21" s="38"/>
      <c r="L21" s="39"/>
      <c r="M21" s="640"/>
    </row>
    <row r="22" ht="12.75" customHeight="1">
      <c r="A22" s="626" t="s">
        <v>3878</v>
      </c>
      <c r="B22" s="627" t="s">
        <v>1511</v>
      </c>
      <c r="C22" s="626" t="s">
        <v>3879</v>
      </c>
      <c r="D22" s="626" t="s">
        <v>3880</v>
      </c>
      <c r="E22" s="626" t="s">
        <v>3878</v>
      </c>
      <c r="F22" s="627" t="s">
        <v>1511</v>
      </c>
      <c r="G22" s="626" t="s">
        <v>3879</v>
      </c>
      <c r="H22" s="626" t="s">
        <v>3880</v>
      </c>
      <c r="I22" s="626" t="s">
        <v>3878</v>
      </c>
      <c r="J22" s="627" t="s">
        <v>1511</v>
      </c>
      <c r="K22" s="626" t="s">
        <v>3879</v>
      </c>
      <c r="L22" s="626" t="s">
        <v>3880</v>
      </c>
      <c r="M22" s="641"/>
    </row>
    <row r="23" ht="12.75" customHeight="1">
      <c r="A23" s="41" t="s">
        <v>1524</v>
      </c>
      <c r="B23" s="628">
        <f>countif(B24:B35,"Y")/12</f>
        <v>0</v>
      </c>
      <c r="C23" s="41" t="s">
        <v>1524</v>
      </c>
      <c r="D23" s="41" t="s">
        <v>1524</v>
      </c>
      <c r="E23" s="629" t="s">
        <v>1524</v>
      </c>
      <c r="F23" s="630">
        <f>countif(F24:F36,"Y")/13</f>
        <v>0</v>
      </c>
      <c r="G23" s="631" t="s">
        <v>1524</v>
      </c>
      <c r="H23" s="631" t="s">
        <v>1524</v>
      </c>
      <c r="I23" s="41" t="s">
        <v>1524</v>
      </c>
      <c r="J23" s="628">
        <f>countif(J24:J36,"Y")/13</f>
        <v>0</v>
      </c>
      <c r="K23" s="41" t="s">
        <v>1524</v>
      </c>
      <c r="L23" s="41" t="s">
        <v>1524</v>
      </c>
      <c r="M23" s="642"/>
    </row>
    <row r="24" ht="12.75" customHeight="1">
      <c r="A24" s="633">
        <v>0.0</v>
      </c>
      <c r="B24" s="63" t="s">
        <v>132</v>
      </c>
      <c r="C24" s="634" t="s">
        <v>3927</v>
      </c>
      <c r="D24" s="408" t="s">
        <v>1524</v>
      </c>
      <c r="E24" s="633">
        <v>0.0</v>
      </c>
      <c r="F24" s="63" t="s">
        <v>132</v>
      </c>
      <c r="G24" s="634" t="s">
        <v>3928</v>
      </c>
      <c r="H24" s="408" t="s">
        <v>1524</v>
      </c>
      <c r="I24" s="633">
        <v>0.0</v>
      </c>
      <c r="J24" s="63" t="s">
        <v>132</v>
      </c>
      <c r="K24" s="634" t="s">
        <v>3929</v>
      </c>
      <c r="L24" s="408" t="s">
        <v>1524</v>
      </c>
      <c r="M24" s="635"/>
    </row>
    <row r="25" ht="12.75" customHeight="1">
      <c r="A25" s="633">
        <v>20.0</v>
      </c>
      <c r="B25" s="63" t="s">
        <v>132</v>
      </c>
      <c r="C25" s="634" t="s">
        <v>3930</v>
      </c>
      <c r="D25" s="634" t="s">
        <v>3927</v>
      </c>
      <c r="E25" s="633">
        <v>20.0</v>
      </c>
      <c r="F25" s="63" t="s">
        <v>132</v>
      </c>
      <c r="G25" s="634" t="s">
        <v>3931</v>
      </c>
      <c r="H25" s="634" t="s">
        <v>3928</v>
      </c>
      <c r="I25" s="633">
        <v>20.0</v>
      </c>
      <c r="J25" s="63" t="s">
        <v>132</v>
      </c>
      <c r="K25" s="634" t="s">
        <v>3932</v>
      </c>
      <c r="L25" s="634" t="s">
        <v>3929</v>
      </c>
      <c r="M25" s="636"/>
    </row>
    <row r="26" ht="12.75" customHeight="1">
      <c r="A26" s="633">
        <v>30.0</v>
      </c>
      <c r="B26" s="63" t="s">
        <v>132</v>
      </c>
      <c r="C26" s="634" t="s">
        <v>3933</v>
      </c>
      <c r="D26" s="634" t="s">
        <v>3927</v>
      </c>
      <c r="E26" s="633">
        <v>30.0</v>
      </c>
      <c r="F26" s="63" t="s">
        <v>132</v>
      </c>
      <c r="G26" s="634" t="s">
        <v>3934</v>
      </c>
      <c r="H26" s="634" t="s">
        <v>3928</v>
      </c>
      <c r="I26" s="633">
        <v>30.0</v>
      </c>
      <c r="J26" s="63" t="s">
        <v>132</v>
      </c>
      <c r="K26" s="634" t="s">
        <v>3935</v>
      </c>
      <c r="L26" s="634" t="s">
        <v>3929</v>
      </c>
      <c r="M26" s="636"/>
    </row>
    <row r="27" ht="12.75" customHeight="1">
      <c r="A27" s="633">
        <v>40.0</v>
      </c>
      <c r="B27" s="63" t="s">
        <v>132</v>
      </c>
      <c r="C27" s="634" t="s">
        <v>3936</v>
      </c>
      <c r="D27" s="634" t="s">
        <v>3930</v>
      </c>
      <c r="E27" s="633">
        <v>30.0</v>
      </c>
      <c r="F27" s="63" t="s">
        <v>132</v>
      </c>
      <c r="G27" s="634" t="s">
        <v>3937</v>
      </c>
      <c r="H27" s="634" t="s">
        <v>3928</v>
      </c>
      <c r="I27" s="633">
        <v>30.0</v>
      </c>
      <c r="J27" s="63" t="s">
        <v>132</v>
      </c>
      <c r="K27" s="634" t="s">
        <v>3938</v>
      </c>
      <c r="L27" s="634" t="s">
        <v>3929</v>
      </c>
      <c r="M27" s="636"/>
    </row>
    <row r="28" ht="12.75" customHeight="1">
      <c r="A28" s="633">
        <v>40.0</v>
      </c>
      <c r="B28" s="63" t="s">
        <v>132</v>
      </c>
      <c r="C28" s="634" t="s">
        <v>3939</v>
      </c>
      <c r="D28" s="634" t="s">
        <v>3933</v>
      </c>
      <c r="E28" s="633">
        <v>40.0</v>
      </c>
      <c r="F28" s="63" t="s">
        <v>132</v>
      </c>
      <c r="G28" s="634" t="s">
        <v>3940</v>
      </c>
      <c r="H28" s="634" t="s">
        <v>3931</v>
      </c>
      <c r="I28" s="633">
        <v>40.0</v>
      </c>
      <c r="J28" s="63" t="s">
        <v>132</v>
      </c>
      <c r="K28" s="634" t="s">
        <v>3941</v>
      </c>
      <c r="L28" s="634" t="s">
        <v>3932</v>
      </c>
      <c r="M28" s="636"/>
    </row>
    <row r="29" ht="12.75" customHeight="1">
      <c r="A29" s="633">
        <v>40.0</v>
      </c>
      <c r="B29" s="63" t="s">
        <v>132</v>
      </c>
      <c r="C29" s="634" t="s">
        <v>3942</v>
      </c>
      <c r="D29" s="634" t="s">
        <v>3933</v>
      </c>
      <c r="E29" s="633">
        <v>40.0</v>
      </c>
      <c r="F29" s="63" t="s">
        <v>132</v>
      </c>
      <c r="G29" s="634" t="s">
        <v>3943</v>
      </c>
      <c r="H29" s="634" t="s">
        <v>3934</v>
      </c>
      <c r="I29" s="633">
        <v>50.0</v>
      </c>
      <c r="J29" s="63" t="s">
        <v>132</v>
      </c>
      <c r="K29" s="634" t="s">
        <v>3944</v>
      </c>
      <c r="L29" s="634" t="s">
        <v>3935</v>
      </c>
      <c r="M29" s="636"/>
    </row>
    <row r="30" ht="12.75" customHeight="1">
      <c r="A30" s="633">
        <v>50.0</v>
      </c>
      <c r="B30" s="63" t="s">
        <v>132</v>
      </c>
      <c r="C30" s="634" t="s">
        <v>3945</v>
      </c>
      <c r="D30" s="634" t="s">
        <v>3933</v>
      </c>
      <c r="E30" s="633">
        <v>40.0</v>
      </c>
      <c r="F30" s="63" t="s">
        <v>132</v>
      </c>
      <c r="G30" s="634" t="s">
        <v>3946</v>
      </c>
      <c r="H30" s="634" t="s">
        <v>3947</v>
      </c>
      <c r="I30" s="633">
        <v>50.0</v>
      </c>
      <c r="J30" s="63" t="s">
        <v>132</v>
      </c>
      <c r="K30" s="634" t="s">
        <v>3948</v>
      </c>
      <c r="L30" s="634" t="s">
        <v>3938</v>
      </c>
      <c r="M30" s="636"/>
    </row>
    <row r="31" ht="12.75" customHeight="1">
      <c r="A31" s="633">
        <v>60.0</v>
      </c>
      <c r="B31" s="63" t="s">
        <v>132</v>
      </c>
      <c r="C31" s="634" t="s">
        <v>3949</v>
      </c>
      <c r="D31" s="634" t="s">
        <v>3936</v>
      </c>
      <c r="E31" s="633">
        <v>50.0</v>
      </c>
      <c r="F31" s="63" t="s">
        <v>132</v>
      </c>
      <c r="G31" s="634" t="s">
        <v>3950</v>
      </c>
      <c r="H31" s="634" t="s">
        <v>3943</v>
      </c>
      <c r="I31" s="633">
        <v>60.0</v>
      </c>
      <c r="J31" s="63" t="s">
        <v>132</v>
      </c>
      <c r="K31" s="634" t="s">
        <v>3951</v>
      </c>
      <c r="L31" s="634" t="s">
        <v>3941</v>
      </c>
      <c r="M31" s="636"/>
    </row>
    <row r="32" ht="12.75" customHeight="1">
      <c r="A32" s="633">
        <v>60.0</v>
      </c>
      <c r="B32" s="63" t="s">
        <v>132</v>
      </c>
      <c r="C32" s="634" t="s">
        <v>3952</v>
      </c>
      <c r="D32" s="634" t="s">
        <v>3942</v>
      </c>
      <c r="E32" s="633">
        <v>50.0</v>
      </c>
      <c r="F32" s="63" t="s">
        <v>132</v>
      </c>
      <c r="G32" s="634" t="s">
        <v>3953</v>
      </c>
      <c r="H32" s="634" t="s">
        <v>3954</v>
      </c>
      <c r="I32" s="633">
        <v>70.0</v>
      </c>
      <c r="J32" s="63" t="s">
        <v>132</v>
      </c>
      <c r="K32" s="634" t="s">
        <v>3955</v>
      </c>
      <c r="L32" s="634" t="s">
        <v>3944</v>
      </c>
      <c r="M32" s="636"/>
    </row>
    <row r="33" ht="12.75" customHeight="1">
      <c r="A33" s="633">
        <v>70.0</v>
      </c>
      <c r="B33" s="63" t="s">
        <v>132</v>
      </c>
      <c r="C33" s="634" t="s">
        <v>3956</v>
      </c>
      <c r="D33" s="634" t="s">
        <v>3942</v>
      </c>
      <c r="E33" s="633">
        <v>60.0</v>
      </c>
      <c r="F33" s="63" t="s">
        <v>132</v>
      </c>
      <c r="G33" s="634" t="s">
        <v>3957</v>
      </c>
      <c r="H33" s="634" t="s">
        <v>3940</v>
      </c>
      <c r="I33" s="633">
        <v>70.0</v>
      </c>
      <c r="J33" s="63" t="s">
        <v>132</v>
      </c>
      <c r="K33" s="634" t="s">
        <v>3958</v>
      </c>
      <c r="L33" s="634" t="s">
        <v>3948</v>
      </c>
      <c r="M33" s="636"/>
    </row>
    <row r="34" ht="12.75" customHeight="1">
      <c r="A34" s="633">
        <v>80.0</v>
      </c>
      <c r="B34" s="63" t="s">
        <v>132</v>
      </c>
      <c r="C34" s="634" t="s">
        <v>3959</v>
      </c>
      <c r="D34" s="634" t="s">
        <v>3949</v>
      </c>
      <c r="E34" s="633">
        <v>70.0</v>
      </c>
      <c r="F34" s="63" t="s">
        <v>132</v>
      </c>
      <c r="G34" s="634" t="s">
        <v>3960</v>
      </c>
      <c r="H34" s="634" t="s">
        <v>3953</v>
      </c>
      <c r="I34" s="633">
        <v>80.0</v>
      </c>
      <c r="J34" s="63" t="s">
        <v>132</v>
      </c>
      <c r="K34" s="634" t="s">
        <v>3961</v>
      </c>
      <c r="L34" s="634" t="s">
        <v>3951</v>
      </c>
      <c r="M34" s="636"/>
    </row>
    <row r="35" ht="12.75" customHeight="1">
      <c r="A35" s="633">
        <v>100.0</v>
      </c>
      <c r="B35" s="63" t="s">
        <v>132</v>
      </c>
      <c r="C35" s="634" t="s">
        <v>3962</v>
      </c>
      <c r="D35" s="634" t="s">
        <v>3956</v>
      </c>
      <c r="E35" s="633">
        <v>80.0</v>
      </c>
      <c r="F35" s="63" t="s">
        <v>132</v>
      </c>
      <c r="G35" s="634" t="s">
        <v>3963</v>
      </c>
      <c r="H35" s="634" t="s">
        <v>3957</v>
      </c>
      <c r="I35" s="633">
        <v>90.0</v>
      </c>
      <c r="J35" s="63" t="s">
        <v>132</v>
      </c>
      <c r="K35" s="634" t="s">
        <v>2328</v>
      </c>
      <c r="L35" s="634" t="s">
        <v>3955</v>
      </c>
      <c r="M35" s="636"/>
    </row>
    <row r="36" ht="12.75" customHeight="1">
      <c r="A36" s="639"/>
      <c r="B36" s="639"/>
      <c r="C36" s="639"/>
      <c r="D36" s="639"/>
      <c r="E36" s="633">
        <v>100.0</v>
      </c>
      <c r="F36" s="63" t="s">
        <v>132</v>
      </c>
      <c r="G36" s="634" t="s">
        <v>3964</v>
      </c>
      <c r="H36" s="634" t="s">
        <v>3965</v>
      </c>
      <c r="I36" s="633">
        <v>100.0</v>
      </c>
      <c r="J36" s="63" t="s">
        <v>132</v>
      </c>
      <c r="K36" s="634" t="s">
        <v>2314</v>
      </c>
      <c r="L36" s="634" t="s">
        <v>2328</v>
      </c>
      <c r="M36" s="636"/>
    </row>
    <row r="37" ht="30.0" customHeight="1">
      <c r="A37" s="438" t="s">
        <v>3966</v>
      </c>
      <c r="B37" s="38"/>
      <c r="C37" s="38"/>
      <c r="D37" s="38"/>
      <c r="E37" s="38"/>
      <c r="F37" s="38"/>
      <c r="G37" s="38"/>
      <c r="H37" s="38"/>
      <c r="I37" s="38"/>
      <c r="J37" s="38"/>
      <c r="K37" s="38"/>
      <c r="L37" s="38"/>
      <c r="M37" s="642"/>
    </row>
    <row r="38" ht="15.75" customHeight="1">
      <c r="A38" s="625" t="str">
        <f>HYPERLINK("https://en.uesp.net/wiki/Skyrim:Archery","Archery")</f>
        <v>Archery</v>
      </c>
      <c r="B38" s="38"/>
      <c r="C38" s="38"/>
      <c r="D38" s="39"/>
      <c r="E38" s="625" t="str">
        <f>HYPERLINK("https://en.uesp.net/wiki/Skyrim:Block","Block")</f>
        <v>Block</v>
      </c>
      <c r="F38" s="38"/>
      <c r="G38" s="38"/>
      <c r="H38" s="39"/>
      <c r="I38" s="625" t="str">
        <f>HYPERLINK("https://en.uesp.net/wiki/Skyrim:Heavy_Armor","Heavy Armor")</f>
        <v>Heavy Armor</v>
      </c>
      <c r="J38" s="38"/>
      <c r="K38" s="38"/>
      <c r="L38" s="39"/>
      <c r="M38" s="640"/>
    </row>
    <row r="39" ht="15.75" customHeight="1">
      <c r="A39" s="626" t="s">
        <v>3878</v>
      </c>
      <c r="B39" s="627" t="s">
        <v>1511</v>
      </c>
      <c r="C39" s="626" t="s">
        <v>3879</v>
      </c>
      <c r="D39" s="626" t="s">
        <v>3880</v>
      </c>
      <c r="E39" s="626" t="s">
        <v>3878</v>
      </c>
      <c r="F39" s="627" t="s">
        <v>1511</v>
      </c>
      <c r="G39" s="626" t="s">
        <v>3879</v>
      </c>
      <c r="H39" s="626" t="s">
        <v>3880</v>
      </c>
      <c r="I39" s="626" t="s">
        <v>3878</v>
      </c>
      <c r="J39" s="627" t="s">
        <v>1511</v>
      </c>
      <c r="K39" s="626" t="s">
        <v>3879</v>
      </c>
      <c r="L39" s="626" t="s">
        <v>3880</v>
      </c>
      <c r="M39" s="641"/>
    </row>
    <row r="40" ht="15.75" customHeight="1">
      <c r="A40" s="41" t="s">
        <v>1524</v>
      </c>
      <c r="B40" s="628">
        <f>countif(B41:B56,"Y")/16</f>
        <v>0</v>
      </c>
      <c r="C40" s="41" t="s">
        <v>1524</v>
      </c>
      <c r="D40" s="41" t="s">
        <v>1524</v>
      </c>
      <c r="E40" s="41" t="s">
        <v>1524</v>
      </c>
      <c r="F40" s="628">
        <f>countif(F41:F53,"Y")/13</f>
        <v>0</v>
      </c>
      <c r="G40" s="41" t="s">
        <v>1524</v>
      </c>
      <c r="H40" s="41" t="s">
        <v>1524</v>
      </c>
      <c r="I40" s="41" t="s">
        <v>1524</v>
      </c>
      <c r="J40" s="628">
        <f>countif(J41:J52,"Y")/12</f>
        <v>0</v>
      </c>
      <c r="K40" s="41" t="s">
        <v>1524</v>
      </c>
      <c r="L40" s="41" t="s">
        <v>1524</v>
      </c>
      <c r="M40" s="642"/>
    </row>
    <row r="41" ht="15.75" customHeight="1">
      <c r="A41" s="633">
        <v>0.0</v>
      </c>
      <c r="B41" s="63" t="s">
        <v>132</v>
      </c>
      <c r="C41" s="634" t="s">
        <v>3967</v>
      </c>
      <c r="D41" s="408" t="s">
        <v>1524</v>
      </c>
      <c r="E41" s="633">
        <v>0.0</v>
      </c>
      <c r="F41" s="63" t="s">
        <v>132</v>
      </c>
      <c r="G41" s="634" t="s">
        <v>3968</v>
      </c>
      <c r="H41" s="408" t="s">
        <v>1524</v>
      </c>
      <c r="I41" s="633">
        <v>0.0</v>
      </c>
      <c r="J41" s="63" t="s">
        <v>132</v>
      </c>
      <c r="K41" s="634" t="s">
        <v>3969</v>
      </c>
      <c r="L41" s="408" t="s">
        <v>1524</v>
      </c>
      <c r="M41" s="635"/>
    </row>
    <row r="42" ht="15.75" customHeight="1">
      <c r="A42" s="633">
        <v>20.0</v>
      </c>
      <c r="B42" s="63" t="s">
        <v>132</v>
      </c>
      <c r="C42" s="634" t="s">
        <v>3970</v>
      </c>
      <c r="D42" s="634" t="s">
        <v>3967</v>
      </c>
      <c r="E42" s="633">
        <v>20.0</v>
      </c>
      <c r="F42" s="63" t="s">
        <v>132</v>
      </c>
      <c r="G42" s="634" t="s">
        <v>3971</v>
      </c>
      <c r="H42" s="634" t="s">
        <v>3968</v>
      </c>
      <c r="I42" s="633">
        <v>20.0</v>
      </c>
      <c r="J42" s="63" t="s">
        <v>132</v>
      </c>
      <c r="K42" s="634" t="s">
        <v>3972</v>
      </c>
      <c r="L42" s="634" t="s">
        <v>3969</v>
      </c>
      <c r="M42" s="636"/>
    </row>
    <row r="43" ht="15.75" customHeight="1">
      <c r="A43" s="633">
        <v>30.0</v>
      </c>
      <c r="B43" s="63" t="s">
        <v>132</v>
      </c>
      <c r="C43" s="634" t="s">
        <v>3973</v>
      </c>
      <c r="D43" s="634" t="s">
        <v>3974</v>
      </c>
      <c r="E43" s="633">
        <v>30.0</v>
      </c>
      <c r="F43" s="63" t="s">
        <v>132</v>
      </c>
      <c r="G43" s="634" t="s">
        <v>3975</v>
      </c>
      <c r="H43" s="634" t="s">
        <v>3968</v>
      </c>
      <c r="I43" s="633">
        <v>30.0</v>
      </c>
      <c r="J43" s="63" t="s">
        <v>132</v>
      </c>
      <c r="K43" s="634" t="s">
        <v>3976</v>
      </c>
      <c r="L43" s="634" t="s">
        <v>3969</v>
      </c>
      <c r="M43" s="636"/>
    </row>
    <row r="44" ht="15.75" customHeight="1">
      <c r="A44" s="633">
        <v>30.0</v>
      </c>
      <c r="B44" s="63" t="s">
        <v>132</v>
      </c>
      <c r="C44" s="634" t="s">
        <v>3977</v>
      </c>
      <c r="D44" s="634" t="s">
        <v>3967</v>
      </c>
      <c r="E44" s="633">
        <v>30.0</v>
      </c>
      <c r="F44" s="63" t="s">
        <v>132</v>
      </c>
      <c r="G44" s="634" t="s">
        <v>3978</v>
      </c>
      <c r="H44" s="634" t="s">
        <v>3968</v>
      </c>
      <c r="I44" s="633">
        <v>30.0</v>
      </c>
      <c r="J44" s="63" t="s">
        <v>132</v>
      </c>
      <c r="K44" s="634" t="s">
        <v>3979</v>
      </c>
      <c r="L44" s="634" t="s">
        <v>3969</v>
      </c>
      <c r="M44" s="636"/>
    </row>
    <row r="45" ht="15.75" customHeight="1">
      <c r="A45" s="633">
        <v>40.0</v>
      </c>
      <c r="B45" s="63" t="s">
        <v>132</v>
      </c>
      <c r="C45" s="634" t="s">
        <v>3980</v>
      </c>
      <c r="D45" s="634" t="s">
        <v>3970</v>
      </c>
      <c r="E45" s="633">
        <v>30.0</v>
      </c>
      <c r="F45" s="63" t="s">
        <v>132</v>
      </c>
      <c r="G45" s="634" t="s">
        <v>3981</v>
      </c>
      <c r="H45" s="634" t="s">
        <v>3968</v>
      </c>
      <c r="I45" s="633">
        <v>40.0</v>
      </c>
      <c r="J45" s="63" t="s">
        <v>132</v>
      </c>
      <c r="K45" s="634" t="s">
        <v>3982</v>
      </c>
      <c r="L45" s="634" t="s">
        <v>3972</v>
      </c>
      <c r="M45" s="636"/>
    </row>
    <row r="46" ht="15.75" customHeight="1">
      <c r="A46" s="633">
        <v>40.0</v>
      </c>
      <c r="B46" s="63" t="s">
        <v>132</v>
      </c>
      <c r="C46" s="634" t="s">
        <v>3983</v>
      </c>
      <c r="D46" s="634" t="s">
        <v>3977</v>
      </c>
      <c r="E46" s="633">
        <v>40.0</v>
      </c>
      <c r="F46" s="63" t="s">
        <v>132</v>
      </c>
      <c r="G46" s="634" t="s">
        <v>3984</v>
      </c>
      <c r="H46" s="634" t="s">
        <v>3971</v>
      </c>
      <c r="I46" s="633">
        <v>50.0</v>
      </c>
      <c r="J46" s="63" t="s">
        <v>132</v>
      </c>
      <c r="K46" s="634" t="s">
        <v>3985</v>
      </c>
      <c r="L46" s="634" t="s">
        <v>3976</v>
      </c>
      <c r="M46" s="636"/>
    </row>
    <row r="47" ht="15.75" customHeight="1">
      <c r="A47" s="633">
        <v>50.0</v>
      </c>
      <c r="B47" s="63" t="s">
        <v>132</v>
      </c>
      <c r="C47" s="634" t="s">
        <v>3986</v>
      </c>
      <c r="D47" s="634" t="s">
        <v>3977</v>
      </c>
      <c r="E47" s="633">
        <v>50.0</v>
      </c>
      <c r="F47" s="63" t="s">
        <v>132</v>
      </c>
      <c r="G47" s="634" t="s">
        <v>3987</v>
      </c>
      <c r="H47" s="634" t="s">
        <v>3981</v>
      </c>
      <c r="I47" s="633">
        <v>50.0</v>
      </c>
      <c r="J47" s="63" t="s">
        <v>132</v>
      </c>
      <c r="K47" s="634" t="s">
        <v>3988</v>
      </c>
      <c r="L47" s="634" t="s">
        <v>3979</v>
      </c>
      <c r="M47" s="636"/>
    </row>
    <row r="48" ht="15.75" customHeight="1">
      <c r="A48" s="633">
        <v>50.0</v>
      </c>
      <c r="B48" s="63" t="s">
        <v>132</v>
      </c>
      <c r="C48" s="634" t="s">
        <v>3989</v>
      </c>
      <c r="D48" s="634" t="s">
        <v>3973</v>
      </c>
      <c r="E48" s="633">
        <v>50.0</v>
      </c>
      <c r="F48" s="63" t="s">
        <v>132</v>
      </c>
      <c r="G48" s="634" t="s">
        <v>3990</v>
      </c>
      <c r="H48" s="634" t="s">
        <v>3978</v>
      </c>
      <c r="I48" s="633">
        <v>60.0</v>
      </c>
      <c r="J48" s="63" t="s">
        <v>132</v>
      </c>
      <c r="K48" s="634" t="s">
        <v>3991</v>
      </c>
      <c r="L48" s="634" t="s">
        <v>3982</v>
      </c>
      <c r="M48" s="636"/>
    </row>
    <row r="49" ht="15.75" customHeight="1">
      <c r="A49" s="633">
        <v>60.0</v>
      </c>
      <c r="B49" s="63" t="s">
        <v>132</v>
      </c>
      <c r="C49" s="634" t="s">
        <v>3992</v>
      </c>
      <c r="D49" s="634" t="s">
        <v>3973</v>
      </c>
      <c r="E49" s="633">
        <v>60.0</v>
      </c>
      <c r="F49" s="63" t="s">
        <v>132</v>
      </c>
      <c r="G49" s="634" t="s">
        <v>3993</v>
      </c>
      <c r="H49" s="634" t="s">
        <v>3984</v>
      </c>
      <c r="I49" s="633">
        <v>70.0</v>
      </c>
      <c r="J49" s="63" t="s">
        <v>132</v>
      </c>
      <c r="K49" s="634" t="s">
        <v>3994</v>
      </c>
      <c r="L49" s="634" t="s">
        <v>3985</v>
      </c>
      <c r="M49" s="636"/>
    </row>
    <row r="50" ht="15.75" customHeight="1">
      <c r="A50" s="633">
        <v>60.0</v>
      </c>
      <c r="B50" s="63" t="s">
        <v>132</v>
      </c>
      <c r="C50" s="634" t="s">
        <v>3995</v>
      </c>
      <c r="D50" s="634" t="s">
        <v>3980</v>
      </c>
      <c r="E50" s="633">
        <v>70.0</v>
      </c>
      <c r="F50" s="63" t="s">
        <v>132</v>
      </c>
      <c r="G50" s="634" t="s">
        <v>3996</v>
      </c>
      <c r="H50" s="634" t="s">
        <v>3997</v>
      </c>
      <c r="I50" s="633">
        <v>70.0</v>
      </c>
      <c r="J50" s="63" t="s">
        <v>132</v>
      </c>
      <c r="K50" s="634" t="s">
        <v>3909</v>
      </c>
      <c r="L50" s="634" t="s">
        <v>3988</v>
      </c>
      <c r="M50" s="636"/>
    </row>
    <row r="51" ht="15.75" customHeight="1">
      <c r="A51" s="633">
        <v>60.0</v>
      </c>
      <c r="B51" s="63" t="s">
        <v>132</v>
      </c>
      <c r="C51" s="634" t="s">
        <v>3998</v>
      </c>
      <c r="D51" s="634" t="s">
        <v>3999</v>
      </c>
      <c r="E51" s="633">
        <v>70.0</v>
      </c>
      <c r="F51" s="63" t="s">
        <v>132</v>
      </c>
      <c r="G51" s="634" t="s">
        <v>4000</v>
      </c>
      <c r="H51" s="634" t="s">
        <v>3987</v>
      </c>
      <c r="I51" s="633">
        <v>80.0</v>
      </c>
      <c r="J51" s="63" t="s">
        <v>132</v>
      </c>
      <c r="K51" s="634" t="s">
        <v>4001</v>
      </c>
      <c r="L51" s="634" t="s">
        <v>3991</v>
      </c>
      <c r="M51" s="636"/>
    </row>
    <row r="52" ht="15.75" customHeight="1">
      <c r="A52" s="633">
        <v>60.0</v>
      </c>
      <c r="B52" s="63" t="s">
        <v>132</v>
      </c>
      <c r="C52" s="634" t="s">
        <v>4002</v>
      </c>
      <c r="D52" s="634" t="s">
        <v>3983</v>
      </c>
      <c r="E52" s="633">
        <v>80.0</v>
      </c>
      <c r="F52" s="63" t="s">
        <v>132</v>
      </c>
      <c r="G52" s="634" t="s">
        <v>4003</v>
      </c>
      <c r="H52" s="634" t="s">
        <v>3993</v>
      </c>
      <c r="I52" s="633">
        <v>100.0</v>
      </c>
      <c r="J52" s="63" t="s">
        <v>132</v>
      </c>
      <c r="K52" s="634" t="s">
        <v>4004</v>
      </c>
      <c r="L52" s="634" t="s">
        <v>3909</v>
      </c>
      <c r="M52" s="636"/>
    </row>
    <row r="53" ht="15.75" customHeight="1">
      <c r="A53" s="633">
        <v>70.0</v>
      </c>
      <c r="B53" s="63" t="s">
        <v>132</v>
      </c>
      <c r="C53" s="634" t="s">
        <v>4005</v>
      </c>
      <c r="D53" s="634" t="s">
        <v>3986</v>
      </c>
      <c r="E53" s="633">
        <v>100.0</v>
      </c>
      <c r="F53" s="63" t="s">
        <v>132</v>
      </c>
      <c r="G53" s="634" t="s">
        <v>4006</v>
      </c>
      <c r="H53" s="634" t="s">
        <v>4007</v>
      </c>
      <c r="I53" s="643"/>
      <c r="J53" s="643"/>
      <c r="K53" s="639"/>
      <c r="L53" s="639"/>
      <c r="M53" s="636"/>
    </row>
    <row r="54" ht="15.75" customHeight="1">
      <c r="A54" s="633">
        <v>80.0</v>
      </c>
      <c r="B54" s="63" t="s">
        <v>132</v>
      </c>
      <c r="C54" s="634" t="s">
        <v>3974</v>
      </c>
      <c r="D54" s="634" t="s">
        <v>3995</v>
      </c>
      <c r="E54" s="637"/>
      <c r="F54" s="637"/>
      <c r="G54" s="637"/>
      <c r="H54" s="637"/>
      <c r="I54" s="643"/>
      <c r="J54" s="643"/>
      <c r="K54" s="639"/>
      <c r="L54" s="639"/>
      <c r="M54" s="636"/>
    </row>
    <row r="55" ht="15.75" customHeight="1">
      <c r="A55" s="633">
        <v>90.0</v>
      </c>
      <c r="B55" s="63" t="s">
        <v>132</v>
      </c>
      <c r="C55" s="634" t="s">
        <v>4008</v>
      </c>
      <c r="D55" s="634" t="s">
        <v>3992</v>
      </c>
      <c r="E55" s="637"/>
      <c r="F55" s="637"/>
      <c r="G55" s="637"/>
      <c r="H55" s="637"/>
      <c r="I55" s="643"/>
      <c r="J55" s="643"/>
      <c r="K55" s="639"/>
      <c r="L55" s="639"/>
      <c r="M55" s="636"/>
    </row>
    <row r="56" ht="15.75" customHeight="1">
      <c r="A56" s="633">
        <v>100.0</v>
      </c>
      <c r="B56" s="63" t="s">
        <v>132</v>
      </c>
      <c r="C56" s="634" t="s">
        <v>4009</v>
      </c>
      <c r="D56" s="634" t="s">
        <v>4010</v>
      </c>
      <c r="E56" s="637"/>
      <c r="F56" s="637"/>
      <c r="G56" s="637"/>
      <c r="H56" s="637"/>
      <c r="I56" s="643"/>
      <c r="J56" s="643"/>
      <c r="K56" s="639"/>
      <c r="L56" s="639"/>
      <c r="M56" s="636"/>
    </row>
    <row r="57" ht="15.75" customHeight="1">
      <c r="A57" s="625" t="str">
        <f>HYPERLINK("https://en.uesp.net/wiki/Skyrim:One_handed","One Handed")</f>
        <v>One Handed</v>
      </c>
      <c r="B57" s="38"/>
      <c r="C57" s="38"/>
      <c r="D57" s="39"/>
      <c r="E57" s="625" t="str">
        <f>HYPERLINK("https://en.uesp.net/wiki/Skyrim:Smithing","Smithing")</f>
        <v>Smithing</v>
      </c>
      <c r="F57" s="38"/>
      <c r="G57" s="38"/>
      <c r="H57" s="39"/>
      <c r="I57" s="625" t="str">
        <f>HYPERLINK("https://en.uesp.net/wiki/Skyrim:Two-handed","Two-Handed")</f>
        <v>Two-Handed</v>
      </c>
      <c r="J57" s="38"/>
      <c r="K57" s="38"/>
      <c r="L57" s="39"/>
      <c r="M57" s="640"/>
    </row>
    <row r="58" ht="15.75" customHeight="1">
      <c r="A58" s="626" t="s">
        <v>3878</v>
      </c>
      <c r="B58" s="627" t="s">
        <v>1511</v>
      </c>
      <c r="C58" s="626" t="s">
        <v>3879</v>
      </c>
      <c r="D58" s="626" t="s">
        <v>3880</v>
      </c>
      <c r="E58" s="626" t="s">
        <v>3878</v>
      </c>
      <c r="F58" s="627" t="s">
        <v>1511</v>
      </c>
      <c r="G58" s="626" t="s">
        <v>3879</v>
      </c>
      <c r="H58" s="626" t="s">
        <v>3880</v>
      </c>
      <c r="I58" s="626" t="s">
        <v>3878</v>
      </c>
      <c r="J58" s="627" t="s">
        <v>1511</v>
      </c>
      <c r="K58" s="626" t="s">
        <v>3879</v>
      </c>
      <c r="L58" s="626" t="s">
        <v>3880</v>
      </c>
      <c r="M58" s="641"/>
    </row>
    <row r="59" ht="15.75" customHeight="1">
      <c r="A59" s="41" t="s">
        <v>1524</v>
      </c>
      <c r="B59" s="628">
        <f>countif(B60:B80,"Y")/21</f>
        <v>0</v>
      </c>
      <c r="C59" s="41" t="s">
        <v>1524</v>
      </c>
      <c r="D59" s="41" t="s">
        <v>1524</v>
      </c>
      <c r="E59" s="41" t="s">
        <v>1524</v>
      </c>
      <c r="F59" s="628">
        <f>countif(F60:F69,"Y")/10</f>
        <v>0</v>
      </c>
      <c r="G59" s="41" t="s">
        <v>1524</v>
      </c>
      <c r="H59" s="41" t="s">
        <v>1524</v>
      </c>
      <c r="I59" s="41" t="s">
        <v>1524</v>
      </c>
      <c r="J59" s="628">
        <f>countif(J60:J78,"Y")/19</f>
        <v>0</v>
      </c>
      <c r="K59" s="41" t="s">
        <v>1524</v>
      </c>
      <c r="L59" s="41" t="s">
        <v>1524</v>
      </c>
      <c r="M59" s="642"/>
    </row>
    <row r="60" ht="15.75" customHeight="1">
      <c r="A60" s="633">
        <v>0.0</v>
      </c>
      <c r="B60" s="63" t="s">
        <v>132</v>
      </c>
      <c r="C60" s="634" t="s">
        <v>4011</v>
      </c>
      <c r="D60" s="408" t="s">
        <v>1524</v>
      </c>
      <c r="E60" s="633">
        <v>0.0</v>
      </c>
      <c r="F60" s="63" t="s">
        <v>132</v>
      </c>
      <c r="G60" s="634" t="s">
        <v>4012</v>
      </c>
      <c r="H60" s="408" t="s">
        <v>1524</v>
      </c>
      <c r="I60" s="633">
        <v>0.0</v>
      </c>
      <c r="J60" s="63" t="s">
        <v>132</v>
      </c>
      <c r="K60" s="634" t="s">
        <v>4013</v>
      </c>
      <c r="L60" s="408" t="s">
        <v>1524</v>
      </c>
      <c r="M60" s="635"/>
    </row>
    <row r="61" ht="15.75" customHeight="1">
      <c r="A61" s="633">
        <v>20.0</v>
      </c>
      <c r="B61" s="63" t="s">
        <v>132</v>
      </c>
      <c r="C61" s="634" t="s">
        <v>4014</v>
      </c>
      <c r="D61" s="634" t="s">
        <v>4011</v>
      </c>
      <c r="E61" s="633">
        <v>30.0</v>
      </c>
      <c r="F61" s="63" t="s">
        <v>132</v>
      </c>
      <c r="G61" s="634" t="s">
        <v>4015</v>
      </c>
      <c r="H61" s="634" t="s">
        <v>4016</v>
      </c>
      <c r="I61" s="633">
        <v>20.0</v>
      </c>
      <c r="J61" s="63" t="s">
        <v>132</v>
      </c>
      <c r="K61" s="634" t="s">
        <v>4017</v>
      </c>
      <c r="L61" s="634" t="s">
        <v>4013</v>
      </c>
      <c r="M61" s="636"/>
    </row>
    <row r="62" ht="15.75" customHeight="1">
      <c r="A62" s="633">
        <v>20.0</v>
      </c>
      <c r="B62" s="63" t="s">
        <v>132</v>
      </c>
      <c r="C62" s="634" t="s">
        <v>4018</v>
      </c>
      <c r="D62" s="634" t="s">
        <v>4011</v>
      </c>
      <c r="E62" s="633">
        <v>30.0</v>
      </c>
      <c r="F62" s="63" t="s">
        <v>132</v>
      </c>
      <c r="G62" s="634" t="s">
        <v>4019</v>
      </c>
      <c r="H62" s="634" t="s">
        <v>4016</v>
      </c>
      <c r="I62" s="633">
        <v>20.0</v>
      </c>
      <c r="J62" s="63" t="s">
        <v>132</v>
      </c>
      <c r="K62" s="634" t="s">
        <v>4020</v>
      </c>
      <c r="L62" s="634" t="s">
        <v>4013</v>
      </c>
      <c r="M62" s="636"/>
    </row>
    <row r="63" ht="15.75" customHeight="1">
      <c r="A63" s="633">
        <v>30.0</v>
      </c>
      <c r="B63" s="63" t="s">
        <v>132</v>
      </c>
      <c r="C63" s="634" t="s">
        <v>4021</v>
      </c>
      <c r="D63" s="634" t="s">
        <v>4011</v>
      </c>
      <c r="E63" s="633">
        <v>50.0</v>
      </c>
      <c r="F63" s="63" t="s">
        <v>132</v>
      </c>
      <c r="G63" s="634" t="s">
        <v>4022</v>
      </c>
      <c r="H63" s="634" t="s">
        <v>4023</v>
      </c>
      <c r="I63" s="633">
        <v>30.0</v>
      </c>
      <c r="J63" s="63" t="s">
        <v>132</v>
      </c>
      <c r="K63" s="634" t="s">
        <v>4024</v>
      </c>
      <c r="L63" s="634" t="s">
        <v>4013</v>
      </c>
      <c r="M63" s="636"/>
    </row>
    <row r="64" ht="15.75" customHeight="1">
      <c r="A64" s="633">
        <v>30.0</v>
      </c>
      <c r="B64" s="63" t="s">
        <v>132</v>
      </c>
      <c r="C64" s="634" t="s">
        <v>4025</v>
      </c>
      <c r="D64" s="634" t="s">
        <v>4011</v>
      </c>
      <c r="E64" s="633">
        <v>50.0</v>
      </c>
      <c r="F64" s="63" t="s">
        <v>132</v>
      </c>
      <c r="G64" s="634" t="s">
        <v>4026</v>
      </c>
      <c r="H64" s="634" t="s">
        <v>4027</v>
      </c>
      <c r="I64" s="633">
        <v>30.0</v>
      </c>
      <c r="J64" s="63" t="s">
        <v>132</v>
      </c>
      <c r="K64" s="634" t="s">
        <v>4028</v>
      </c>
      <c r="L64" s="634" t="s">
        <v>4013</v>
      </c>
      <c r="M64" s="636"/>
    </row>
    <row r="65" ht="15.75" customHeight="1">
      <c r="A65" s="633">
        <v>30.0</v>
      </c>
      <c r="B65" s="63" t="s">
        <v>132</v>
      </c>
      <c r="C65" s="634" t="s">
        <v>4029</v>
      </c>
      <c r="D65" s="634" t="s">
        <v>4011</v>
      </c>
      <c r="E65" s="633">
        <v>60.0</v>
      </c>
      <c r="F65" s="63" t="s">
        <v>132</v>
      </c>
      <c r="G65" s="634" t="s">
        <v>4030</v>
      </c>
      <c r="H65" s="634" t="s">
        <v>4016</v>
      </c>
      <c r="I65" s="633">
        <v>30.0</v>
      </c>
      <c r="J65" s="63" t="s">
        <v>132</v>
      </c>
      <c r="K65" s="634" t="s">
        <v>4031</v>
      </c>
      <c r="L65" s="634" t="s">
        <v>4013</v>
      </c>
      <c r="M65" s="636"/>
    </row>
    <row r="66" ht="15.75" customHeight="1">
      <c r="A66" s="633">
        <v>30.0</v>
      </c>
      <c r="B66" s="63" t="s">
        <v>132</v>
      </c>
      <c r="C66" s="634" t="s">
        <v>4032</v>
      </c>
      <c r="D66" s="634" t="s">
        <v>4011</v>
      </c>
      <c r="E66" s="633">
        <v>70.0</v>
      </c>
      <c r="F66" s="63" t="s">
        <v>132</v>
      </c>
      <c r="G66" s="634" t="s">
        <v>4033</v>
      </c>
      <c r="H66" s="634" t="s">
        <v>4034</v>
      </c>
      <c r="I66" s="633">
        <v>40.0</v>
      </c>
      <c r="J66" s="63" t="s">
        <v>132</v>
      </c>
      <c r="K66" s="634" t="s">
        <v>4035</v>
      </c>
      <c r="L66" s="634" t="s">
        <v>4017</v>
      </c>
      <c r="M66" s="636"/>
    </row>
    <row r="67" ht="15.75" customHeight="1">
      <c r="A67" s="633">
        <v>40.0</v>
      </c>
      <c r="B67" s="63" t="s">
        <v>132</v>
      </c>
      <c r="C67" s="634" t="s">
        <v>4036</v>
      </c>
      <c r="D67" s="634" t="s">
        <v>4014</v>
      </c>
      <c r="E67" s="633">
        <v>80.0</v>
      </c>
      <c r="F67" s="63" t="s">
        <v>132</v>
      </c>
      <c r="G67" s="634" t="s">
        <v>4037</v>
      </c>
      <c r="H67" s="634" t="s">
        <v>4038</v>
      </c>
      <c r="I67" s="633">
        <v>50.0</v>
      </c>
      <c r="J67" s="63" t="s">
        <v>132</v>
      </c>
      <c r="K67" s="634" t="s">
        <v>4039</v>
      </c>
      <c r="L67" s="634" t="s">
        <v>4040</v>
      </c>
      <c r="M67" s="636"/>
    </row>
    <row r="68" ht="15.75" customHeight="1">
      <c r="A68" s="633">
        <v>50.0</v>
      </c>
      <c r="B68" s="63" t="s">
        <v>132</v>
      </c>
      <c r="C68" s="634" t="s">
        <v>4041</v>
      </c>
      <c r="D68" s="634" t="s">
        <v>4021</v>
      </c>
      <c r="E68" s="633">
        <v>90.0</v>
      </c>
      <c r="F68" s="63" t="s">
        <v>132</v>
      </c>
      <c r="G68" s="634" t="s">
        <v>4042</v>
      </c>
      <c r="H68" s="634" t="s">
        <v>4043</v>
      </c>
      <c r="I68" s="633">
        <v>50.0</v>
      </c>
      <c r="J68" s="63" t="s">
        <v>132</v>
      </c>
      <c r="K68" s="634" t="s">
        <v>4044</v>
      </c>
      <c r="L68" s="634" t="s">
        <v>4040</v>
      </c>
      <c r="M68" s="636"/>
    </row>
    <row r="69" ht="15.75" customHeight="1">
      <c r="A69" s="633">
        <v>50.0</v>
      </c>
      <c r="B69" s="63" t="s">
        <v>132</v>
      </c>
      <c r="C69" s="634" t="s">
        <v>4045</v>
      </c>
      <c r="D69" s="634" t="s">
        <v>4018</v>
      </c>
      <c r="E69" s="633">
        <v>100.0</v>
      </c>
      <c r="F69" s="63" t="s">
        <v>132</v>
      </c>
      <c r="G69" s="634" t="s">
        <v>4046</v>
      </c>
      <c r="H69" s="634" t="s">
        <v>4047</v>
      </c>
      <c r="I69" s="633">
        <v>60.0</v>
      </c>
      <c r="J69" s="63" t="s">
        <v>132</v>
      </c>
      <c r="K69" s="634" t="s">
        <v>4048</v>
      </c>
      <c r="L69" s="634" t="s">
        <v>4035</v>
      </c>
      <c r="M69" s="636"/>
    </row>
    <row r="70" ht="15.75" customHeight="1">
      <c r="A70" s="633">
        <v>50.0</v>
      </c>
      <c r="B70" s="63" t="s">
        <v>132</v>
      </c>
      <c r="C70" s="634" t="s">
        <v>4049</v>
      </c>
      <c r="D70" s="634" t="s">
        <v>4018</v>
      </c>
      <c r="E70" s="643"/>
      <c r="F70" s="643"/>
      <c r="G70" s="639"/>
      <c r="H70" s="639"/>
      <c r="I70" s="633">
        <v>60.0</v>
      </c>
      <c r="J70" s="63" t="s">
        <v>132</v>
      </c>
      <c r="K70" s="634" t="s">
        <v>4050</v>
      </c>
      <c r="L70" s="634" t="s">
        <v>4024</v>
      </c>
      <c r="M70" s="636"/>
    </row>
    <row r="71" ht="15.75" customHeight="1">
      <c r="A71" s="633">
        <v>60.0</v>
      </c>
      <c r="B71" s="63" t="s">
        <v>132</v>
      </c>
      <c r="C71" s="634" t="s">
        <v>4051</v>
      </c>
      <c r="D71" s="634" t="s">
        <v>4036</v>
      </c>
      <c r="E71" s="643"/>
      <c r="F71" s="643"/>
      <c r="G71" s="639"/>
      <c r="H71" s="639"/>
      <c r="I71" s="633">
        <v>60.0</v>
      </c>
      <c r="J71" s="63" t="s">
        <v>132</v>
      </c>
      <c r="K71" s="634" t="s">
        <v>4052</v>
      </c>
      <c r="L71" s="634" t="s">
        <v>4028</v>
      </c>
      <c r="M71" s="636"/>
    </row>
    <row r="72" ht="15.75" customHeight="1">
      <c r="A72" s="633">
        <v>60.0</v>
      </c>
      <c r="B72" s="63" t="s">
        <v>132</v>
      </c>
      <c r="C72" s="634" t="s">
        <v>4053</v>
      </c>
      <c r="D72" s="634" t="s">
        <v>4025</v>
      </c>
      <c r="E72" s="643"/>
      <c r="F72" s="643"/>
      <c r="G72" s="639"/>
      <c r="H72" s="639"/>
      <c r="I72" s="633">
        <v>60.0</v>
      </c>
      <c r="J72" s="63" t="s">
        <v>132</v>
      </c>
      <c r="K72" s="634" t="s">
        <v>4054</v>
      </c>
      <c r="L72" s="634" t="s">
        <v>4031</v>
      </c>
      <c r="M72" s="636"/>
    </row>
    <row r="73" ht="15.75" customHeight="1">
      <c r="A73" s="633">
        <v>60.0</v>
      </c>
      <c r="B73" s="63" t="s">
        <v>132</v>
      </c>
      <c r="C73" s="634" t="s">
        <v>4055</v>
      </c>
      <c r="D73" s="634" t="s">
        <v>4029</v>
      </c>
      <c r="E73" s="643"/>
      <c r="F73" s="643"/>
      <c r="G73" s="639"/>
      <c r="H73" s="639"/>
      <c r="I73" s="633">
        <v>70.0</v>
      </c>
      <c r="J73" s="63" t="s">
        <v>132</v>
      </c>
      <c r="K73" s="634" t="s">
        <v>4056</v>
      </c>
      <c r="L73" s="634" t="s">
        <v>4057</v>
      </c>
      <c r="M73" s="636"/>
    </row>
    <row r="74" ht="15.75" customHeight="1">
      <c r="A74" s="633">
        <v>60.0</v>
      </c>
      <c r="B74" s="63" t="s">
        <v>132</v>
      </c>
      <c r="C74" s="634" t="s">
        <v>4058</v>
      </c>
      <c r="D74" s="634" t="s">
        <v>4032</v>
      </c>
      <c r="E74" s="643"/>
      <c r="F74" s="643"/>
      <c r="G74" s="639"/>
      <c r="H74" s="639"/>
      <c r="I74" s="633">
        <v>80.0</v>
      </c>
      <c r="J74" s="63" t="s">
        <v>132</v>
      </c>
      <c r="K74" s="634" t="s">
        <v>4059</v>
      </c>
      <c r="L74" s="634" t="s">
        <v>4048</v>
      </c>
      <c r="M74" s="636"/>
    </row>
    <row r="75" ht="15.75" customHeight="1">
      <c r="A75" s="633">
        <v>70.0</v>
      </c>
      <c r="B75" s="63" t="s">
        <v>132</v>
      </c>
      <c r="C75" s="634" t="s">
        <v>4060</v>
      </c>
      <c r="D75" s="634" t="s">
        <v>4021</v>
      </c>
      <c r="E75" s="643"/>
      <c r="F75" s="643"/>
      <c r="G75" s="639"/>
      <c r="H75" s="639"/>
      <c r="I75" s="633">
        <v>90.0</v>
      </c>
      <c r="J75" s="63" t="s">
        <v>132</v>
      </c>
      <c r="K75" s="634" t="s">
        <v>4061</v>
      </c>
      <c r="L75" s="634" t="s">
        <v>4050</v>
      </c>
      <c r="M75" s="636"/>
    </row>
    <row r="76" ht="15.75" customHeight="1">
      <c r="A76" s="633">
        <v>80.0</v>
      </c>
      <c r="B76" s="63" t="s">
        <v>132</v>
      </c>
      <c r="C76" s="634" t="s">
        <v>4062</v>
      </c>
      <c r="D76" s="634" t="s">
        <v>4051</v>
      </c>
      <c r="E76" s="643"/>
      <c r="F76" s="643"/>
      <c r="G76" s="639"/>
      <c r="H76" s="639"/>
      <c r="I76" s="633">
        <v>90.0</v>
      </c>
      <c r="J76" s="63" t="s">
        <v>132</v>
      </c>
      <c r="K76" s="634" t="s">
        <v>4063</v>
      </c>
      <c r="L76" s="634" t="s">
        <v>4052</v>
      </c>
      <c r="M76" s="636"/>
    </row>
    <row r="77" ht="15.75" customHeight="1">
      <c r="A77" s="633">
        <v>90.0</v>
      </c>
      <c r="B77" s="63" t="s">
        <v>132</v>
      </c>
      <c r="C77" s="634" t="s">
        <v>4064</v>
      </c>
      <c r="D77" s="634" t="s">
        <v>4053</v>
      </c>
      <c r="E77" s="643"/>
      <c r="F77" s="643"/>
      <c r="G77" s="639"/>
      <c r="H77" s="639"/>
      <c r="I77" s="633">
        <v>90.0</v>
      </c>
      <c r="J77" s="63" t="s">
        <v>132</v>
      </c>
      <c r="K77" s="634" t="s">
        <v>4065</v>
      </c>
      <c r="L77" s="634" t="s">
        <v>4054</v>
      </c>
      <c r="M77" s="636"/>
    </row>
    <row r="78" ht="15.75" customHeight="1">
      <c r="A78" s="633">
        <v>90.0</v>
      </c>
      <c r="B78" s="63" t="s">
        <v>132</v>
      </c>
      <c r="C78" s="634" t="s">
        <v>4066</v>
      </c>
      <c r="D78" s="634" t="s">
        <v>4055</v>
      </c>
      <c r="E78" s="643"/>
      <c r="F78" s="643"/>
      <c r="G78" s="639"/>
      <c r="H78" s="639"/>
      <c r="I78" s="633">
        <v>100.0</v>
      </c>
      <c r="J78" s="63" t="s">
        <v>132</v>
      </c>
      <c r="K78" s="634" t="s">
        <v>4067</v>
      </c>
      <c r="L78" s="634" t="s">
        <v>4056</v>
      </c>
      <c r="M78" s="636"/>
    </row>
    <row r="79" ht="15.75" customHeight="1">
      <c r="A79" s="633">
        <v>90.0</v>
      </c>
      <c r="B79" s="63" t="s">
        <v>132</v>
      </c>
      <c r="C79" s="634" t="s">
        <v>4068</v>
      </c>
      <c r="D79" s="634" t="s">
        <v>4058</v>
      </c>
      <c r="E79" s="643"/>
      <c r="F79" s="643"/>
      <c r="G79" s="639"/>
      <c r="H79" s="639"/>
      <c r="I79" s="643"/>
      <c r="J79" s="643"/>
      <c r="K79" s="639"/>
      <c r="L79" s="639"/>
      <c r="M79" s="636"/>
    </row>
    <row r="80" ht="15.75" customHeight="1">
      <c r="A80" s="633">
        <v>100.0</v>
      </c>
      <c r="B80" s="63" t="s">
        <v>132</v>
      </c>
      <c r="C80" s="634" t="s">
        <v>4069</v>
      </c>
      <c r="D80" s="634" t="s">
        <v>4070</v>
      </c>
      <c r="E80" s="643"/>
      <c r="F80" s="643"/>
      <c r="G80" s="639"/>
      <c r="H80" s="639"/>
      <c r="I80" s="643"/>
      <c r="J80" s="643"/>
      <c r="K80" s="639"/>
      <c r="L80" s="639"/>
      <c r="M80" s="636"/>
    </row>
    <row r="81" ht="30.0" customHeight="1">
      <c r="A81" s="438" t="s">
        <v>4071</v>
      </c>
      <c r="B81" s="38"/>
      <c r="C81" s="38"/>
      <c r="D81" s="38"/>
      <c r="E81" s="38"/>
      <c r="F81" s="38"/>
      <c r="G81" s="38"/>
      <c r="H81" s="38"/>
      <c r="I81" s="38"/>
      <c r="J81" s="38"/>
      <c r="K81" s="38"/>
      <c r="L81" s="39"/>
      <c r="M81" s="642"/>
    </row>
    <row r="82" ht="15.75" customHeight="1">
      <c r="A82" s="625" t="str">
        <f>HYPERLINK("https://en.uesp.net/wiki/Skyrim:Alteration","Alteration")</f>
        <v>Alteration</v>
      </c>
      <c r="B82" s="38"/>
      <c r="C82" s="38"/>
      <c r="D82" s="39"/>
      <c r="E82" s="625" t="str">
        <f>HYPERLINK("https://en.uesp.net/wiki/Skyrim:Conjuration","Conjuration")</f>
        <v>Conjuration</v>
      </c>
      <c r="F82" s="38"/>
      <c r="G82" s="38"/>
      <c r="H82" s="39"/>
      <c r="I82" s="625" t="str">
        <f>HYPERLINK("https://en.uesp.net/wiki/Skyrim:Destruction","Destruction")</f>
        <v>Destruction</v>
      </c>
      <c r="J82" s="38"/>
      <c r="K82" s="38"/>
      <c r="L82" s="39"/>
      <c r="M82" s="640"/>
    </row>
    <row r="83" ht="15.75" customHeight="1">
      <c r="A83" s="626" t="s">
        <v>3878</v>
      </c>
      <c r="B83" s="627" t="s">
        <v>1511</v>
      </c>
      <c r="C83" s="626" t="s">
        <v>4072</v>
      </c>
      <c r="D83" s="626" t="s">
        <v>3880</v>
      </c>
      <c r="E83" s="626" t="s">
        <v>3878</v>
      </c>
      <c r="F83" s="627" t="s">
        <v>1511</v>
      </c>
      <c r="G83" s="626" t="s">
        <v>3879</v>
      </c>
      <c r="H83" s="626" t="s">
        <v>3880</v>
      </c>
      <c r="I83" s="626" t="s">
        <v>3878</v>
      </c>
      <c r="J83" s="627" t="s">
        <v>1511</v>
      </c>
      <c r="K83" s="626" t="s">
        <v>3879</v>
      </c>
      <c r="L83" s="626" t="s">
        <v>3880</v>
      </c>
      <c r="M83" s="641"/>
    </row>
    <row r="84" ht="15.75" customHeight="1">
      <c r="A84" s="41" t="s">
        <v>1524</v>
      </c>
      <c r="B84" s="628">
        <f>countif(B85:B98,"Y")/14</f>
        <v>0</v>
      </c>
      <c r="C84" s="41" t="s">
        <v>1524</v>
      </c>
      <c r="D84" s="41" t="s">
        <v>1524</v>
      </c>
      <c r="E84" s="41" t="s">
        <v>1524</v>
      </c>
      <c r="F84" s="628">
        <f>countif(F85:F100,"Y")/16</f>
        <v>0</v>
      </c>
      <c r="G84" s="41" t="s">
        <v>1524</v>
      </c>
      <c r="H84" s="41" t="s">
        <v>1524</v>
      </c>
      <c r="I84" s="41" t="s">
        <v>1524</v>
      </c>
      <c r="J84" s="628">
        <f>countif(J85:J101,"Y")/17</f>
        <v>0</v>
      </c>
      <c r="K84" s="41" t="s">
        <v>1524</v>
      </c>
      <c r="L84" s="41" t="s">
        <v>1524</v>
      </c>
      <c r="M84" s="642"/>
    </row>
    <row r="85" ht="15.75" customHeight="1">
      <c r="A85" s="633">
        <v>0.0</v>
      </c>
      <c r="B85" s="63" t="s">
        <v>132</v>
      </c>
      <c r="C85" s="634" t="s">
        <v>3885</v>
      </c>
      <c r="D85" s="408" t="s">
        <v>1524</v>
      </c>
      <c r="E85" s="633">
        <v>0.0</v>
      </c>
      <c r="F85" s="63" t="s">
        <v>132</v>
      </c>
      <c r="G85" s="634" t="s">
        <v>3885</v>
      </c>
      <c r="H85" s="408" t="s">
        <v>1524</v>
      </c>
      <c r="I85" s="633">
        <v>0.0</v>
      </c>
      <c r="J85" s="63" t="s">
        <v>132</v>
      </c>
      <c r="K85" s="634" t="s">
        <v>3885</v>
      </c>
      <c r="L85" s="408" t="s">
        <v>1524</v>
      </c>
      <c r="M85" s="635"/>
    </row>
    <row r="86" ht="15.75" customHeight="1">
      <c r="A86" s="633">
        <v>20.0</v>
      </c>
      <c r="B86" s="63" t="s">
        <v>132</v>
      </c>
      <c r="C86" s="634" t="s">
        <v>4073</v>
      </c>
      <c r="D86" s="634" t="s">
        <v>3885</v>
      </c>
      <c r="E86" s="633">
        <v>20.0</v>
      </c>
      <c r="F86" s="63" t="s">
        <v>132</v>
      </c>
      <c r="G86" s="634" t="s">
        <v>4073</v>
      </c>
      <c r="H86" s="634" t="s">
        <v>3885</v>
      </c>
      <c r="I86" s="633">
        <v>20.0</v>
      </c>
      <c r="J86" s="63" t="s">
        <v>132</v>
      </c>
      <c r="K86" s="634" t="s">
        <v>4073</v>
      </c>
      <c r="L86" s="634" t="s">
        <v>3885</v>
      </c>
      <c r="M86" s="636"/>
    </row>
    <row r="87" ht="15.75" customHeight="1">
      <c r="A87" s="633">
        <v>25.0</v>
      </c>
      <c r="B87" s="63" t="s">
        <v>132</v>
      </c>
      <c r="C87" s="634" t="s">
        <v>3889</v>
      </c>
      <c r="D87" s="634" t="s">
        <v>3885</v>
      </c>
      <c r="E87" s="633">
        <v>20.0</v>
      </c>
      <c r="F87" s="63" t="s">
        <v>132</v>
      </c>
      <c r="G87" s="634" t="s">
        <v>4074</v>
      </c>
      <c r="H87" s="634" t="s">
        <v>3885</v>
      </c>
      <c r="I87" s="633">
        <v>25.0</v>
      </c>
      <c r="J87" s="63" t="s">
        <v>132</v>
      </c>
      <c r="K87" s="634" t="s">
        <v>3889</v>
      </c>
      <c r="L87" s="634" t="s">
        <v>3885</v>
      </c>
      <c r="M87" s="636"/>
    </row>
    <row r="88" ht="15.75" customHeight="1">
      <c r="A88" s="633">
        <v>30.0</v>
      </c>
      <c r="B88" s="63" t="s">
        <v>132</v>
      </c>
      <c r="C88" s="634" t="s">
        <v>4075</v>
      </c>
      <c r="D88" s="634" t="s">
        <v>3889</v>
      </c>
      <c r="E88" s="633">
        <v>25.0</v>
      </c>
      <c r="F88" s="63" t="s">
        <v>132</v>
      </c>
      <c r="G88" s="634" t="s">
        <v>3889</v>
      </c>
      <c r="H88" s="634" t="s">
        <v>3885</v>
      </c>
      <c r="I88" s="633">
        <v>30.0</v>
      </c>
      <c r="J88" s="63" t="s">
        <v>132</v>
      </c>
      <c r="K88" s="634" t="s">
        <v>4076</v>
      </c>
      <c r="L88" s="634" t="s">
        <v>3885</v>
      </c>
      <c r="M88" s="636"/>
    </row>
    <row r="89" ht="15.75" customHeight="1">
      <c r="A89" s="633">
        <v>30.0</v>
      </c>
      <c r="B89" s="63" t="s">
        <v>132</v>
      </c>
      <c r="C89" s="634" t="s">
        <v>4077</v>
      </c>
      <c r="D89" s="634" t="s">
        <v>3889</v>
      </c>
      <c r="E89" s="633">
        <v>30.0</v>
      </c>
      <c r="F89" s="63" t="s">
        <v>132</v>
      </c>
      <c r="G89" s="634" t="s">
        <v>4078</v>
      </c>
      <c r="H89" s="634" t="s">
        <v>3885</v>
      </c>
      <c r="I89" s="633">
        <v>30.0</v>
      </c>
      <c r="J89" s="63" t="s">
        <v>132</v>
      </c>
      <c r="K89" s="634" t="s">
        <v>4079</v>
      </c>
      <c r="L89" s="634" t="s">
        <v>3885</v>
      </c>
      <c r="M89" s="636"/>
    </row>
    <row r="90" ht="15.75" customHeight="1">
      <c r="A90" s="633">
        <v>50.0</v>
      </c>
      <c r="B90" s="63" t="s">
        <v>132</v>
      </c>
      <c r="C90" s="634" t="s">
        <v>3900</v>
      </c>
      <c r="D90" s="634" t="s">
        <v>3889</v>
      </c>
      <c r="E90" s="633">
        <v>30.0</v>
      </c>
      <c r="F90" s="63" t="s">
        <v>132</v>
      </c>
      <c r="G90" s="634" t="s">
        <v>4080</v>
      </c>
      <c r="H90" s="634" t="s">
        <v>4074</v>
      </c>
      <c r="I90" s="633">
        <v>30.0</v>
      </c>
      <c r="J90" s="63" t="s">
        <v>132</v>
      </c>
      <c r="K90" s="634" t="s">
        <v>4081</v>
      </c>
      <c r="L90" s="634" t="s">
        <v>3885</v>
      </c>
      <c r="M90" s="636"/>
    </row>
    <row r="91" ht="15.75" customHeight="1">
      <c r="A91" s="633">
        <v>60.0</v>
      </c>
      <c r="B91" s="63" t="s">
        <v>132</v>
      </c>
      <c r="C91" s="634" t="s">
        <v>4082</v>
      </c>
      <c r="D91" s="634" t="s">
        <v>4075</v>
      </c>
      <c r="E91" s="633">
        <v>40.0</v>
      </c>
      <c r="F91" s="63" t="s">
        <v>132</v>
      </c>
      <c r="G91" s="634" t="s">
        <v>4083</v>
      </c>
      <c r="H91" s="634" t="s">
        <v>4078</v>
      </c>
      <c r="I91" s="633">
        <v>40.0</v>
      </c>
      <c r="J91" s="63" t="s">
        <v>132</v>
      </c>
      <c r="K91" s="634" t="s">
        <v>4084</v>
      </c>
      <c r="L91" s="634" t="s">
        <v>4073</v>
      </c>
      <c r="M91" s="636"/>
    </row>
    <row r="92" ht="15.75" customHeight="1">
      <c r="A92" s="633">
        <v>60.0</v>
      </c>
      <c r="B92" s="63" t="s">
        <v>132</v>
      </c>
      <c r="C92" s="634" t="s">
        <v>4085</v>
      </c>
      <c r="D92" s="634" t="s">
        <v>4077</v>
      </c>
      <c r="E92" s="633">
        <v>40.0</v>
      </c>
      <c r="F92" s="63" t="s">
        <v>132</v>
      </c>
      <c r="G92" s="634" t="s">
        <v>4086</v>
      </c>
      <c r="H92" s="634" t="s">
        <v>3885</v>
      </c>
      <c r="I92" s="633">
        <v>40.0</v>
      </c>
      <c r="J92" s="63" t="s">
        <v>132</v>
      </c>
      <c r="K92" s="634" t="s">
        <v>4087</v>
      </c>
      <c r="L92" s="634" t="s">
        <v>3889</v>
      </c>
      <c r="M92" s="636"/>
    </row>
    <row r="93" ht="15.75" customHeight="1">
      <c r="A93" s="633">
        <v>70.0</v>
      </c>
      <c r="B93" s="63" t="s">
        <v>132</v>
      </c>
      <c r="C93" s="634" t="s">
        <v>4088</v>
      </c>
      <c r="D93" s="634" t="s">
        <v>3900</v>
      </c>
      <c r="E93" s="633">
        <v>50.0</v>
      </c>
      <c r="F93" s="63" t="s">
        <v>132</v>
      </c>
      <c r="G93" s="634" t="s">
        <v>3900</v>
      </c>
      <c r="H93" s="634" t="s">
        <v>3889</v>
      </c>
      <c r="I93" s="633">
        <v>50.0</v>
      </c>
      <c r="J93" s="63" t="s">
        <v>132</v>
      </c>
      <c r="K93" s="634" t="s">
        <v>3900</v>
      </c>
      <c r="L93" s="634" t="s">
        <v>3889</v>
      </c>
      <c r="M93" s="636"/>
    </row>
    <row r="94" ht="15.75" customHeight="1">
      <c r="A94" s="633">
        <v>75.0</v>
      </c>
      <c r="B94" s="63" t="s">
        <v>132</v>
      </c>
      <c r="C94" s="634" t="s">
        <v>3910</v>
      </c>
      <c r="D94" s="634" t="s">
        <v>3900</v>
      </c>
      <c r="E94" s="633">
        <v>50.0</v>
      </c>
      <c r="F94" s="63" t="s">
        <v>132</v>
      </c>
      <c r="G94" s="634" t="s">
        <v>4089</v>
      </c>
      <c r="H94" s="634" t="s">
        <v>4078</v>
      </c>
      <c r="I94" s="633">
        <v>50.0</v>
      </c>
      <c r="J94" s="63" t="s">
        <v>132</v>
      </c>
      <c r="K94" s="634" t="s">
        <v>4090</v>
      </c>
      <c r="L94" s="634" t="s">
        <v>4076</v>
      </c>
      <c r="M94" s="636"/>
    </row>
    <row r="95" ht="15.75" customHeight="1">
      <c r="A95" s="633">
        <v>90.0</v>
      </c>
      <c r="B95" s="63" t="s">
        <v>132</v>
      </c>
      <c r="C95" s="634" t="s">
        <v>4091</v>
      </c>
      <c r="D95" s="634" t="s">
        <v>4082</v>
      </c>
      <c r="E95" s="633">
        <v>50.0</v>
      </c>
      <c r="F95" s="63" t="s">
        <v>132</v>
      </c>
      <c r="G95" s="634" t="s">
        <v>4092</v>
      </c>
      <c r="H95" s="634" t="s">
        <v>4080</v>
      </c>
      <c r="I95" s="633">
        <v>50.0</v>
      </c>
      <c r="J95" s="63" t="s">
        <v>132</v>
      </c>
      <c r="K95" s="634" t="s">
        <v>4093</v>
      </c>
      <c r="L95" s="634" t="s">
        <v>4076</v>
      </c>
      <c r="M95" s="636"/>
    </row>
    <row r="96" ht="15.75" customHeight="1">
      <c r="A96" s="633">
        <v>90.0</v>
      </c>
      <c r="B96" s="63" t="s">
        <v>132</v>
      </c>
      <c r="C96" s="634" t="s">
        <v>4094</v>
      </c>
      <c r="D96" s="634" t="s">
        <v>4085</v>
      </c>
      <c r="E96" s="633">
        <v>70.0</v>
      </c>
      <c r="F96" s="63" t="s">
        <v>132</v>
      </c>
      <c r="G96" s="634" t="s">
        <v>4095</v>
      </c>
      <c r="H96" s="634" t="s">
        <v>4086</v>
      </c>
      <c r="I96" s="633">
        <v>50.0</v>
      </c>
      <c r="J96" s="63" t="s">
        <v>132</v>
      </c>
      <c r="K96" s="634" t="s">
        <v>4096</v>
      </c>
      <c r="L96" s="634" t="s">
        <v>4079</v>
      </c>
      <c r="M96" s="636"/>
    </row>
    <row r="97" ht="15.75" customHeight="1">
      <c r="A97" s="633">
        <v>100.0</v>
      </c>
      <c r="B97" s="63" t="s">
        <v>132</v>
      </c>
      <c r="C97" s="634" t="s">
        <v>3921</v>
      </c>
      <c r="D97" s="634" t="s">
        <v>3910</v>
      </c>
      <c r="E97" s="633">
        <v>75.0</v>
      </c>
      <c r="F97" s="63" t="s">
        <v>132</v>
      </c>
      <c r="G97" s="634" t="s">
        <v>3910</v>
      </c>
      <c r="H97" s="634" t="s">
        <v>3900</v>
      </c>
      <c r="I97" s="633">
        <v>50.0</v>
      </c>
      <c r="J97" s="63" t="s">
        <v>132</v>
      </c>
      <c r="K97" s="634" t="s">
        <v>4097</v>
      </c>
      <c r="L97" s="634" t="s">
        <v>4081</v>
      </c>
      <c r="M97" s="636"/>
    </row>
    <row r="98" ht="15.75" customHeight="1">
      <c r="A98" s="633">
        <v>100.0</v>
      </c>
      <c r="B98" s="63" t="s">
        <v>132</v>
      </c>
      <c r="C98" s="634" t="s">
        <v>4098</v>
      </c>
      <c r="D98" s="634" t="s">
        <v>3910</v>
      </c>
      <c r="E98" s="633">
        <v>80.0</v>
      </c>
      <c r="F98" s="63" t="s">
        <v>132</v>
      </c>
      <c r="G98" s="408" t="s">
        <v>4099</v>
      </c>
      <c r="H98" s="634" t="s">
        <v>4083</v>
      </c>
      <c r="I98" s="633">
        <v>60.0</v>
      </c>
      <c r="J98" s="63" t="s">
        <v>132</v>
      </c>
      <c r="K98" s="634" t="s">
        <v>4100</v>
      </c>
      <c r="L98" s="634" t="s">
        <v>4079</v>
      </c>
      <c r="M98" s="636"/>
    </row>
    <row r="99" ht="15.75" customHeight="1">
      <c r="A99" s="643"/>
      <c r="B99" s="643"/>
      <c r="C99" s="639"/>
      <c r="D99" s="639"/>
      <c r="E99" s="633">
        <v>100.0</v>
      </c>
      <c r="F99" s="63" t="s">
        <v>132</v>
      </c>
      <c r="G99" s="634" t="s">
        <v>3921</v>
      </c>
      <c r="H99" s="634" t="s">
        <v>3910</v>
      </c>
      <c r="I99" s="633">
        <v>70.0</v>
      </c>
      <c r="J99" s="63" t="s">
        <v>132</v>
      </c>
      <c r="K99" s="634" t="s">
        <v>4101</v>
      </c>
      <c r="L99" s="634" t="s">
        <v>4081</v>
      </c>
      <c r="M99" s="636"/>
    </row>
    <row r="100" ht="15.75" customHeight="1">
      <c r="A100" s="643"/>
      <c r="B100" s="643"/>
      <c r="C100" s="639"/>
      <c r="D100" s="639"/>
      <c r="E100" s="633">
        <v>100.0</v>
      </c>
      <c r="F100" s="63" t="s">
        <v>132</v>
      </c>
      <c r="G100" s="634" t="s">
        <v>4102</v>
      </c>
      <c r="H100" s="634" t="s">
        <v>4095</v>
      </c>
      <c r="I100" s="633">
        <v>75.0</v>
      </c>
      <c r="J100" s="63" t="s">
        <v>132</v>
      </c>
      <c r="K100" s="634" t="s">
        <v>3910</v>
      </c>
      <c r="L100" s="634" t="s">
        <v>3900</v>
      </c>
      <c r="M100" s="636"/>
    </row>
    <row r="101" ht="15.75" customHeight="1">
      <c r="A101" s="644">
        <f>AVERAGE(B5,B23,J23,F23,F5,J5,J40,J59,F40,F59,B40,B59,B104,F84,F104,B84,J104,J84,B121,F121)</f>
        <v>0</v>
      </c>
      <c r="B101" s="645"/>
      <c r="C101" s="646"/>
      <c r="D101" s="646"/>
      <c r="E101" s="645"/>
      <c r="F101" s="647"/>
      <c r="G101" s="646"/>
      <c r="H101" s="646"/>
      <c r="I101" s="63">
        <v>100.0</v>
      </c>
      <c r="J101" s="63" t="s">
        <v>132</v>
      </c>
      <c r="K101" s="634" t="s">
        <v>3921</v>
      </c>
      <c r="L101" s="408" t="s">
        <v>3910</v>
      </c>
      <c r="M101" s="635"/>
    </row>
    <row r="102" ht="15.75" customHeight="1">
      <c r="A102" s="625" t="str">
        <f>HYPERLINK("https://en.uesp.net/wiki/Skyrim:Enchanting","Enchanting")</f>
        <v>Enchanting</v>
      </c>
      <c r="B102" s="38"/>
      <c r="C102" s="38"/>
      <c r="D102" s="39"/>
      <c r="E102" s="625" t="str">
        <f>HYPERLINK("https://en.uesp.net/wiki/Skyrim:Illusion","Illusion")</f>
        <v>Illusion</v>
      </c>
      <c r="F102" s="38"/>
      <c r="G102" s="38"/>
      <c r="H102" s="39"/>
      <c r="I102" s="625" t="str">
        <f>HYPERLINK("https://en.uesp.net/wiki/Skyrim:Restoration","Restoration")</f>
        <v>Restoration</v>
      </c>
      <c r="J102" s="38"/>
      <c r="K102" s="38"/>
      <c r="L102" s="39"/>
      <c r="M102" s="640"/>
    </row>
    <row r="103" ht="15.75" customHeight="1">
      <c r="A103" s="626" t="s">
        <v>3878</v>
      </c>
      <c r="B103" s="627" t="s">
        <v>1511</v>
      </c>
      <c r="C103" s="626" t="s">
        <v>3879</v>
      </c>
      <c r="D103" s="626" t="s">
        <v>3880</v>
      </c>
      <c r="E103" s="626" t="s">
        <v>3878</v>
      </c>
      <c r="F103" s="627" t="s">
        <v>1511</v>
      </c>
      <c r="G103" s="626" t="s">
        <v>3879</v>
      </c>
      <c r="H103" s="626" t="s">
        <v>3880</v>
      </c>
      <c r="I103" s="626" t="s">
        <v>3878</v>
      </c>
      <c r="J103" s="627" t="s">
        <v>1511</v>
      </c>
      <c r="K103" s="626" t="s">
        <v>3879</v>
      </c>
      <c r="L103" s="626" t="s">
        <v>3880</v>
      </c>
      <c r="M103" s="641"/>
    </row>
    <row r="104" ht="15.75" customHeight="1">
      <c r="A104" s="41" t="s">
        <v>1524</v>
      </c>
      <c r="B104" s="628">
        <f>countif(B105:B117,"Y")/13</f>
        <v>0</v>
      </c>
      <c r="C104" s="41" t="s">
        <v>1524</v>
      </c>
      <c r="D104" s="41" t="s">
        <v>1524</v>
      </c>
      <c r="E104" s="41" t="s">
        <v>1524</v>
      </c>
      <c r="F104" s="628">
        <f>countif(F105:F117,"Y")/13</f>
        <v>0</v>
      </c>
      <c r="G104" s="41" t="s">
        <v>1524</v>
      </c>
      <c r="H104" s="41" t="s">
        <v>1524</v>
      </c>
      <c r="I104" s="41" t="s">
        <v>1524</v>
      </c>
      <c r="J104" s="628">
        <f>countif(J105:J117,"Y")/13</f>
        <v>0</v>
      </c>
      <c r="K104" s="41" t="s">
        <v>1524</v>
      </c>
      <c r="L104" s="41" t="s">
        <v>1524</v>
      </c>
      <c r="M104" s="642"/>
    </row>
    <row r="105" ht="15.75" customHeight="1">
      <c r="A105" s="633">
        <v>0.0</v>
      </c>
      <c r="B105" s="63" t="s">
        <v>132</v>
      </c>
      <c r="C105" s="634" t="s">
        <v>4103</v>
      </c>
      <c r="D105" s="408" t="s">
        <v>1524</v>
      </c>
      <c r="E105" s="633">
        <v>0.0</v>
      </c>
      <c r="F105" s="63" t="s">
        <v>132</v>
      </c>
      <c r="G105" s="634" t="s">
        <v>3885</v>
      </c>
      <c r="H105" s="408" t="s">
        <v>1524</v>
      </c>
      <c r="I105" s="633">
        <v>0.0</v>
      </c>
      <c r="J105" s="63" t="s">
        <v>132</v>
      </c>
      <c r="K105" s="634" t="s">
        <v>3885</v>
      </c>
      <c r="L105" s="408" t="s">
        <v>1524</v>
      </c>
      <c r="M105" s="635"/>
    </row>
    <row r="106" ht="15.75" customHeight="1">
      <c r="A106" s="633">
        <v>20.0</v>
      </c>
      <c r="B106" s="63" t="s">
        <v>132</v>
      </c>
      <c r="C106" s="634" t="s">
        <v>4104</v>
      </c>
      <c r="D106" s="634" t="s">
        <v>4103</v>
      </c>
      <c r="E106" s="633">
        <v>20.0</v>
      </c>
      <c r="F106" s="63" t="s">
        <v>132</v>
      </c>
      <c r="G106" s="634" t="s">
        <v>4073</v>
      </c>
      <c r="H106" s="634" t="s">
        <v>3885</v>
      </c>
      <c r="I106" s="633">
        <v>20.0</v>
      </c>
      <c r="J106" s="63" t="s">
        <v>132</v>
      </c>
      <c r="K106" s="634" t="s">
        <v>4073</v>
      </c>
      <c r="L106" s="634" t="s">
        <v>3885</v>
      </c>
      <c r="M106" s="636"/>
    </row>
    <row r="107" ht="15.75" customHeight="1">
      <c r="A107" s="633">
        <v>20.0</v>
      </c>
      <c r="B107" s="63" t="s">
        <v>132</v>
      </c>
      <c r="C107" s="634" t="s">
        <v>4105</v>
      </c>
      <c r="D107" s="634" t="s">
        <v>4103</v>
      </c>
      <c r="E107" s="633">
        <v>20.0</v>
      </c>
      <c r="F107" s="63" t="s">
        <v>132</v>
      </c>
      <c r="G107" s="634" t="s">
        <v>4106</v>
      </c>
      <c r="H107" s="634" t="s">
        <v>3885</v>
      </c>
      <c r="I107" s="633">
        <v>20.0</v>
      </c>
      <c r="J107" s="63" t="s">
        <v>132</v>
      </c>
      <c r="K107" s="634" t="s">
        <v>4107</v>
      </c>
      <c r="L107" s="634" t="s">
        <v>3885</v>
      </c>
      <c r="M107" s="636"/>
    </row>
    <row r="108" ht="15.75" customHeight="1">
      <c r="A108" s="633">
        <v>30.0</v>
      </c>
      <c r="B108" s="63" t="s">
        <v>132</v>
      </c>
      <c r="C108" s="634" t="s">
        <v>4108</v>
      </c>
      <c r="D108" s="634" t="s">
        <v>4103</v>
      </c>
      <c r="E108" s="633">
        <v>25.0</v>
      </c>
      <c r="F108" s="63" t="s">
        <v>132</v>
      </c>
      <c r="G108" s="634" t="s">
        <v>3889</v>
      </c>
      <c r="H108" s="634" t="s">
        <v>3885</v>
      </c>
      <c r="I108" s="633">
        <v>25.0</v>
      </c>
      <c r="J108" s="63" t="s">
        <v>132</v>
      </c>
      <c r="K108" s="634" t="s">
        <v>3889</v>
      </c>
      <c r="L108" s="634" t="s">
        <v>3885</v>
      </c>
      <c r="M108" s="636"/>
    </row>
    <row r="109" ht="15.75" customHeight="1">
      <c r="A109" s="633">
        <v>40.0</v>
      </c>
      <c r="B109" s="63" t="s">
        <v>132</v>
      </c>
      <c r="C109" s="634" t="s">
        <v>4109</v>
      </c>
      <c r="D109" s="634" t="s">
        <v>4104</v>
      </c>
      <c r="E109" s="633">
        <v>30.0</v>
      </c>
      <c r="F109" s="63" t="s">
        <v>132</v>
      </c>
      <c r="G109" s="634" t="s">
        <v>4110</v>
      </c>
      <c r="H109" s="634" t="s">
        <v>3885</v>
      </c>
      <c r="I109" s="633">
        <v>30.0</v>
      </c>
      <c r="J109" s="63" t="s">
        <v>132</v>
      </c>
      <c r="K109" s="634" t="s">
        <v>4111</v>
      </c>
      <c r="L109" s="634" t="s">
        <v>3885</v>
      </c>
      <c r="M109" s="636"/>
    </row>
    <row r="110" ht="15.75" customHeight="1">
      <c r="A110" s="633">
        <v>40.0</v>
      </c>
      <c r="B110" s="63" t="s">
        <v>132</v>
      </c>
      <c r="C110" s="634" t="s">
        <v>4112</v>
      </c>
      <c r="D110" s="634" t="s">
        <v>4105</v>
      </c>
      <c r="E110" s="633">
        <v>40.0</v>
      </c>
      <c r="F110" s="63" t="s">
        <v>132</v>
      </c>
      <c r="G110" s="634" t="s">
        <v>4113</v>
      </c>
      <c r="H110" s="634" t="s">
        <v>4106</v>
      </c>
      <c r="I110" s="633">
        <v>40.0</v>
      </c>
      <c r="J110" s="63" t="s">
        <v>132</v>
      </c>
      <c r="K110" s="634" t="s">
        <v>4114</v>
      </c>
      <c r="L110" s="634" t="s">
        <v>3885</v>
      </c>
      <c r="M110" s="636"/>
    </row>
    <row r="111" ht="15.75" customHeight="1">
      <c r="A111" s="633">
        <v>40.0</v>
      </c>
      <c r="B111" s="63" t="s">
        <v>132</v>
      </c>
      <c r="C111" s="634" t="s">
        <v>4115</v>
      </c>
      <c r="D111" s="634" t="s">
        <v>4108</v>
      </c>
      <c r="E111" s="633">
        <v>50.0</v>
      </c>
      <c r="F111" s="63" t="s">
        <v>132</v>
      </c>
      <c r="G111" s="634" t="s">
        <v>3900</v>
      </c>
      <c r="H111" s="634" t="s">
        <v>3889</v>
      </c>
      <c r="I111" s="633">
        <v>50.0</v>
      </c>
      <c r="J111" s="63" t="s">
        <v>132</v>
      </c>
      <c r="K111" s="634" t="s">
        <v>3900</v>
      </c>
      <c r="L111" s="634" t="s">
        <v>3889</v>
      </c>
      <c r="M111" s="636"/>
    </row>
    <row r="112" ht="15.75" customHeight="1">
      <c r="A112" s="633">
        <v>50.0</v>
      </c>
      <c r="B112" s="63" t="s">
        <v>132</v>
      </c>
      <c r="C112" s="634" t="s">
        <v>4116</v>
      </c>
      <c r="D112" s="634" t="s">
        <v>4115</v>
      </c>
      <c r="E112" s="633">
        <v>50.0</v>
      </c>
      <c r="F112" s="63" t="s">
        <v>132</v>
      </c>
      <c r="G112" s="634" t="s">
        <v>4117</v>
      </c>
      <c r="H112" s="634" t="s">
        <v>4110</v>
      </c>
      <c r="I112" s="633">
        <v>50.0</v>
      </c>
      <c r="J112" s="63" t="s">
        <v>132</v>
      </c>
      <c r="K112" s="634" t="s">
        <v>4118</v>
      </c>
      <c r="L112" s="634" t="s">
        <v>4111</v>
      </c>
      <c r="M112" s="636"/>
    </row>
    <row r="113" ht="15.75" customHeight="1">
      <c r="A113" s="633">
        <v>50.0</v>
      </c>
      <c r="B113" s="63" t="s">
        <v>132</v>
      </c>
      <c r="C113" s="634" t="s">
        <v>4119</v>
      </c>
      <c r="D113" s="634" t="s">
        <v>4103</v>
      </c>
      <c r="E113" s="633">
        <v>50.0</v>
      </c>
      <c r="F113" s="63" t="s">
        <v>132</v>
      </c>
      <c r="G113" s="634" t="s">
        <v>4120</v>
      </c>
      <c r="H113" s="634" t="s">
        <v>4113</v>
      </c>
      <c r="I113" s="633">
        <v>60.0</v>
      </c>
      <c r="J113" s="63" t="s">
        <v>132</v>
      </c>
      <c r="K113" s="634" t="s">
        <v>4121</v>
      </c>
      <c r="L113" s="634" t="s">
        <v>3885</v>
      </c>
      <c r="M113" s="636"/>
    </row>
    <row r="114" ht="15.75" customHeight="1">
      <c r="A114" s="633">
        <v>60.0</v>
      </c>
      <c r="B114" s="63" t="s">
        <v>132</v>
      </c>
      <c r="C114" s="634" t="s">
        <v>4122</v>
      </c>
      <c r="D114" s="634" t="s">
        <v>4109</v>
      </c>
      <c r="E114" s="633">
        <v>70.0</v>
      </c>
      <c r="F114" s="63" t="s">
        <v>132</v>
      </c>
      <c r="G114" s="634" t="s">
        <v>4123</v>
      </c>
      <c r="H114" s="634" t="s">
        <v>4117</v>
      </c>
      <c r="I114" s="633">
        <v>70.0</v>
      </c>
      <c r="J114" s="63" t="s">
        <v>132</v>
      </c>
      <c r="K114" s="634" t="s">
        <v>4124</v>
      </c>
      <c r="L114" s="634" t="s">
        <v>4107</v>
      </c>
      <c r="M114" s="636"/>
    </row>
    <row r="115" ht="15.75" customHeight="1">
      <c r="A115" s="633">
        <v>70.0</v>
      </c>
      <c r="B115" s="63" t="s">
        <v>132</v>
      </c>
      <c r="C115" s="634" t="s">
        <v>4125</v>
      </c>
      <c r="D115" s="634" t="s">
        <v>4126</v>
      </c>
      <c r="E115" s="633">
        <v>75.0</v>
      </c>
      <c r="F115" s="63" t="s">
        <v>132</v>
      </c>
      <c r="G115" s="634" t="s">
        <v>3910</v>
      </c>
      <c r="H115" s="634" t="s">
        <v>3900</v>
      </c>
      <c r="I115" s="633">
        <v>75.0</v>
      </c>
      <c r="J115" s="63" t="s">
        <v>132</v>
      </c>
      <c r="K115" s="634" t="s">
        <v>3910</v>
      </c>
      <c r="L115" s="634" t="s">
        <v>3900</v>
      </c>
      <c r="M115" s="636"/>
    </row>
    <row r="116" ht="15.75" customHeight="1">
      <c r="A116" s="633">
        <v>80.0</v>
      </c>
      <c r="B116" s="63" t="s">
        <v>132</v>
      </c>
      <c r="C116" s="634" t="s">
        <v>4127</v>
      </c>
      <c r="D116" s="634" t="s">
        <v>4122</v>
      </c>
      <c r="E116" s="633">
        <v>90.0</v>
      </c>
      <c r="F116" s="63" t="s">
        <v>132</v>
      </c>
      <c r="G116" s="634" t="s">
        <v>4128</v>
      </c>
      <c r="H116" s="634" t="s">
        <v>4129</v>
      </c>
      <c r="I116" s="633">
        <v>90.0</v>
      </c>
      <c r="J116" s="63" t="s">
        <v>132</v>
      </c>
      <c r="K116" s="634" t="s">
        <v>4130</v>
      </c>
      <c r="L116" s="634" t="s">
        <v>4111</v>
      </c>
      <c r="M116" s="636"/>
    </row>
    <row r="117" ht="15.75" customHeight="1">
      <c r="A117" s="633">
        <v>100.0</v>
      </c>
      <c r="B117" s="63" t="s">
        <v>132</v>
      </c>
      <c r="C117" s="634" t="s">
        <v>4131</v>
      </c>
      <c r="D117" s="634" t="s">
        <v>4132</v>
      </c>
      <c r="E117" s="633">
        <v>100.0</v>
      </c>
      <c r="F117" s="63" t="s">
        <v>132</v>
      </c>
      <c r="G117" s="634" t="s">
        <v>3921</v>
      </c>
      <c r="H117" s="634" t="s">
        <v>3910</v>
      </c>
      <c r="I117" s="633">
        <v>100.0</v>
      </c>
      <c r="J117" s="63" t="s">
        <v>132</v>
      </c>
      <c r="K117" s="634" t="s">
        <v>3921</v>
      </c>
      <c r="L117" s="634" t="s">
        <v>3910</v>
      </c>
      <c r="M117" s="636"/>
    </row>
    <row r="118" ht="30.0" customHeight="1">
      <c r="A118" s="438" t="s">
        <v>4133</v>
      </c>
      <c r="B118" s="38"/>
      <c r="C118" s="38"/>
      <c r="D118" s="38"/>
      <c r="E118" s="38"/>
      <c r="F118" s="38"/>
      <c r="G118" s="38"/>
      <c r="H118" s="39"/>
      <c r="I118" s="648" t="s">
        <v>4134</v>
      </c>
      <c r="J118" s="88"/>
      <c r="K118" s="88"/>
      <c r="L118" s="89"/>
      <c r="M118" s="636"/>
    </row>
    <row r="119" ht="15.75" customHeight="1">
      <c r="A119" s="649" t="s">
        <v>4135</v>
      </c>
      <c r="B119" s="38"/>
      <c r="C119" s="38"/>
      <c r="D119" s="39"/>
      <c r="E119" s="649" t="s">
        <v>4136</v>
      </c>
      <c r="F119" s="38"/>
      <c r="G119" s="38"/>
      <c r="H119" s="39"/>
      <c r="I119" s="90"/>
      <c r="J119" s="91"/>
      <c r="K119" s="91"/>
      <c r="L119" s="72"/>
      <c r="M119" s="636"/>
    </row>
    <row r="120" ht="15.75" customHeight="1">
      <c r="A120" s="41" t="s">
        <v>4137</v>
      </c>
      <c r="B120" s="627" t="s">
        <v>1511</v>
      </c>
      <c r="C120" s="626" t="s">
        <v>3879</v>
      </c>
      <c r="D120" s="626" t="s">
        <v>3880</v>
      </c>
      <c r="E120" s="41" t="s">
        <v>4137</v>
      </c>
      <c r="F120" s="627" t="s">
        <v>1511</v>
      </c>
      <c r="G120" s="626" t="s">
        <v>3879</v>
      </c>
      <c r="H120" s="626" t="s">
        <v>3880</v>
      </c>
      <c r="I120" s="41" t="s">
        <v>1524</v>
      </c>
      <c r="J120" s="41" t="s">
        <v>1511</v>
      </c>
      <c r="K120" s="41" t="s">
        <v>3879</v>
      </c>
      <c r="L120" s="41" t="s">
        <v>128</v>
      </c>
      <c r="M120" s="600"/>
    </row>
    <row r="121" ht="15.75" customHeight="1">
      <c r="A121" s="41" t="s">
        <v>1524</v>
      </c>
      <c r="B121" s="628">
        <f>countif(B122:B132,"Y")/11</f>
        <v>0</v>
      </c>
      <c r="C121" s="46" t="s">
        <v>1524</v>
      </c>
      <c r="D121" s="46" t="s">
        <v>1524</v>
      </c>
      <c r="E121" s="41" t="s">
        <v>1524</v>
      </c>
      <c r="F121" s="628">
        <f>countif(F122:F132,"Y")/11</f>
        <v>0</v>
      </c>
      <c r="G121" s="46" t="s">
        <v>1524</v>
      </c>
      <c r="H121" s="46" t="s">
        <v>1524</v>
      </c>
      <c r="I121" s="46" t="s">
        <v>1524</v>
      </c>
      <c r="J121" s="628">
        <f>countif(J122:J132,"Y")/counta(J122:J132)</f>
        <v>0</v>
      </c>
      <c r="K121" s="46" t="s">
        <v>1524</v>
      </c>
      <c r="L121" s="46" t="s">
        <v>1524</v>
      </c>
      <c r="M121" s="600"/>
    </row>
    <row r="122" ht="15.75" customHeight="1">
      <c r="A122" s="650">
        <v>5.0</v>
      </c>
      <c r="B122" s="63" t="s">
        <v>132</v>
      </c>
      <c r="C122" s="651" t="s">
        <v>4138</v>
      </c>
      <c r="D122" s="652" t="s">
        <v>1524</v>
      </c>
      <c r="E122" s="476">
        <v>5.0</v>
      </c>
      <c r="F122" s="63" t="s">
        <v>132</v>
      </c>
      <c r="G122" s="652" t="s">
        <v>4139</v>
      </c>
      <c r="H122" s="652" t="s">
        <v>1524</v>
      </c>
      <c r="I122" s="637"/>
      <c r="J122" s="63" t="s">
        <v>132</v>
      </c>
      <c r="K122" s="653" t="s">
        <v>4140</v>
      </c>
      <c r="L122" s="654" t="s">
        <v>967</v>
      </c>
      <c r="M122" s="600"/>
    </row>
    <row r="123" ht="15.75" customHeight="1">
      <c r="A123" s="476">
        <v>6.0</v>
      </c>
      <c r="B123" s="63" t="s">
        <v>132</v>
      </c>
      <c r="C123" s="652" t="s">
        <v>4141</v>
      </c>
      <c r="D123" s="655" t="s">
        <v>4138</v>
      </c>
      <c r="E123" s="476">
        <v>6.0</v>
      </c>
      <c r="F123" s="63" t="s">
        <v>132</v>
      </c>
      <c r="G123" s="652" t="s">
        <v>4142</v>
      </c>
      <c r="H123" s="651" t="s">
        <v>4139</v>
      </c>
      <c r="I123" s="637"/>
      <c r="J123" s="63" t="s">
        <v>132</v>
      </c>
      <c r="K123" s="653" t="s">
        <v>4143</v>
      </c>
      <c r="L123" s="654" t="s">
        <v>522</v>
      </c>
      <c r="M123" s="600"/>
    </row>
    <row r="124" ht="15.75" customHeight="1">
      <c r="A124" s="476">
        <v>9.0</v>
      </c>
      <c r="B124" s="63" t="s">
        <v>132</v>
      </c>
      <c r="C124" s="652" t="s">
        <v>4144</v>
      </c>
      <c r="D124" s="655" t="s">
        <v>4141</v>
      </c>
      <c r="E124" s="476">
        <v>9.0</v>
      </c>
      <c r="F124" s="63" t="s">
        <v>132</v>
      </c>
      <c r="G124" s="652" t="s">
        <v>4145</v>
      </c>
      <c r="H124" s="651" t="s">
        <v>4142</v>
      </c>
      <c r="I124" s="637"/>
      <c r="J124" s="63" t="s">
        <v>132</v>
      </c>
      <c r="K124" s="653" t="s">
        <v>4146</v>
      </c>
      <c r="L124" s="654" t="s">
        <v>4147</v>
      </c>
      <c r="M124" s="600"/>
    </row>
    <row r="125" ht="15.75" customHeight="1">
      <c r="A125" s="476">
        <v>10.0</v>
      </c>
      <c r="B125" s="63" t="s">
        <v>132</v>
      </c>
      <c r="C125" s="652" t="s">
        <v>4148</v>
      </c>
      <c r="D125" s="503" t="s">
        <v>4144</v>
      </c>
      <c r="E125" s="476">
        <v>11.0</v>
      </c>
      <c r="F125" s="63" t="s">
        <v>132</v>
      </c>
      <c r="G125" s="652" t="s">
        <v>4149</v>
      </c>
      <c r="H125" s="651" t="s">
        <v>4145</v>
      </c>
      <c r="I125" s="637"/>
      <c r="J125" s="63" t="s">
        <v>132</v>
      </c>
      <c r="K125" s="653" t="s">
        <v>4150</v>
      </c>
      <c r="L125" s="654" t="s">
        <v>4151</v>
      </c>
      <c r="M125" s="600"/>
    </row>
    <row r="126" ht="15.75" customHeight="1">
      <c r="A126" s="476">
        <v>12.0</v>
      </c>
      <c r="B126" s="63" t="s">
        <v>132</v>
      </c>
      <c r="C126" s="652" t="s">
        <v>4152</v>
      </c>
      <c r="D126" s="655" t="s">
        <v>4138</v>
      </c>
      <c r="E126" s="476">
        <v>13.0</v>
      </c>
      <c r="F126" s="63" t="s">
        <v>132</v>
      </c>
      <c r="G126" s="656" t="s">
        <v>4153</v>
      </c>
      <c r="H126" s="652" t="s">
        <v>4154</v>
      </c>
      <c r="I126" s="637"/>
      <c r="J126" s="63" t="s">
        <v>132</v>
      </c>
      <c r="K126" s="653" t="s">
        <v>4155</v>
      </c>
      <c r="L126" s="654" t="s">
        <v>4156</v>
      </c>
      <c r="M126" s="600"/>
    </row>
    <row r="127" ht="15.75" customHeight="1">
      <c r="A127" s="476">
        <v>14.0</v>
      </c>
      <c r="B127" s="63" t="s">
        <v>132</v>
      </c>
      <c r="C127" s="652" t="s">
        <v>4157</v>
      </c>
      <c r="D127" s="655" t="s">
        <v>4138</v>
      </c>
      <c r="E127" s="476">
        <v>15.0</v>
      </c>
      <c r="F127" s="63" t="s">
        <v>132</v>
      </c>
      <c r="G127" s="656" t="s">
        <v>4158</v>
      </c>
      <c r="H127" s="656" t="s">
        <v>4153</v>
      </c>
      <c r="I127" s="637"/>
      <c r="J127" s="63" t="s">
        <v>132</v>
      </c>
      <c r="K127" s="653" t="s">
        <v>4159</v>
      </c>
      <c r="L127" s="654" t="s">
        <v>4160</v>
      </c>
      <c r="M127" s="600"/>
    </row>
    <row r="128">
      <c r="A128" s="476">
        <v>16.0</v>
      </c>
      <c r="B128" s="63" t="s">
        <v>132</v>
      </c>
      <c r="C128" s="652" t="s">
        <v>4161</v>
      </c>
      <c r="D128" s="657" t="s">
        <v>4162</v>
      </c>
      <c r="E128" s="476">
        <v>17.0</v>
      </c>
      <c r="F128" s="63" t="s">
        <v>132</v>
      </c>
      <c r="G128" s="656" t="s">
        <v>4163</v>
      </c>
      <c r="H128" s="656" t="s">
        <v>4154</v>
      </c>
      <c r="I128" s="637"/>
      <c r="J128" s="63" t="s">
        <v>132</v>
      </c>
      <c r="K128" s="653" t="s">
        <v>4164</v>
      </c>
      <c r="L128" s="654" t="s">
        <v>4165</v>
      </c>
      <c r="M128" s="600"/>
    </row>
    <row r="129" ht="15.75" customHeight="1">
      <c r="A129" s="476">
        <v>18.0</v>
      </c>
      <c r="B129" s="63" t="s">
        <v>132</v>
      </c>
      <c r="C129" s="652" t="s">
        <v>4166</v>
      </c>
      <c r="D129" s="503" t="s">
        <v>4161</v>
      </c>
      <c r="E129" s="476">
        <v>19.0</v>
      </c>
      <c r="F129" s="63" t="s">
        <v>132</v>
      </c>
      <c r="G129" s="656" t="s">
        <v>4167</v>
      </c>
      <c r="H129" s="656" t="s">
        <v>4154</v>
      </c>
      <c r="I129" s="637"/>
      <c r="J129" s="63" t="s">
        <v>132</v>
      </c>
      <c r="K129" s="653" t="s">
        <v>4168</v>
      </c>
      <c r="L129" s="658" t="s">
        <v>4169</v>
      </c>
      <c r="M129" s="600"/>
    </row>
    <row r="130" ht="15.75" customHeight="1">
      <c r="A130" s="476">
        <v>20.0</v>
      </c>
      <c r="B130" s="63" t="s">
        <v>132</v>
      </c>
      <c r="C130" s="652" t="s">
        <v>4170</v>
      </c>
      <c r="D130" s="655" t="s">
        <v>4138</v>
      </c>
      <c r="E130" s="476">
        <v>21.0</v>
      </c>
      <c r="F130" s="63" t="s">
        <v>132</v>
      </c>
      <c r="G130" s="656" t="s">
        <v>4171</v>
      </c>
      <c r="H130" s="656" t="s">
        <v>4154</v>
      </c>
      <c r="I130" s="637"/>
      <c r="J130" s="135" t="s">
        <v>132</v>
      </c>
      <c r="K130" s="659" t="s">
        <v>4172</v>
      </c>
      <c r="L130" s="654" t="s">
        <v>1352</v>
      </c>
      <c r="M130" s="636"/>
    </row>
    <row r="131" ht="15.75" customHeight="1">
      <c r="A131" s="476">
        <v>22.0</v>
      </c>
      <c r="B131" s="63" t="s">
        <v>132</v>
      </c>
      <c r="C131" s="652" t="s">
        <v>4173</v>
      </c>
      <c r="D131" s="503" t="s">
        <v>4170</v>
      </c>
      <c r="E131" s="476">
        <v>23.0</v>
      </c>
      <c r="F131" s="63" t="s">
        <v>132</v>
      </c>
      <c r="G131" s="656" t="s">
        <v>4174</v>
      </c>
      <c r="H131" s="656" t="s">
        <v>4171</v>
      </c>
      <c r="I131" s="637"/>
      <c r="J131" s="645"/>
      <c r="K131" s="646"/>
      <c r="L131" s="646"/>
      <c r="M131" s="636"/>
    </row>
    <row r="132" ht="15.75" customHeight="1">
      <c r="A132" s="476">
        <v>24.0</v>
      </c>
      <c r="B132" s="63" t="s">
        <v>132</v>
      </c>
      <c r="C132" s="652" t="s">
        <v>4175</v>
      </c>
      <c r="D132" s="655" t="s">
        <v>4173</v>
      </c>
      <c r="E132" s="476">
        <v>25.0</v>
      </c>
      <c r="F132" s="63" t="s">
        <v>132</v>
      </c>
      <c r="G132" s="656" t="s">
        <v>4176</v>
      </c>
      <c r="H132" s="656" t="s">
        <v>4174</v>
      </c>
      <c r="I132" s="637"/>
      <c r="J132" s="645"/>
      <c r="K132" s="646"/>
      <c r="L132" s="646"/>
      <c r="M132" s="636"/>
    </row>
  </sheetData>
  <mergeCells count="25">
    <mergeCell ref="A2:L2"/>
    <mergeCell ref="A3:D3"/>
    <mergeCell ref="E3:H3"/>
    <mergeCell ref="I3:L3"/>
    <mergeCell ref="A21:D21"/>
    <mergeCell ref="E21:H21"/>
    <mergeCell ref="I21:L21"/>
    <mergeCell ref="A37:L37"/>
    <mergeCell ref="A38:D38"/>
    <mergeCell ref="E38:H38"/>
    <mergeCell ref="I38:L38"/>
    <mergeCell ref="A57:D57"/>
    <mergeCell ref="E57:H57"/>
    <mergeCell ref="I57:L57"/>
    <mergeCell ref="A118:H118"/>
    <mergeCell ref="I118:L119"/>
    <mergeCell ref="A119:D119"/>
    <mergeCell ref="E119:H119"/>
    <mergeCell ref="A81:L81"/>
    <mergeCell ref="A82:D82"/>
    <mergeCell ref="E82:H82"/>
    <mergeCell ref="I82:L82"/>
    <mergeCell ref="A102:D102"/>
    <mergeCell ref="E102:H102"/>
    <mergeCell ref="I102:L102"/>
  </mergeCells>
  <conditionalFormatting sqref="A1:L132 M120:M129">
    <cfRule type="cellIs" dxfId="1" priority="1" operator="equal">
      <formula>"Y"</formula>
    </cfRule>
  </conditionalFormatting>
  <conditionalFormatting sqref="A1:L132 M120:M129">
    <cfRule type="cellIs" dxfId="4" priority="2" operator="equal">
      <formula>"N"</formula>
    </cfRule>
  </conditionalFormatting>
  <hyperlinks>
    <hyperlink r:id="rId2" ref="L122"/>
    <hyperlink r:id="rId3" ref="L123"/>
    <hyperlink r:id="rId4" ref="L124"/>
    <hyperlink r:id="rId5" ref="L125"/>
    <hyperlink r:id="rId6" ref="L126"/>
    <hyperlink r:id="rId7" ref="L127"/>
    <hyperlink r:id="rId8" ref="L128"/>
    <hyperlink r:id="rId9" ref="L129"/>
    <hyperlink r:id="rId10" ref="L130"/>
  </hyperlinks>
  <printOptions/>
  <pageMargins bottom="0.75" footer="0.0" header="0.0" left="0.7" right="0.7" top="0.75"/>
  <pageSetup orientation="landscape"/>
  <drawing r:id="rId11"/>
  <legacyDrawing r:id="rId12"/>
</worksheet>
</file>